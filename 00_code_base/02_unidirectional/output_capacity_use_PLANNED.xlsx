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0_code_base\02_unidirectional\"/>
    </mc:Choice>
  </mc:AlternateContent>
  <xr:revisionPtr revIDLastSave="0" documentId="13_ncr:1_{C3472DA4-64C2-4AB4-9575-3E6E1765B2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F8" i="1" s="1"/>
  <c r="E9" i="1"/>
  <c r="E10" i="1"/>
  <c r="F10" i="1" s="1"/>
  <c r="E11" i="1"/>
  <c r="E12" i="1"/>
  <c r="E13" i="1"/>
  <c r="E14" i="1"/>
  <c r="E15" i="1"/>
  <c r="E16" i="1"/>
  <c r="E17" i="1"/>
  <c r="E18" i="1"/>
  <c r="F18" i="1" s="1"/>
  <c r="E19" i="1"/>
  <c r="E20" i="1"/>
  <c r="E21" i="1"/>
  <c r="E22" i="1"/>
  <c r="E23" i="1"/>
  <c r="E24" i="1"/>
  <c r="F24" i="1" s="1"/>
  <c r="E25" i="1"/>
  <c r="E26" i="1"/>
  <c r="F26" i="1" s="1"/>
  <c r="E27" i="1"/>
  <c r="E28" i="1"/>
  <c r="E29" i="1"/>
  <c r="E30" i="1"/>
  <c r="E31" i="1"/>
  <c r="E32" i="1"/>
  <c r="E33" i="1"/>
  <c r="E34" i="1"/>
  <c r="F34" i="1" s="1"/>
  <c r="E35" i="1"/>
  <c r="E36" i="1"/>
  <c r="E37" i="1"/>
  <c r="E38" i="1"/>
  <c r="E39" i="1"/>
  <c r="E40" i="1"/>
  <c r="E41" i="1"/>
  <c r="E42" i="1"/>
  <c r="F42" i="1" s="1"/>
  <c r="E43" i="1"/>
  <c r="E44" i="1"/>
  <c r="E45" i="1"/>
  <c r="E46" i="1"/>
  <c r="E47" i="1"/>
  <c r="E48" i="1"/>
  <c r="F48" i="1" s="1"/>
  <c r="E49" i="1"/>
  <c r="E50" i="1"/>
  <c r="F50" i="1" s="1"/>
  <c r="E51" i="1"/>
  <c r="E52" i="1"/>
  <c r="E53" i="1"/>
  <c r="E54" i="1"/>
  <c r="E55" i="1"/>
  <c r="E56" i="1"/>
  <c r="F56" i="1" s="1"/>
  <c r="E57" i="1"/>
  <c r="E58" i="1"/>
  <c r="F58" i="1" s="1"/>
  <c r="E59" i="1"/>
  <c r="E60" i="1"/>
  <c r="E61" i="1"/>
  <c r="E62" i="1"/>
  <c r="E63" i="1"/>
  <c r="E64" i="1"/>
  <c r="E65" i="1"/>
  <c r="E66" i="1"/>
  <c r="F66" i="1" s="1"/>
  <c r="E67" i="1"/>
  <c r="E68" i="1"/>
  <c r="E69" i="1"/>
  <c r="E70" i="1"/>
  <c r="E71" i="1"/>
  <c r="E72" i="1"/>
  <c r="F72" i="1" s="1"/>
  <c r="E73" i="1"/>
  <c r="E74" i="1"/>
  <c r="F74" i="1" s="1"/>
  <c r="E75" i="1"/>
  <c r="E76" i="1"/>
  <c r="E77" i="1"/>
  <c r="E78" i="1"/>
  <c r="E79" i="1"/>
  <c r="E80" i="1"/>
  <c r="F80" i="1" s="1"/>
  <c r="E81" i="1"/>
  <c r="E82" i="1"/>
  <c r="F82" i="1" s="1"/>
  <c r="E83" i="1"/>
  <c r="E84" i="1"/>
  <c r="E85" i="1"/>
  <c r="E86" i="1"/>
  <c r="E87" i="1"/>
  <c r="E88" i="1"/>
  <c r="E89" i="1"/>
  <c r="E90" i="1"/>
  <c r="F90" i="1" s="1"/>
  <c r="E91" i="1"/>
  <c r="E92" i="1"/>
  <c r="E93" i="1"/>
  <c r="E94" i="1"/>
  <c r="E95" i="1"/>
  <c r="E96" i="1"/>
  <c r="F96" i="1" s="1"/>
  <c r="E97" i="1"/>
  <c r="E98" i="1"/>
  <c r="F98" i="1" s="1"/>
  <c r="E99" i="1"/>
  <c r="E100" i="1"/>
  <c r="E101" i="1"/>
  <c r="E102" i="1"/>
  <c r="E103" i="1"/>
  <c r="E104" i="1"/>
  <c r="F104" i="1" s="1"/>
  <c r="E105" i="1"/>
  <c r="E106" i="1"/>
  <c r="F106" i="1" s="1"/>
  <c r="E107" i="1"/>
  <c r="E108" i="1"/>
  <c r="E109" i="1"/>
  <c r="E110" i="1"/>
  <c r="E111" i="1"/>
  <c r="E112" i="1"/>
  <c r="F112" i="1" s="1"/>
  <c r="E113" i="1"/>
  <c r="E114" i="1"/>
  <c r="F114" i="1" s="1"/>
  <c r="E115" i="1"/>
  <c r="E116" i="1"/>
  <c r="E117" i="1"/>
  <c r="E118" i="1"/>
  <c r="E119" i="1"/>
  <c r="E120" i="1"/>
  <c r="F120" i="1" s="1"/>
  <c r="E121" i="1"/>
  <c r="E122" i="1"/>
  <c r="F122" i="1" s="1"/>
  <c r="E123" i="1"/>
  <c r="E124" i="1"/>
  <c r="E125" i="1"/>
  <c r="E126" i="1"/>
  <c r="E127" i="1"/>
  <c r="E128" i="1"/>
  <c r="F128" i="1" s="1"/>
  <c r="E129" i="1"/>
  <c r="E130" i="1"/>
  <c r="F130" i="1" s="1"/>
  <c r="E131" i="1"/>
  <c r="E132" i="1"/>
  <c r="E133" i="1"/>
  <c r="E134" i="1"/>
  <c r="E135" i="1"/>
  <c r="E136" i="1"/>
  <c r="F136" i="1" s="1"/>
  <c r="E137" i="1"/>
  <c r="E138" i="1"/>
  <c r="F138" i="1" s="1"/>
  <c r="E139" i="1"/>
  <c r="E140" i="1"/>
  <c r="E141" i="1"/>
  <c r="E142" i="1"/>
  <c r="E143" i="1"/>
  <c r="E144" i="1"/>
  <c r="F144" i="1" s="1"/>
  <c r="E145" i="1"/>
  <c r="E146" i="1"/>
  <c r="F146" i="1" s="1"/>
  <c r="E147" i="1"/>
  <c r="E148" i="1"/>
  <c r="F148" i="1" s="1"/>
  <c r="E149" i="1"/>
  <c r="F149" i="1" s="1"/>
  <c r="E2" i="1"/>
  <c r="F2" i="1" s="1"/>
  <c r="C149" i="2"/>
  <c r="C148" i="2"/>
  <c r="F32" i="1"/>
  <c r="F64" i="1"/>
  <c r="F88" i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F3" i="1"/>
  <c r="F16" i="1"/>
  <c r="F40" i="1"/>
  <c r="C1" i="2"/>
  <c r="M1" i="2" s="1"/>
  <c r="L1" i="2"/>
  <c r="F9" i="1" l="1"/>
  <c r="F143" i="1"/>
  <c r="F135" i="1"/>
  <c r="F127" i="1"/>
  <c r="F119" i="1"/>
  <c r="F111" i="1"/>
  <c r="F103" i="1"/>
  <c r="F95" i="1"/>
  <c r="F87" i="1"/>
  <c r="F79" i="1"/>
  <c r="F71" i="1"/>
  <c r="F63" i="1"/>
  <c r="F55" i="1"/>
  <c r="F47" i="1"/>
  <c r="F39" i="1"/>
  <c r="F31" i="1"/>
  <c r="F23" i="1"/>
  <c r="F15" i="1"/>
  <c r="F7" i="1"/>
  <c r="F142" i="1"/>
  <c r="F134" i="1"/>
  <c r="F126" i="1"/>
  <c r="F118" i="1"/>
  <c r="F110" i="1"/>
  <c r="F102" i="1"/>
  <c r="F94" i="1"/>
  <c r="F86" i="1"/>
  <c r="F78" i="1"/>
  <c r="F70" i="1"/>
  <c r="F62" i="1"/>
  <c r="F54" i="1"/>
  <c r="F46" i="1"/>
  <c r="F38" i="1"/>
  <c r="F30" i="1"/>
  <c r="F22" i="1"/>
  <c r="F14" i="1"/>
  <c r="F6" i="1"/>
  <c r="F141" i="1"/>
  <c r="F133" i="1"/>
  <c r="F125" i="1"/>
  <c r="F117" i="1"/>
  <c r="F109" i="1"/>
  <c r="F101" i="1"/>
  <c r="F93" i="1"/>
  <c r="F85" i="1"/>
  <c r="F77" i="1"/>
  <c r="F69" i="1"/>
  <c r="F61" i="1"/>
  <c r="F53" i="1"/>
  <c r="F45" i="1"/>
  <c r="F37" i="1"/>
  <c r="F29" i="1"/>
  <c r="F21" i="1"/>
  <c r="F13" i="1"/>
  <c r="F5" i="1"/>
  <c r="F140" i="1"/>
  <c r="F132" i="1"/>
  <c r="F124" i="1"/>
  <c r="F116" i="1"/>
  <c r="F108" i="1"/>
  <c r="F100" i="1"/>
  <c r="F92" i="1"/>
  <c r="F84" i="1"/>
  <c r="F76" i="1"/>
  <c r="F68" i="1"/>
  <c r="F60" i="1"/>
  <c r="F52" i="1"/>
  <c r="F44" i="1"/>
  <c r="F36" i="1"/>
  <c r="F28" i="1"/>
  <c r="F20" i="1"/>
  <c r="F12" i="1"/>
  <c r="F4" i="1"/>
  <c r="F147" i="1"/>
  <c r="F139" i="1"/>
  <c r="F131" i="1"/>
  <c r="F123" i="1"/>
  <c r="F115" i="1"/>
  <c r="F107" i="1"/>
  <c r="F99" i="1"/>
  <c r="F91" i="1"/>
  <c r="F83" i="1"/>
  <c r="F75" i="1"/>
  <c r="F67" i="1"/>
  <c r="F59" i="1"/>
  <c r="F51" i="1"/>
  <c r="F43" i="1"/>
  <c r="F35" i="1"/>
  <c r="F27" i="1"/>
  <c r="F19" i="1"/>
  <c r="F11" i="1"/>
  <c r="F145" i="1"/>
  <c r="F137" i="1"/>
  <c r="F129" i="1"/>
  <c r="F121" i="1"/>
  <c r="F113" i="1"/>
  <c r="F105" i="1"/>
  <c r="F97" i="1"/>
  <c r="F89" i="1"/>
  <c r="F81" i="1"/>
  <c r="F73" i="1"/>
  <c r="F65" i="1"/>
  <c r="F57" i="1"/>
  <c r="F49" i="1"/>
  <c r="F41" i="1"/>
  <c r="F33" i="1"/>
  <c r="F25" i="1"/>
  <c r="F17" i="1"/>
  <c r="H1" i="2"/>
</calcChain>
</file>

<file path=xl/sharedStrings.xml><?xml version="1.0" encoding="utf-8"?>
<sst xmlns="http://schemas.openxmlformats.org/spreadsheetml/2006/main" count="601" uniqueCount="242">
  <si>
    <t>Commodity</t>
  </si>
  <si>
    <t>Edge</t>
  </si>
  <si>
    <t>Flow</t>
  </si>
  <si>
    <t>Methane</t>
  </si>
  <si>
    <t>('BE_LNG', 'BE')</t>
  </si>
  <si>
    <t>('FR_LNG', 'FR')</t>
  </si>
  <si>
    <t>('GR_LNG', 'GR')</t>
  </si>
  <si>
    <t>('IT_LNG', 'IT')</t>
  </si>
  <si>
    <t>('HR_LNG', 'HR')</t>
  </si>
  <si>
    <t>('LT_LNG', 'LT')</t>
  </si>
  <si>
    <t>('NL_LNG', 'NL')</t>
  </si>
  <si>
    <t>('PL_LNG', 'PL')</t>
  </si>
  <si>
    <t>('PT_LNG', 'PT')</t>
  </si>
  <si>
    <t>('ES_LNG', 'ES')</t>
  </si>
  <si>
    <t>('TR_LNG', 'TR')</t>
  </si>
  <si>
    <t>('UK_LNG', 'UK')</t>
  </si>
  <si>
    <t>('EE_LNG', 'EE')</t>
  </si>
  <si>
    <t>('FI_LNG', 'FI')</t>
  </si>
  <si>
    <t>('DE_LNG', 'DE')</t>
  </si>
  <si>
    <t>('IE_LNG', 'IE')</t>
  </si>
  <si>
    <t>('LV_LNG', 'LV')</t>
  </si>
  <si>
    <t>('MA_Prod', 'MA')</t>
  </si>
  <si>
    <t>('DK_Prod', 'DK')</t>
  </si>
  <si>
    <t>('DE_Prod', 'DE')</t>
  </si>
  <si>
    <t>('IT_Prod', 'IT')</t>
  </si>
  <si>
    <t>('LY_Prod', 'LY')</t>
  </si>
  <si>
    <t>('NL_Prod', 'NL')</t>
  </si>
  <si>
    <t>('NO_Prod', 'NO')</t>
  </si>
  <si>
    <t>('PL_Prod', 'PL')</t>
  </si>
  <si>
    <t>('RO_Prod', 'RO')</t>
  </si>
  <si>
    <t>('RU_Prod', 'RU')</t>
  </si>
  <si>
    <t>('TN_Prod', 'TN')</t>
  </si>
  <si>
    <t>('UK_Prod', 'UK')</t>
  </si>
  <si>
    <t>('UA_Prod', 'UA')</t>
  </si>
  <si>
    <t>('UK', 'BE')</t>
  </si>
  <si>
    <t>('UK', 'IE')</t>
  </si>
  <si>
    <t>('BE', 'UK')</t>
  </si>
  <si>
    <t>('BE', 'NL')</t>
  </si>
  <si>
    <t>('BE', 'DE')</t>
  </si>
  <si>
    <t>('BE', 'FR')</t>
  </si>
  <si>
    <t>('NL', 'BE')</t>
  </si>
  <si>
    <t>('NL', 'DE')</t>
  </si>
  <si>
    <t>('DE', 'BE')</t>
  </si>
  <si>
    <t>('DE', 'NL')</t>
  </si>
  <si>
    <t>('DE', 'AT')</t>
  </si>
  <si>
    <t>('DE', 'CH')</t>
  </si>
  <si>
    <t>('DE', 'FR')</t>
  </si>
  <si>
    <t>('DE', 'DK')</t>
  </si>
  <si>
    <t>('DE', 'PL')</t>
  </si>
  <si>
    <t>('DE', 'CZ')</t>
  </si>
  <si>
    <t>('DE', 'LU')</t>
  </si>
  <si>
    <t>('AT', 'DE')</t>
  </si>
  <si>
    <t>('AT', 'IT')</t>
  </si>
  <si>
    <t>('AT', 'SI')</t>
  </si>
  <si>
    <t>('AT', 'SK')</t>
  </si>
  <si>
    <t>('AT', 'HU')</t>
  </si>
  <si>
    <t>('IT', 'AT')</t>
  </si>
  <si>
    <t>('IT', 'CH')</t>
  </si>
  <si>
    <t>('IT', 'SI')</t>
  </si>
  <si>
    <t>('CH', 'DE')</t>
  </si>
  <si>
    <t>('CH', 'IT')</t>
  </si>
  <si>
    <t>('CH', 'FR')</t>
  </si>
  <si>
    <t>('SI', 'IT')</t>
  </si>
  <si>
    <t>('SI', 'HR')</t>
  </si>
  <si>
    <t>('HR', 'SI')</t>
  </si>
  <si>
    <t>('HR', 'HU')</t>
  </si>
  <si>
    <t>('FR', 'BE')</t>
  </si>
  <si>
    <t>('FR', 'CH')</t>
  </si>
  <si>
    <t>('FR', 'ES')</t>
  </si>
  <si>
    <t>('DK', 'DE')</t>
  </si>
  <si>
    <t>('PL', 'DE')</t>
  </si>
  <si>
    <t>('CZ', 'DE')</t>
  </si>
  <si>
    <t>('CZ', 'PL')</t>
  </si>
  <si>
    <t>('CZ', 'SK')</t>
  </si>
  <si>
    <t>('SK', 'AT')</t>
  </si>
  <si>
    <t>('SK', 'CZ')</t>
  </si>
  <si>
    <t>('SK', 'HU')</t>
  </si>
  <si>
    <t>('SK', 'UA')</t>
  </si>
  <si>
    <t>('HU', 'HR')</t>
  </si>
  <si>
    <t>('HU', 'SK')</t>
  </si>
  <si>
    <t>('HU', 'RS')</t>
  </si>
  <si>
    <t>('HU', 'RO')</t>
  </si>
  <si>
    <t>('RS', 'BG')</t>
  </si>
  <si>
    <t>('RS', 'BA')</t>
  </si>
  <si>
    <t>('BG', 'RS')</t>
  </si>
  <si>
    <t>('BG', 'GR')</t>
  </si>
  <si>
    <t>('BG', 'RO')</t>
  </si>
  <si>
    <t>('BG', 'MK')</t>
  </si>
  <si>
    <t>('BG', 'TR')</t>
  </si>
  <si>
    <t>('GR', 'BG')</t>
  </si>
  <si>
    <t>('RO', 'HU')</t>
  </si>
  <si>
    <t>('RO', 'BG')</t>
  </si>
  <si>
    <t>('RO', 'UA')</t>
  </si>
  <si>
    <t>('RO', 'MD')</t>
  </si>
  <si>
    <t>('LT', 'LV')</t>
  </si>
  <si>
    <t>('LT', 'RU')</t>
  </si>
  <si>
    <t>('LV', 'LT')</t>
  </si>
  <si>
    <t>('LV', 'RU')</t>
  </si>
  <si>
    <t>('ES', 'FR')</t>
  </si>
  <si>
    <t>('ES', 'PT')</t>
  </si>
  <si>
    <t>('PT', 'ES')</t>
  </si>
  <si>
    <t>('UA', 'PL')</t>
  </si>
  <si>
    <t>('UA', 'SK')</t>
  </si>
  <si>
    <t>('UA', 'HU')</t>
  </si>
  <si>
    <t>('UA', 'RO')</t>
  </si>
  <si>
    <t>('MD', 'RO')</t>
  </si>
  <si>
    <t>('RU', 'DE')</t>
  </si>
  <si>
    <t>('RU', 'LV')</t>
  </si>
  <si>
    <t>('RU', 'FI')</t>
  </si>
  <si>
    <t>('AL', 'IT')</t>
  </si>
  <si>
    <t>('TR', 'BG')</t>
  </si>
  <si>
    <t>('TR', 'GR')</t>
  </si>
  <si>
    <t>('MA', 'ES')</t>
  </si>
  <si>
    <t>('TN', 'IT')</t>
  </si>
  <si>
    <t>('LY', 'IT')</t>
  </si>
  <si>
    <t>('BY', 'PL')</t>
  </si>
  <si>
    <t>('BY', 'LT')</t>
  </si>
  <si>
    <t>('RU', 'UA')</t>
  </si>
  <si>
    <t>('AZ', 'TR')</t>
  </si>
  <si>
    <t>('DZ', 'ES')</t>
  </si>
  <si>
    <t>('NO', 'DE')</t>
  </si>
  <si>
    <t>('NO', 'NL')</t>
  </si>
  <si>
    <t>('NO', 'BE')</t>
  </si>
  <si>
    <t>('NO', 'FR')</t>
  </si>
  <si>
    <t>('NO', 'UK')</t>
  </si>
  <si>
    <t>('UK', 'NL')</t>
  </si>
  <si>
    <t>('GR', 'AL')</t>
  </si>
  <si>
    <t>('DZ', 'MA')</t>
  </si>
  <si>
    <t>('DZ', 'TN')</t>
  </si>
  <si>
    <t>('DK', 'SE')</t>
  </si>
  <si>
    <t>('RU', 'BY')</t>
  </si>
  <si>
    <t>('NO', 'DK')</t>
  </si>
  <si>
    <t>('DK', 'PL')</t>
  </si>
  <si>
    <t>('AL_Prod', 'AL')</t>
  </si>
  <si>
    <t>('DZ_Prod', 'DZ')</t>
  </si>
  <si>
    <t>('AT_Prod', 'AT')</t>
  </si>
  <si>
    <t>('BE_Prod', 'BE')</t>
  </si>
  <si>
    <t>('BG_Prod', 'BG')</t>
  </si>
  <si>
    <t>('HR_Prod', 'HR')</t>
  </si>
  <si>
    <t>('CZ_Prod', 'CZ')</t>
  </si>
  <si>
    <t>('FR_Prod', 'FR')</t>
  </si>
  <si>
    <t>('GR_Prod', 'GR')</t>
  </si>
  <si>
    <t>('HU_Prod', 'HU')</t>
  </si>
  <si>
    <t>('IE_Prod', 'IE')</t>
  </si>
  <si>
    <t>('RS_Prod', 'RS')</t>
  </si>
  <si>
    <t>('SK_Prod', 'SK')</t>
  </si>
  <si>
    <t>('SI_Prod', 'SI')</t>
  </si>
  <si>
    <t>('TR_Prod', 'TR')</t>
  </si>
  <si>
    <t>('ES_Prod', 'ES')</t>
  </si>
  <si>
    <t>BE_LNG</t>
  </si>
  <si>
    <t>BE</t>
  </si>
  <si>
    <t>FR_LNG</t>
  </si>
  <si>
    <t>FR</t>
  </si>
  <si>
    <t>GR_LNG</t>
  </si>
  <si>
    <t>GR</t>
  </si>
  <si>
    <t>IT_LNG</t>
  </si>
  <si>
    <t>IT</t>
  </si>
  <si>
    <t>HR_LNG</t>
  </si>
  <si>
    <t>HR</t>
  </si>
  <si>
    <t>LT_LNG</t>
  </si>
  <si>
    <t>LT</t>
  </si>
  <si>
    <t>NL_LNG</t>
  </si>
  <si>
    <t>NL</t>
  </si>
  <si>
    <t>PL_LNG</t>
  </si>
  <si>
    <t>PL</t>
  </si>
  <si>
    <t>PT_LNG</t>
  </si>
  <si>
    <t>PT</t>
  </si>
  <si>
    <t>ES_LNG</t>
  </si>
  <si>
    <t>ES</t>
  </si>
  <si>
    <t>TR_LNG</t>
  </si>
  <si>
    <t>TR</t>
  </si>
  <si>
    <t>UK_LNG</t>
  </si>
  <si>
    <t>UK</t>
  </si>
  <si>
    <t>EE_LNG</t>
  </si>
  <si>
    <t>EE</t>
  </si>
  <si>
    <t>FI_LNG</t>
  </si>
  <si>
    <t>FI</t>
  </si>
  <si>
    <t>DE_LNG</t>
  </si>
  <si>
    <t>DE</t>
  </si>
  <si>
    <t>IE_LNG</t>
  </si>
  <si>
    <t>IE</t>
  </si>
  <si>
    <t>LV_LNG</t>
  </si>
  <si>
    <t>LV</t>
  </si>
  <si>
    <t>AL_Prod</t>
  </si>
  <si>
    <t>AL</t>
  </si>
  <si>
    <t>DZ_Prod</t>
  </si>
  <si>
    <t>DZ</t>
  </si>
  <si>
    <t>AT_Prod</t>
  </si>
  <si>
    <t>AT</t>
  </si>
  <si>
    <t>BE_Prod</t>
  </si>
  <si>
    <t>BG_Prod</t>
  </si>
  <si>
    <t>BG</t>
  </si>
  <si>
    <t>HR_Prod</t>
  </si>
  <si>
    <t>CZ_Prod</t>
  </si>
  <si>
    <t>CZ</t>
  </si>
  <si>
    <t>FR_Prod</t>
  </si>
  <si>
    <t>GR_Prod</t>
  </si>
  <si>
    <t>HU_Prod</t>
  </si>
  <si>
    <t>HU</t>
  </si>
  <si>
    <t>IE_Prod</t>
  </si>
  <si>
    <t>RS_Prod</t>
  </si>
  <si>
    <t>RS</t>
  </si>
  <si>
    <t>SK_Prod</t>
  </si>
  <si>
    <t>SK</t>
  </si>
  <si>
    <t>SI_Prod</t>
  </si>
  <si>
    <t>SI</t>
  </si>
  <si>
    <t>TR_Prod</t>
  </si>
  <si>
    <t>ES_Prod</t>
  </si>
  <si>
    <t>MA_Prod</t>
  </si>
  <si>
    <t>MA</t>
  </si>
  <si>
    <t>DK_Prod</t>
  </si>
  <si>
    <t>DK</t>
  </si>
  <si>
    <t>DE_Prod</t>
  </si>
  <si>
    <t>IT_Prod</t>
  </si>
  <si>
    <t>LY_Prod</t>
  </si>
  <si>
    <t>LY</t>
  </si>
  <si>
    <t>NL_Prod</t>
  </si>
  <si>
    <t>NO_Prod</t>
  </si>
  <si>
    <t>NO</t>
  </si>
  <si>
    <t>PL_Prod</t>
  </si>
  <si>
    <t>RO_Prod</t>
  </si>
  <si>
    <t>RO</t>
  </si>
  <si>
    <t>RU_Prod</t>
  </si>
  <si>
    <t>RU</t>
  </si>
  <si>
    <t>TN_Prod</t>
  </si>
  <si>
    <t>TN</t>
  </si>
  <si>
    <t>UK_Prod</t>
  </si>
  <si>
    <t>UA_Prod</t>
  </si>
  <si>
    <t>UA</t>
  </si>
  <si>
    <t>CH</t>
  </si>
  <si>
    <t>LU</t>
  </si>
  <si>
    <t>BA</t>
  </si>
  <si>
    <t>MD</t>
  </si>
  <si>
    <t>BY</t>
  </si>
  <si>
    <t>AZ</t>
  </si>
  <si>
    <t>MK</t>
  </si>
  <si>
    <t>SE</t>
  </si>
  <si>
    <t>Capacity</t>
  </si>
  <si>
    <t>('BE_LNG','BE')</t>
  </si>
  <si>
    <t>Share_Used</t>
  </si>
  <si>
    <t>('EE', 'LV')</t>
  </si>
  <si>
    <t>('LV', 'EE')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</si>
</sst>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F13" sqref="F13"/>
    </sheetView>
  </sheetViews>
  <sheetFormatPr defaultRowHeight="14.5" x14ac:dyDescent="0.35"/>
  <sheetData>
    <row r="1" spans="1:6" x14ac:dyDescent="0.35">
      <c r="B1" s="1" t="s">
        <v>0</v>
      </c>
      <c r="C1" s="1" t="s">
        <v>1</v>
      </c>
      <c r="D1" s="1" t="s">
        <v>2</v>
      </c>
      <c r="E1" s="2" t="s">
        <v>237</v>
      </c>
      <c r="F1" s="2" t="s">
        <v>239</v>
      </c>
    </row>
    <row r="2" spans="1:6" x14ac:dyDescent="0.35">
      <c r="A2" s="1">
        <v>0</v>
      </c>
      <c r="B2" t="s">
        <v>3</v>
      </c>
      <c r="C2" t="s">
        <v>4</v>
      </c>
      <c r="D2">
        <v>111.378</v>
      </c>
      <c r="E2">
        <f>VLOOKUP(C2,Sheet2!$C$1:$D$149,2,FALSE)</f>
        <v>111.378</v>
      </c>
      <c r="F2" s="3">
        <f>D2/E2</f>
        <v>1</v>
      </c>
    </row>
    <row r="3" spans="1:6" x14ac:dyDescent="0.35">
      <c r="A3" s="1">
        <v>1</v>
      </c>
      <c r="B3" t="s">
        <v>3</v>
      </c>
      <c r="C3" t="s">
        <v>5</v>
      </c>
      <c r="D3">
        <v>322.41000000000003</v>
      </c>
      <c r="E3">
        <f>VLOOKUP(C3,Sheet2!$C$1:$D$149,2,FALSE)</f>
        <v>322.40999999999997</v>
      </c>
      <c r="F3" s="3">
        <f t="shared" ref="F3:F66" si="0">D3/E3</f>
        <v>1.0000000000000002</v>
      </c>
    </row>
    <row r="4" spans="1:6" x14ac:dyDescent="0.35">
      <c r="A4" s="1">
        <v>2</v>
      </c>
      <c r="B4" t="s">
        <v>3</v>
      </c>
      <c r="C4" t="s">
        <v>6</v>
      </c>
      <c r="D4">
        <v>73.274999999999991</v>
      </c>
      <c r="E4">
        <f>VLOOKUP(C4,Sheet2!$C$1:$D$149,2,FALSE)</f>
        <v>73.274999999999991</v>
      </c>
      <c r="F4" s="3">
        <f t="shared" si="0"/>
        <v>1</v>
      </c>
    </row>
    <row r="5" spans="1:6" x14ac:dyDescent="0.35">
      <c r="A5" s="1">
        <v>3</v>
      </c>
      <c r="B5" t="s">
        <v>3</v>
      </c>
      <c r="C5" t="s">
        <v>7</v>
      </c>
      <c r="D5">
        <v>155.83150000000001</v>
      </c>
      <c r="E5">
        <f>VLOOKUP(C5,Sheet2!$C$1:$D$149,2,FALSE)</f>
        <v>155.83149999999998</v>
      </c>
      <c r="F5" s="3">
        <f t="shared" si="0"/>
        <v>1.0000000000000002</v>
      </c>
    </row>
    <row r="6" spans="1:6" x14ac:dyDescent="0.35">
      <c r="A6" s="1">
        <v>4</v>
      </c>
      <c r="B6" t="s">
        <v>3</v>
      </c>
      <c r="C6" t="s">
        <v>8</v>
      </c>
      <c r="D6">
        <v>25.402000000000001</v>
      </c>
      <c r="E6">
        <f>VLOOKUP(C6,Sheet2!$C$1:$D$149,2,FALSE)</f>
        <v>25.402000000000001</v>
      </c>
      <c r="F6" s="3">
        <f t="shared" si="0"/>
        <v>1</v>
      </c>
    </row>
    <row r="7" spans="1:6" x14ac:dyDescent="0.35">
      <c r="A7" s="1">
        <v>5</v>
      </c>
      <c r="B7" t="s">
        <v>3</v>
      </c>
      <c r="C7" t="s">
        <v>9</v>
      </c>
      <c r="D7">
        <v>39.08</v>
      </c>
      <c r="E7">
        <f>VLOOKUP(C7,Sheet2!$C$1:$D$149,2,FALSE)</f>
        <v>39.08</v>
      </c>
      <c r="F7" s="3">
        <f t="shared" si="0"/>
        <v>1</v>
      </c>
    </row>
    <row r="8" spans="1:6" x14ac:dyDescent="0.35">
      <c r="A8" s="1">
        <v>6</v>
      </c>
      <c r="B8" t="s">
        <v>3</v>
      </c>
      <c r="C8" t="s">
        <v>10</v>
      </c>
      <c r="D8">
        <v>122.125</v>
      </c>
      <c r="E8">
        <f>VLOOKUP(C8,Sheet2!$C$1:$D$149,2,FALSE)</f>
        <v>122.125</v>
      </c>
      <c r="F8" s="3">
        <f t="shared" si="0"/>
        <v>1</v>
      </c>
    </row>
    <row r="9" spans="1:6" x14ac:dyDescent="0.35">
      <c r="A9" s="1">
        <v>7</v>
      </c>
      <c r="B9" t="s">
        <v>3</v>
      </c>
      <c r="C9" t="s">
        <v>11</v>
      </c>
      <c r="D9">
        <v>60.573999999999998</v>
      </c>
      <c r="E9">
        <f>VLOOKUP(C9,Sheet2!$C$1:$D$149,2,FALSE)</f>
        <v>60.573999999999998</v>
      </c>
      <c r="F9" s="3">
        <f t="shared" si="0"/>
        <v>1</v>
      </c>
    </row>
    <row r="10" spans="1:6" x14ac:dyDescent="0.35">
      <c r="A10" s="1">
        <v>8</v>
      </c>
      <c r="B10" t="s">
        <v>3</v>
      </c>
      <c r="C10" t="s">
        <v>12</v>
      </c>
      <c r="D10">
        <v>58.62</v>
      </c>
      <c r="E10">
        <f>VLOOKUP(C10,Sheet2!$C$1:$D$149,2,FALSE)</f>
        <v>74.251999999999995</v>
      </c>
      <c r="F10" s="3">
        <f t="shared" si="0"/>
        <v>0.78947368421052633</v>
      </c>
    </row>
    <row r="11" spans="1:6" x14ac:dyDescent="0.35">
      <c r="A11" s="1">
        <v>9</v>
      </c>
      <c r="B11" t="s">
        <v>3</v>
      </c>
      <c r="C11" t="s">
        <v>13</v>
      </c>
      <c r="D11">
        <v>398.45400000000001</v>
      </c>
      <c r="E11">
        <f>VLOOKUP(C11,Sheet2!$C$1:$D$149,2,FALSE)</f>
        <v>655.56699999999989</v>
      </c>
      <c r="F11" s="3">
        <f t="shared" si="0"/>
        <v>0.60780057568486523</v>
      </c>
    </row>
    <row r="12" spans="1:6" x14ac:dyDescent="0.35">
      <c r="A12" s="1">
        <v>10</v>
      </c>
      <c r="B12" t="s">
        <v>3</v>
      </c>
      <c r="C12" t="s">
        <v>14</v>
      </c>
      <c r="D12">
        <v>425.97199999999998</v>
      </c>
      <c r="E12">
        <f>VLOOKUP(C12,Sheet2!$C$1:$D$149,2,FALSE)</f>
        <v>425.97199999999998</v>
      </c>
      <c r="F12" s="3">
        <f t="shared" si="0"/>
        <v>1</v>
      </c>
    </row>
    <row r="13" spans="1:6" x14ac:dyDescent="0.35">
      <c r="A13" s="1">
        <v>11</v>
      </c>
      <c r="B13" t="s">
        <v>3</v>
      </c>
      <c r="C13" t="s">
        <v>15</v>
      </c>
      <c r="D13">
        <v>425.48233619331592</v>
      </c>
      <c r="E13">
        <f>VLOOKUP(C13,Sheet2!$C$1:$D$149,2,FALSE)</f>
        <v>510.97099999999995</v>
      </c>
      <c r="F13" s="3">
        <f t="shared" si="0"/>
        <v>0.83269370706618573</v>
      </c>
    </row>
    <row r="14" spans="1:6" x14ac:dyDescent="0.35">
      <c r="A14" s="1">
        <v>12</v>
      </c>
      <c r="B14" t="s">
        <v>3</v>
      </c>
      <c r="C14" t="s">
        <v>16</v>
      </c>
      <c r="D14">
        <v>6.6570737613344084</v>
      </c>
      <c r="E14">
        <f>VLOOKUP(C14,Sheet2!$C$1:$D$149,2,FALSE)</f>
        <v>24.424999999999997</v>
      </c>
      <c r="F14" s="3">
        <f t="shared" si="0"/>
        <v>0.27255163813037497</v>
      </c>
    </row>
    <row r="15" spans="1:6" x14ac:dyDescent="0.35">
      <c r="A15" s="1">
        <v>13</v>
      </c>
      <c r="B15" t="s">
        <v>3</v>
      </c>
      <c r="C15" t="s">
        <v>17</v>
      </c>
      <c r="D15">
        <v>19.54</v>
      </c>
      <c r="E15">
        <f>VLOOKUP(C15,Sheet2!$C$1:$D$149,2,FALSE)</f>
        <v>48.849999999999994</v>
      </c>
      <c r="F15" s="3">
        <f t="shared" si="0"/>
        <v>0.4</v>
      </c>
    </row>
    <row r="16" spans="1:6" x14ac:dyDescent="0.35">
      <c r="A16" s="1">
        <v>14</v>
      </c>
      <c r="B16" t="s">
        <v>3</v>
      </c>
      <c r="C16" t="s">
        <v>18</v>
      </c>
      <c r="D16">
        <v>304.82400000000001</v>
      </c>
      <c r="E16">
        <f>VLOOKUP(C16,Sheet2!$C$1:$D$149,2,FALSE)</f>
        <v>304.82399999999996</v>
      </c>
      <c r="F16" s="3">
        <f t="shared" si="0"/>
        <v>1.0000000000000002</v>
      </c>
    </row>
    <row r="17" spans="1:6" x14ac:dyDescent="0.35">
      <c r="A17" s="1">
        <v>15</v>
      </c>
      <c r="B17" t="s">
        <v>3</v>
      </c>
      <c r="C17" t="s">
        <v>19</v>
      </c>
      <c r="D17">
        <v>24.864095362311311</v>
      </c>
      <c r="E17">
        <f>VLOOKUP(C17,Sheet2!$C$1:$D$149,2,FALSE)</f>
        <v>25.402000000000001</v>
      </c>
      <c r="F17" s="3">
        <f t="shared" si="0"/>
        <v>0.97882431943592274</v>
      </c>
    </row>
    <row r="18" spans="1:6" x14ac:dyDescent="0.35">
      <c r="A18" s="1">
        <v>16</v>
      </c>
      <c r="B18" t="s">
        <v>3</v>
      </c>
      <c r="C18" t="s">
        <v>20</v>
      </c>
      <c r="D18">
        <v>11.8009575697542</v>
      </c>
      <c r="E18">
        <f>VLOOKUP(C18,Sheet2!$C$1:$D$149,2,FALSE)</f>
        <v>14.654999999999999</v>
      </c>
      <c r="F18" s="3">
        <f t="shared" si="0"/>
        <v>0.8052512841865711</v>
      </c>
    </row>
    <row r="19" spans="1:6" x14ac:dyDescent="0.35">
      <c r="A19" s="1">
        <v>17</v>
      </c>
      <c r="B19" t="s">
        <v>3</v>
      </c>
      <c r="C19" t="s">
        <v>21</v>
      </c>
      <c r="D19">
        <v>0</v>
      </c>
      <c r="E19">
        <f>VLOOKUP(C19,Sheet2!$C$1:$D$149,2,FALSE)</f>
        <v>10000</v>
      </c>
      <c r="F19" s="3">
        <f t="shared" si="0"/>
        <v>0</v>
      </c>
    </row>
    <row r="20" spans="1:6" x14ac:dyDescent="0.35">
      <c r="A20" s="1">
        <v>18</v>
      </c>
      <c r="B20" t="s">
        <v>3</v>
      </c>
      <c r="C20" t="s">
        <v>22</v>
      </c>
      <c r="D20">
        <v>13.947075570000001</v>
      </c>
      <c r="E20">
        <f>VLOOKUP(C20,Sheet2!$C$1:$D$149,2,FALSE)</f>
        <v>10000</v>
      </c>
      <c r="F20" s="3">
        <f t="shared" si="0"/>
        <v>1.3947075570000002E-3</v>
      </c>
    </row>
    <row r="21" spans="1:6" x14ac:dyDescent="0.35">
      <c r="A21" s="1">
        <v>19</v>
      </c>
      <c r="B21" t="s">
        <v>3</v>
      </c>
      <c r="C21" t="s">
        <v>23</v>
      </c>
      <c r="D21">
        <v>47.618979999999993</v>
      </c>
      <c r="E21">
        <f>VLOOKUP(C21,Sheet2!$C$1:$D$149,2,FALSE)</f>
        <v>10000</v>
      </c>
      <c r="F21" s="3">
        <f t="shared" si="0"/>
        <v>4.7618979999999997E-3</v>
      </c>
    </row>
    <row r="22" spans="1:6" x14ac:dyDescent="0.35">
      <c r="A22" s="1">
        <v>20</v>
      </c>
      <c r="B22" t="s">
        <v>3</v>
      </c>
      <c r="C22" t="s">
        <v>24</v>
      </c>
      <c r="D22">
        <v>38.415640000000003</v>
      </c>
      <c r="E22">
        <f>VLOOKUP(C22,Sheet2!$C$1:$D$149,2,FALSE)</f>
        <v>10000</v>
      </c>
      <c r="F22" s="3">
        <f t="shared" si="0"/>
        <v>3.8415640000000004E-3</v>
      </c>
    </row>
    <row r="23" spans="1:6" x14ac:dyDescent="0.35">
      <c r="A23" s="1">
        <v>21</v>
      </c>
      <c r="B23" t="s">
        <v>3</v>
      </c>
      <c r="C23" t="s">
        <v>25</v>
      </c>
      <c r="D23">
        <v>129.941</v>
      </c>
      <c r="E23">
        <f>VLOOKUP(C23,Sheet2!$C$1:$D$149,2,FALSE)</f>
        <v>10000</v>
      </c>
      <c r="F23" s="3">
        <f t="shared" si="0"/>
        <v>1.29941E-2</v>
      </c>
    </row>
    <row r="24" spans="1:6" x14ac:dyDescent="0.35">
      <c r="A24" s="1">
        <v>22</v>
      </c>
      <c r="B24" t="s">
        <v>3</v>
      </c>
      <c r="C24" t="s">
        <v>26</v>
      </c>
      <c r="D24">
        <v>234.14902171</v>
      </c>
      <c r="E24">
        <f>VLOOKUP(C24,Sheet2!$C$1:$D$149,2,FALSE)</f>
        <v>10000</v>
      </c>
      <c r="F24" s="3">
        <f t="shared" si="0"/>
        <v>2.3414902171E-2</v>
      </c>
    </row>
    <row r="25" spans="1:6" x14ac:dyDescent="0.35">
      <c r="A25" s="1">
        <v>23</v>
      </c>
      <c r="B25" t="s">
        <v>3</v>
      </c>
      <c r="C25" t="s">
        <v>27</v>
      </c>
      <c r="D25">
        <v>1135.33376309</v>
      </c>
      <c r="E25">
        <f>VLOOKUP(C25,Sheet2!$C$1:$D$149,2,FALSE)</f>
        <v>10000</v>
      </c>
      <c r="F25" s="3">
        <f t="shared" si="0"/>
        <v>0.11353337630900001</v>
      </c>
    </row>
    <row r="26" spans="1:6" x14ac:dyDescent="0.35">
      <c r="A26" s="1">
        <v>24</v>
      </c>
      <c r="B26" t="s">
        <v>3</v>
      </c>
      <c r="C26" t="s">
        <v>28</v>
      </c>
      <c r="D26">
        <v>54.642437600000001</v>
      </c>
      <c r="E26">
        <f>VLOOKUP(C26,Sheet2!$C$1:$D$149,2,FALSE)</f>
        <v>10000</v>
      </c>
      <c r="F26" s="3">
        <f t="shared" si="0"/>
        <v>5.4642437600000001E-3</v>
      </c>
    </row>
    <row r="27" spans="1:6" x14ac:dyDescent="0.35">
      <c r="A27" s="1">
        <v>25</v>
      </c>
      <c r="B27" t="s">
        <v>3</v>
      </c>
      <c r="C27" t="s">
        <v>29</v>
      </c>
      <c r="D27">
        <v>88.09608999999999</v>
      </c>
      <c r="E27">
        <f>VLOOKUP(C27,Sheet2!$C$1:$D$149,2,FALSE)</f>
        <v>10000</v>
      </c>
      <c r="F27" s="3">
        <f t="shared" si="0"/>
        <v>8.8096089999999995E-3</v>
      </c>
    </row>
    <row r="28" spans="1:6" x14ac:dyDescent="0.35">
      <c r="A28" s="1">
        <v>26</v>
      </c>
      <c r="B28" t="s">
        <v>3</v>
      </c>
      <c r="C28" t="s">
        <v>30</v>
      </c>
      <c r="D28">
        <v>0</v>
      </c>
      <c r="E28">
        <f>VLOOKUP(C28,Sheet2!$C$1:$D$149,2,FALSE)</f>
        <v>10000</v>
      </c>
      <c r="F28" s="3">
        <f t="shared" si="0"/>
        <v>0</v>
      </c>
    </row>
    <row r="29" spans="1:6" x14ac:dyDescent="0.35">
      <c r="A29" s="1">
        <v>27</v>
      </c>
      <c r="B29" t="s">
        <v>3</v>
      </c>
      <c r="C29" t="s">
        <v>31</v>
      </c>
      <c r="D29">
        <v>18.562999999999999</v>
      </c>
      <c r="E29">
        <f>VLOOKUP(C29,Sheet2!$C$1:$D$149,2,FALSE)</f>
        <v>10000</v>
      </c>
      <c r="F29" s="3">
        <f t="shared" si="0"/>
        <v>1.8563E-3</v>
      </c>
    </row>
    <row r="30" spans="1:6" x14ac:dyDescent="0.35">
      <c r="A30" s="1">
        <v>28</v>
      </c>
      <c r="B30" t="s">
        <v>3</v>
      </c>
      <c r="C30" t="s">
        <v>32</v>
      </c>
      <c r="D30">
        <v>320.81311304000002</v>
      </c>
      <c r="E30">
        <f>VLOOKUP(C30,Sheet2!$C$1:$D$149,2,FALSE)</f>
        <v>10000</v>
      </c>
      <c r="F30" s="3">
        <f t="shared" si="0"/>
        <v>3.2081311304E-2</v>
      </c>
    </row>
    <row r="31" spans="1:6" x14ac:dyDescent="0.35">
      <c r="A31" s="1">
        <v>29</v>
      </c>
      <c r="B31" t="s">
        <v>3</v>
      </c>
      <c r="C31" t="s">
        <v>33</v>
      </c>
      <c r="D31">
        <v>190.67132000000001</v>
      </c>
      <c r="E31">
        <f>VLOOKUP(C31,Sheet2!$C$1:$D$149,2,FALSE)</f>
        <v>10000</v>
      </c>
      <c r="F31" s="3">
        <f t="shared" si="0"/>
        <v>1.9067132000000001E-2</v>
      </c>
    </row>
    <row r="32" spans="1:6" x14ac:dyDescent="0.35">
      <c r="A32" s="1">
        <v>30</v>
      </c>
      <c r="B32" t="s">
        <v>3</v>
      </c>
      <c r="C32" t="s">
        <v>34</v>
      </c>
      <c r="D32">
        <v>0</v>
      </c>
      <c r="E32">
        <f>VLOOKUP(C32,Sheet2!$C$1:$D$149,2,FALSE)</f>
        <v>237.87050000000002</v>
      </c>
      <c r="F32" s="3">
        <f t="shared" si="0"/>
        <v>0</v>
      </c>
    </row>
    <row r="33" spans="1:6" x14ac:dyDescent="0.35">
      <c r="A33" s="1">
        <v>31</v>
      </c>
      <c r="B33" t="s">
        <v>3</v>
      </c>
      <c r="C33" t="s">
        <v>35</v>
      </c>
      <c r="D33">
        <v>0</v>
      </c>
      <c r="E33">
        <f>VLOOKUP(C33,Sheet2!$C$1:$D$149,2,FALSE)</f>
        <v>140.52500000000001</v>
      </c>
      <c r="F33" s="3">
        <f t="shared" si="0"/>
        <v>0</v>
      </c>
    </row>
    <row r="34" spans="1:6" x14ac:dyDescent="0.35">
      <c r="A34" s="1">
        <v>32</v>
      </c>
      <c r="B34" t="s">
        <v>3</v>
      </c>
      <c r="C34" t="s">
        <v>36</v>
      </c>
      <c r="D34">
        <v>0</v>
      </c>
      <c r="E34">
        <f>VLOOKUP(C34,Sheet2!$C$1:$D$149,2,FALSE)</f>
        <v>293.24099999999999</v>
      </c>
      <c r="F34" s="3">
        <f t="shared" si="0"/>
        <v>0</v>
      </c>
    </row>
    <row r="35" spans="1:6" x14ac:dyDescent="0.35">
      <c r="A35" s="1">
        <v>33</v>
      </c>
      <c r="B35" t="s">
        <v>3</v>
      </c>
      <c r="C35" t="s">
        <v>37</v>
      </c>
      <c r="D35">
        <v>0</v>
      </c>
      <c r="E35">
        <f>VLOOKUP(C35,Sheet2!$C$1:$D$149,2,FALSE)</f>
        <v>120.88800000000001</v>
      </c>
      <c r="F35" s="3">
        <f t="shared" si="0"/>
        <v>0</v>
      </c>
    </row>
    <row r="36" spans="1:6" x14ac:dyDescent="0.35">
      <c r="A36" s="1">
        <v>34</v>
      </c>
      <c r="B36" t="s">
        <v>3</v>
      </c>
      <c r="C36" t="s">
        <v>38</v>
      </c>
      <c r="D36">
        <v>88.911405819999771</v>
      </c>
      <c r="E36">
        <f>VLOOKUP(C36,Sheet2!$C$1:$D$149,2,FALSE)</f>
        <v>117.81104999999999</v>
      </c>
      <c r="F36" s="3">
        <f t="shared" si="0"/>
        <v>0.7546949612960735</v>
      </c>
    </row>
    <row r="37" spans="1:6" x14ac:dyDescent="0.35">
      <c r="A37" s="1">
        <v>35</v>
      </c>
      <c r="B37" t="s">
        <v>3</v>
      </c>
      <c r="C37" t="s">
        <v>39</v>
      </c>
      <c r="D37">
        <v>0</v>
      </c>
      <c r="E37">
        <f>VLOOKUP(C37,Sheet2!$C$1:$D$149,2,FALSE)</f>
        <v>317.55</v>
      </c>
      <c r="F37" s="3">
        <f t="shared" si="0"/>
        <v>0</v>
      </c>
    </row>
    <row r="38" spans="1:6" x14ac:dyDescent="0.35">
      <c r="A38" s="1">
        <v>36</v>
      </c>
      <c r="B38" t="s">
        <v>3</v>
      </c>
      <c r="C38" t="s">
        <v>40</v>
      </c>
      <c r="D38">
        <v>0</v>
      </c>
      <c r="E38">
        <f>VLOOKUP(C38,Sheet2!$C$1:$D$149,2,FALSE)</f>
        <v>509.97800000000001</v>
      </c>
      <c r="F38" s="3">
        <f t="shared" si="0"/>
        <v>0</v>
      </c>
    </row>
    <row r="39" spans="1:6" x14ac:dyDescent="0.35">
      <c r="A39" s="1">
        <v>37</v>
      </c>
      <c r="B39" t="s">
        <v>3</v>
      </c>
      <c r="C39" t="s">
        <v>41</v>
      </c>
      <c r="D39">
        <v>388.37647094331601</v>
      </c>
      <c r="E39">
        <f>VLOOKUP(C39,Sheet2!$C$1:$D$149,2,FALSE)</f>
        <v>702.90714500000001</v>
      </c>
      <c r="F39" s="3">
        <f t="shared" si="0"/>
        <v>0.55252884211799558</v>
      </c>
    </row>
    <row r="40" spans="1:6" x14ac:dyDescent="0.35">
      <c r="A40" s="1">
        <v>38</v>
      </c>
      <c r="B40" t="s">
        <v>3</v>
      </c>
      <c r="C40" t="s">
        <v>42</v>
      </c>
      <c r="D40">
        <v>0</v>
      </c>
      <c r="E40">
        <f>VLOOKUP(C40,Sheet2!$C$1:$D$149,2,FALSE)</f>
        <v>144.59475</v>
      </c>
      <c r="F40" s="3">
        <f t="shared" si="0"/>
        <v>0</v>
      </c>
    </row>
    <row r="41" spans="1:6" x14ac:dyDescent="0.35">
      <c r="A41" s="1">
        <v>39</v>
      </c>
      <c r="B41" t="s">
        <v>3</v>
      </c>
      <c r="C41" t="s">
        <v>43</v>
      </c>
      <c r="D41">
        <v>0</v>
      </c>
      <c r="E41">
        <f>VLOOKUP(C41,Sheet2!$C$1:$D$149,2,FALSE)</f>
        <v>594.33059500000013</v>
      </c>
      <c r="F41" s="3">
        <f t="shared" si="0"/>
        <v>0</v>
      </c>
    </row>
    <row r="42" spans="1:6" x14ac:dyDescent="0.35">
      <c r="A42" s="1">
        <v>40</v>
      </c>
      <c r="B42" t="s">
        <v>3</v>
      </c>
      <c r="C42" t="s">
        <v>44</v>
      </c>
      <c r="D42">
        <v>125.65052</v>
      </c>
      <c r="E42">
        <f>VLOOKUP(C42,Sheet2!$C$1:$D$149,2,FALSE)</f>
        <v>125.65051999999997</v>
      </c>
      <c r="F42" s="3">
        <f t="shared" si="0"/>
        <v>1.0000000000000002</v>
      </c>
    </row>
    <row r="43" spans="1:6" x14ac:dyDescent="0.35">
      <c r="A43" s="1">
        <v>41</v>
      </c>
      <c r="B43" t="s">
        <v>3</v>
      </c>
      <c r="C43" t="s">
        <v>45</v>
      </c>
      <c r="D43">
        <v>0</v>
      </c>
      <c r="E43">
        <f>VLOOKUP(C43,Sheet2!$C$1:$D$149,2,FALSE)</f>
        <v>119.72</v>
      </c>
      <c r="F43" s="3">
        <f t="shared" si="0"/>
        <v>0</v>
      </c>
    </row>
    <row r="44" spans="1:6" x14ac:dyDescent="0.35">
      <c r="A44" s="1">
        <v>42</v>
      </c>
      <c r="B44" t="s">
        <v>3</v>
      </c>
      <c r="C44" t="s">
        <v>46</v>
      </c>
      <c r="D44">
        <v>0</v>
      </c>
      <c r="E44">
        <f>VLOOKUP(C44,Sheet2!$C$1:$D$149,2,FALSE)</f>
        <v>224.00633999999999</v>
      </c>
      <c r="F44" s="3">
        <f t="shared" si="0"/>
        <v>0</v>
      </c>
    </row>
    <row r="45" spans="1:6" x14ac:dyDescent="0.35">
      <c r="A45" s="1">
        <v>43</v>
      </c>
      <c r="B45" t="s">
        <v>3</v>
      </c>
      <c r="C45" t="s">
        <v>47</v>
      </c>
      <c r="D45">
        <v>0</v>
      </c>
      <c r="E45">
        <f>VLOOKUP(C45,Sheet2!$C$1:$D$149,2,FALSE)</f>
        <v>49.680879999999995</v>
      </c>
      <c r="F45" s="3">
        <f t="shared" si="0"/>
        <v>0</v>
      </c>
    </row>
    <row r="46" spans="1:6" x14ac:dyDescent="0.35">
      <c r="A46" s="1">
        <v>44</v>
      </c>
      <c r="B46" t="s">
        <v>3</v>
      </c>
      <c r="C46" t="s">
        <v>48</v>
      </c>
      <c r="D46">
        <v>4.2888860756719822</v>
      </c>
      <c r="E46">
        <f>VLOOKUP(C46,Sheet2!$C$1:$D$149,2,FALSE)</f>
        <v>85.227500000000006</v>
      </c>
      <c r="F46" s="3">
        <f t="shared" si="0"/>
        <v>5.0322795760429223E-2</v>
      </c>
    </row>
    <row r="47" spans="1:6" x14ac:dyDescent="0.35">
      <c r="A47" s="1">
        <v>45</v>
      </c>
      <c r="B47" t="s">
        <v>3</v>
      </c>
      <c r="C47" t="s">
        <v>49</v>
      </c>
      <c r="D47">
        <v>306.70526266509188</v>
      </c>
      <c r="E47">
        <f>VLOOKUP(C47,Sheet2!$C$1:$D$149,2,FALSE)</f>
        <v>658.37605000000008</v>
      </c>
      <c r="F47" s="3">
        <f t="shared" si="0"/>
        <v>0.46585118438784617</v>
      </c>
    </row>
    <row r="48" spans="1:6" x14ac:dyDescent="0.35">
      <c r="A48" s="1">
        <v>46</v>
      </c>
      <c r="B48" t="s">
        <v>3</v>
      </c>
      <c r="C48" t="s">
        <v>50</v>
      </c>
      <c r="D48">
        <v>3.1361880225518979</v>
      </c>
      <c r="E48">
        <f>VLOOKUP(C48,Sheet2!$C$1:$D$149,2,FALSE)</f>
        <v>9.7491500000000002</v>
      </c>
      <c r="F48" s="3">
        <f t="shared" si="0"/>
        <v>0.32168835463111123</v>
      </c>
    </row>
    <row r="49" spans="1:6" x14ac:dyDescent="0.35">
      <c r="A49" s="1">
        <v>47</v>
      </c>
      <c r="B49" t="s">
        <v>3</v>
      </c>
      <c r="C49" t="s">
        <v>51</v>
      </c>
      <c r="D49">
        <v>0</v>
      </c>
      <c r="E49">
        <f>VLOOKUP(C49,Sheet2!$C$1:$D$149,2,FALSE)</f>
        <v>124.08832</v>
      </c>
      <c r="F49" s="3">
        <f t="shared" si="0"/>
        <v>0</v>
      </c>
    </row>
    <row r="50" spans="1:6" x14ac:dyDescent="0.35">
      <c r="A50" s="1">
        <v>48</v>
      </c>
      <c r="B50" t="s">
        <v>3</v>
      </c>
      <c r="C50" t="s">
        <v>52</v>
      </c>
      <c r="D50">
        <v>0</v>
      </c>
      <c r="E50">
        <f>VLOOKUP(C50,Sheet2!$C$1:$D$149,2,FALSE)</f>
        <v>419.75</v>
      </c>
      <c r="F50" s="3">
        <f t="shared" si="0"/>
        <v>0</v>
      </c>
    </row>
    <row r="51" spans="1:6" x14ac:dyDescent="0.35">
      <c r="A51" s="1">
        <v>49</v>
      </c>
      <c r="B51" t="s">
        <v>3</v>
      </c>
      <c r="C51" t="s">
        <v>53</v>
      </c>
      <c r="D51">
        <v>4.0183244254011106</v>
      </c>
      <c r="E51">
        <f>VLOOKUP(C51,Sheet2!$C$1:$D$149,2,FALSE)</f>
        <v>41.0625</v>
      </c>
      <c r="F51" s="3">
        <f t="shared" si="0"/>
        <v>9.7858737909311669E-2</v>
      </c>
    </row>
    <row r="52" spans="1:6" x14ac:dyDescent="0.35">
      <c r="A52" s="1">
        <v>50</v>
      </c>
      <c r="B52" t="s">
        <v>3</v>
      </c>
      <c r="C52" t="s">
        <v>54</v>
      </c>
      <c r="D52">
        <v>0</v>
      </c>
      <c r="E52">
        <f>VLOOKUP(C52,Sheet2!$C$1:$D$149,2,FALSE)</f>
        <v>89.972499999999997</v>
      </c>
      <c r="F52" s="3">
        <f t="shared" si="0"/>
        <v>0</v>
      </c>
    </row>
    <row r="53" spans="1:6" x14ac:dyDescent="0.35">
      <c r="A53" s="1">
        <v>51</v>
      </c>
      <c r="B53" t="s">
        <v>3</v>
      </c>
      <c r="C53" t="s">
        <v>55</v>
      </c>
      <c r="D53">
        <v>55.881500000000003</v>
      </c>
      <c r="E53">
        <f>VLOOKUP(C53,Sheet2!$C$1:$D$149,2,FALSE)</f>
        <v>55.881500000000003</v>
      </c>
      <c r="F53" s="3">
        <f t="shared" si="0"/>
        <v>1</v>
      </c>
    </row>
    <row r="54" spans="1:6" x14ac:dyDescent="0.35">
      <c r="A54" s="1">
        <v>52</v>
      </c>
      <c r="B54" t="s">
        <v>3</v>
      </c>
      <c r="C54" t="s">
        <v>56</v>
      </c>
      <c r="D54">
        <v>9.732558905401131</v>
      </c>
      <c r="E54">
        <f>VLOOKUP(C54,Sheet2!$C$1:$D$149,2,FALSE)</f>
        <v>70.627499999999998</v>
      </c>
      <c r="F54" s="3">
        <f t="shared" si="0"/>
        <v>0.13780126587237451</v>
      </c>
    </row>
    <row r="55" spans="1:6" x14ac:dyDescent="0.35">
      <c r="A55" s="1">
        <v>53</v>
      </c>
      <c r="B55" t="s">
        <v>3</v>
      </c>
      <c r="C55" t="s">
        <v>57</v>
      </c>
      <c r="D55">
        <v>0</v>
      </c>
      <c r="E55">
        <f>VLOOKUP(C55,Sheet2!$C$1:$D$149,2,FALSE)</f>
        <v>157.46100000000001</v>
      </c>
      <c r="F55" s="3">
        <f t="shared" si="0"/>
        <v>0</v>
      </c>
    </row>
    <row r="56" spans="1:6" x14ac:dyDescent="0.35">
      <c r="A56" s="1">
        <v>54</v>
      </c>
      <c r="B56" t="s">
        <v>3</v>
      </c>
      <c r="C56" t="s">
        <v>58</v>
      </c>
      <c r="D56">
        <v>10.4025</v>
      </c>
      <c r="E56">
        <f>VLOOKUP(C56,Sheet2!$C$1:$D$149,2,FALSE)</f>
        <v>10.4025</v>
      </c>
      <c r="F56" s="3">
        <f t="shared" si="0"/>
        <v>1</v>
      </c>
    </row>
    <row r="57" spans="1:6" x14ac:dyDescent="0.35">
      <c r="A57" s="1">
        <v>55</v>
      </c>
      <c r="B57" t="s">
        <v>3</v>
      </c>
      <c r="C57" t="s">
        <v>59</v>
      </c>
      <c r="D57">
        <v>0</v>
      </c>
      <c r="E57">
        <f>VLOOKUP(C57,Sheet2!$C$1:$D$149,2,FALSE)</f>
        <v>63.07200000000001</v>
      </c>
      <c r="F57" s="3">
        <f t="shared" si="0"/>
        <v>0</v>
      </c>
    </row>
    <row r="58" spans="1:6" x14ac:dyDescent="0.35">
      <c r="A58" s="1">
        <v>56</v>
      </c>
      <c r="B58" t="s">
        <v>3</v>
      </c>
      <c r="C58" t="s">
        <v>60</v>
      </c>
      <c r="D58">
        <v>0</v>
      </c>
      <c r="E58">
        <f>VLOOKUP(C58,Sheet2!$C$1:$D$149,2,FALSE)</f>
        <v>233.74600000000001</v>
      </c>
      <c r="F58" s="3">
        <f t="shared" si="0"/>
        <v>0</v>
      </c>
    </row>
    <row r="59" spans="1:6" x14ac:dyDescent="0.35">
      <c r="A59" s="1">
        <v>57</v>
      </c>
      <c r="B59" t="s">
        <v>3</v>
      </c>
      <c r="C59" t="s">
        <v>61</v>
      </c>
      <c r="D59">
        <v>0</v>
      </c>
      <c r="E59">
        <f>VLOOKUP(C59,Sheet2!$C$1:$D$149,2,FALSE)</f>
        <v>36.5</v>
      </c>
      <c r="F59" s="3">
        <f t="shared" si="0"/>
        <v>0</v>
      </c>
    </row>
    <row r="60" spans="1:6" x14ac:dyDescent="0.35">
      <c r="A60" s="1">
        <v>58</v>
      </c>
      <c r="B60" t="s">
        <v>3</v>
      </c>
      <c r="C60" t="s">
        <v>62</v>
      </c>
      <c r="D60">
        <v>0</v>
      </c>
      <c r="E60">
        <f>VLOOKUP(C60,Sheet2!$C$1:$D$149,2,FALSE)</f>
        <v>7.8475000000000001</v>
      </c>
      <c r="F60" s="3">
        <f t="shared" si="0"/>
        <v>0</v>
      </c>
    </row>
    <row r="61" spans="1:6" x14ac:dyDescent="0.35">
      <c r="A61" s="1">
        <v>59</v>
      </c>
      <c r="B61" t="s">
        <v>3</v>
      </c>
      <c r="C61" t="s">
        <v>63</v>
      </c>
      <c r="D61">
        <v>3.974396675092017</v>
      </c>
      <c r="E61">
        <f>VLOOKUP(C61,Sheet2!$C$1:$D$149,2,FALSE)</f>
        <v>19.6005</v>
      </c>
      <c r="F61" s="3">
        <f t="shared" si="0"/>
        <v>0.20277016785755553</v>
      </c>
    </row>
    <row r="62" spans="1:6" x14ac:dyDescent="0.35">
      <c r="A62" s="1">
        <v>60</v>
      </c>
      <c r="B62" t="s">
        <v>3</v>
      </c>
      <c r="C62" t="s">
        <v>64</v>
      </c>
      <c r="D62">
        <v>0</v>
      </c>
      <c r="E62">
        <f>VLOOKUP(C62,Sheet2!$C$1:$D$149,2,FALSE)</f>
        <v>2.8105000000000002</v>
      </c>
      <c r="F62" s="3">
        <f t="shared" si="0"/>
        <v>0</v>
      </c>
    </row>
    <row r="63" spans="1:6" x14ac:dyDescent="0.35">
      <c r="A63" s="1">
        <v>61</v>
      </c>
      <c r="B63" t="s">
        <v>3</v>
      </c>
      <c r="C63" t="s">
        <v>65</v>
      </c>
      <c r="D63">
        <v>17.72805</v>
      </c>
      <c r="E63">
        <f>VLOOKUP(C63,Sheet2!$C$1:$D$149,2,FALSE)</f>
        <v>17.72805</v>
      </c>
      <c r="F63" s="3">
        <f t="shared" si="0"/>
        <v>1</v>
      </c>
    </row>
    <row r="64" spans="1:6" x14ac:dyDescent="0.35">
      <c r="A64" s="1">
        <v>62</v>
      </c>
      <c r="B64" t="s">
        <v>3</v>
      </c>
      <c r="C64" t="s">
        <v>66</v>
      </c>
      <c r="D64">
        <v>0</v>
      </c>
      <c r="E64">
        <f>VLOOKUP(C64,Sheet2!$C$1:$D$149,2,FALSE)</f>
        <v>98.55</v>
      </c>
      <c r="F64" s="3">
        <f t="shared" si="0"/>
        <v>0</v>
      </c>
    </row>
    <row r="65" spans="1:6" x14ac:dyDescent="0.35">
      <c r="A65" s="1">
        <v>63</v>
      </c>
      <c r="B65" t="s">
        <v>3</v>
      </c>
      <c r="C65" t="s">
        <v>67</v>
      </c>
      <c r="D65">
        <v>31.263999999999999</v>
      </c>
      <c r="E65">
        <f>VLOOKUP(C65,Sheet2!$C$1:$D$149,2,FALSE)</f>
        <v>81.394999999999996</v>
      </c>
      <c r="F65" s="3">
        <f t="shared" si="0"/>
        <v>0.38410221758093249</v>
      </c>
    </row>
    <row r="66" spans="1:6" x14ac:dyDescent="0.35">
      <c r="A66" s="1">
        <v>64</v>
      </c>
      <c r="B66" t="s">
        <v>3</v>
      </c>
      <c r="C66" t="s">
        <v>68</v>
      </c>
      <c r="D66">
        <v>0</v>
      </c>
      <c r="E66">
        <f>VLOOKUP(C66,Sheet2!$C$1:$D$149,2,FALSE)</f>
        <v>60.068779999999997</v>
      </c>
      <c r="F66" s="3">
        <f t="shared" si="0"/>
        <v>0</v>
      </c>
    </row>
    <row r="67" spans="1:6" x14ac:dyDescent="0.35">
      <c r="A67" s="1">
        <v>65</v>
      </c>
      <c r="B67" t="s">
        <v>3</v>
      </c>
      <c r="C67" t="s">
        <v>69</v>
      </c>
      <c r="D67">
        <v>0</v>
      </c>
      <c r="E67">
        <f>VLOOKUP(C67,Sheet2!$C$1:$D$149,2,FALSE)</f>
        <v>1.5034349999999999</v>
      </c>
      <c r="F67" s="3">
        <f t="shared" ref="F67:F130" si="1">D67/E67</f>
        <v>0</v>
      </c>
    </row>
    <row r="68" spans="1:6" x14ac:dyDescent="0.35">
      <c r="A68" s="1">
        <v>66</v>
      </c>
      <c r="B68" t="s">
        <v>3</v>
      </c>
      <c r="C68" t="s">
        <v>70</v>
      </c>
      <c r="D68">
        <v>0</v>
      </c>
      <c r="E68">
        <f>VLOOKUP(C68,Sheet2!$C$1:$D$149,2,FALSE)</f>
        <v>340.03399999999999</v>
      </c>
      <c r="F68" s="3">
        <f t="shared" si="1"/>
        <v>0</v>
      </c>
    </row>
    <row r="69" spans="1:6" x14ac:dyDescent="0.35">
      <c r="A69" s="1">
        <v>67</v>
      </c>
      <c r="B69" t="s">
        <v>3</v>
      </c>
      <c r="C69" t="s">
        <v>71</v>
      </c>
      <c r="D69">
        <v>0</v>
      </c>
      <c r="E69">
        <f>VLOOKUP(C69,Sheet2!$C$1:$D$149,2,FALSE)</f>
        <v>449.59203500000001</v>
      </c>
      <c r="F69" s="3">
        <f t="shared" si="1"/>
        <v>0</v>
      </c>
    </row>
    <row r="70" spans="1:6" x14ac:dyDescent="0.35">
      <c r="A70" s="1">
        <v>68</v>
      </c>
      <c r="B70" t="s">
        <v>3</v>
      </c>
      <c r="C70" t="s">
        <v>72</v>
      </c>
      <c r="D70">
        <v>0</v>
      </c>
      <c r="E70">
        <f>VLOOKUP(C70,Sheet2!$C$1:$D$149,2,FALSE)</f>
        <v>10.220000000000001</v>
      </c>
      <c r="F70" s="3">
        <f t="shared" si="1"/>
        <v>0</v>
      </c>
    </row>
    <row r="71" spans="1:6" x14ac:dyDescent="0.35">
      <c r="A71" s="1">
        <v>69</v>
      </c>
      <c r="B71" t="s">
        <v>3</v>
      </c>
      <c r="C71" t="s">
        <v>73</v>
      </c>
      <c r="D71">
        <v>225.57591541509191</v>
      </c>
      <c r="E71">
        <f>VLOOKUP(C71,Sheet2!$C$1:$D$149,2,FALSE)</f>
        <v>454.93600000000004</v>
      </c>
      <c r="F71" s="3">
        <f t="shared" si="1"/>
        <v>0.49584098733688231</v>
      </c>
    </row>
    <row r="72" spans="1:6" x14ac:dyDescent="0.35">
      <c r="A72" s="1">
        <v>70</v>
      </c>
      <c r="B72" t="s">
        <v>3</v>
      </c>
      <c r="C72" t="s">
        <v>74</v>
      </c>
      <c r="D72">
        <v>0</v>
      </c>
      <c r="E72">
        <f>VLOOKUP(C72,Sheet2!$C$1:$D$149,2,FALSE)</f>
        <v>573.19600000000003</v>
      </c>
      <c r="F72" s="3">
        <f t="shared" si="1"/>
        <v>0</v>
      </c>
    </row>
    <row r="73" spans="1:6" x14ac:dyDescent="0.35">
      <c r="A73" s="1">
        <v>71</v>
      </c>
      <c r="B73" t="s">
        <v>3</v>
      </c>
      <c r="C73" t="s">
        <v>75</v>
      </c>
      <c r="D73">
        <v>0</v>
      </c>
      <c r="E73">
        <f>VLOOKUP(C73,Sheet2!$C$1:$D$149,2,FALSE)</f>
        <v>167.024</v>
      </c>
      <c r="F73" s="3">
        <f t="shared" si="1"/>
        <v>0</v>
      </c>
    </row>
    <row r="74" spans="1:6" x14ac:dyDescent="0.35">
      <c r="A74" s="1">
        <v>72</v>
      </c>
      <c r="B74" t="s">
        <v>3</v>
      </c>
      <c r="C74" t="s">
        <v>76</v>
      </c>
      <c r="D74">
        <v>47.048499999999997</v>
      </c>
      <c r="E74">
        <f>VLOOKUP(C74,Sheet2!$C$1:$D$149,2,FALSE)</f>
        <v>47.048499999999997</v>
      </c>
      <c r="F74" s="3">
        <f t="shared" si="1"/>
        <v>1</v>
      </c>
    </row>
    <row r="75" spans="1:6" x14ac:dyDescent="0.35">
      <c r="A75" s="1">
        <v>73</v>
      </c>
      <c r="B75" t="s">
        <v>3</v>
      </c>
      <c r="C75" t="s">
        <v>77</v>
      </c>
      <c r="D75">
        <v>151.84</v>
      </c>
      <c r="E75">
        <f>VLOOKUP(C75,Sheet2!$C$1:$D$149,2,FALSE)</f>
        <v>151.84</v>
      </c>
      <c r="F75" s="3">
        <f t="shared" si="1"/>
        <v>1</v>
      </c>
    </row>
    <row r="76" spans="1:6" x14ac:dyDescent="0.35">
      <c r="A76" s="1">
        <v>74</v>
      </c>
      <c r="B76" t="s">
        <v>3</v>
      </c>
      <c r="C76" t="s">
        <v>78</v>
      </c>
      <c r="D76">
        <v>0</v>
      </c>
      <c r="E76">
        <f>VLOOKUP(C76,Sheet2!$C$1:$D$149,2,FALSE)</f>
        <v>28.251000000000005</v>
      </c>
      <c r="F76" s="3">
        <f t="shared" si="1"/>
        <v>0</v>
      </c>
    </row>
    <row r="77" spans="1:6" x14ac:dyDescent="0.35">
      <c r="A77" s="1">
        <v>75</v>
      </c>
      <c r="B77" t="s">
        <v>3</v>
      </c>
      <c r="C77" t="s">
        <v>79</v>
      </c>
      <c r="D77">
        <v>0</v>
      </c>
      <c r="E77">
        <f>VLOOKUP(C77,Sheet2!$C$1:$D$149,2,FALSE)</f>
        <v>18.572295</v>
      </c>
      <c r="F77" s="3">
        <f t="shared" si="1"/>
        <v>0</v>
      </c>
    </row>
    <row r="78" spans="1:6" x14ac:dyDescent="0.35">
      <c r="A78" s="1">
        <v>76</v>
      </c>
      <c r="B78" t="s">
        <v>3</v>
      </c>
      <c r="C78" t="s">
        <v>80</v>
      </c>
      <c r="D78">
        <v>37.466500000000018</v>
      </c>
      <c r="E78">
        <f>VLOOKUP(C78,Sheet2!$C$1:$D$149,2,FALSE)</f>
        <v>51.83</v>
      </c>
      <c r="F78" s="3">
        <f t="shared" si="1"/>
        <v>0.72287285355971487</v>
      </c>
    </row>
    <row r="79" spans="1:6" x14ac:dyDescent="0.35">
      <c r="A79" s="1">
        <v>77</v>
      </c>
      <c r="B79" t="s">
        <v>3</v>
      </c>
      <c r="C79" t="s">
        <v>81</v>
      </c>
      <c r="D79">
        <v>0</v>
      </c>
      <c r="E79">
        <f>VLOOKUP(C79,Sheet2!$C$1:$D$149,2,FALSE)</f>
        <v>28.287500000000001</v>
      </c>
      <c r="F79" s="3">
        <f t="shared" si="1"/>
        <v>0</v>
      </c>
    </row>
    <row r="80" spans="1:6" x14ac:dyDescent="0.35">
      <c r="A80" s="1">
        <v>78</v>
      </c>
      <c r="B80" t="s">
        <v>3</v>
      </c>
      <c r="C80" t="s">
        <v>82</v>
      </c>
      <c r="D80">
        <v>1.766001991997733</v>
      </c>
      <c r="E80">
        <f>VLOOKUP(C80,Sheet2!$C$1:$D$149,2,FALSE)</f>
        <v>122.3699</v>
      </c>
      <c r="F80" s="3">
        <f t="shared" si="1"/>
        <v>1.4431669814208665E-2</v>
      </c>
    </row>
    <row r="81" spans="1:6" x14ac:dyDescent="0.35">
      <c r="A81" s="1">
        <v>79</v>
      </c>
      <c r="B81" t="s">
        <v>3</v>
      </c>
      <c r="C81" t="s">
        <v>83</v>
      </c>
      <c r="D81">
        <v>5</v>
      </c>
      <c r="E81">
        <f>VLOOKUP(C81,Sheet2!$C$1:$D$149,2,FALSE)</f>
        <v>6.5626999999999995</v>
      </c>
      <c r="F81" s="3">
        <f t="shared" si="1"/>
        <v>0.76188154265774766</v>
      </c>
    </row>
    <row r="82" spans="1:6" x14ac:dyDescent="0.35">
      <c r="A82" s="1">
        <v>80</v>
      </c>
      <c r="B82" t="s">
        <v>3</v>
      </c>
      <c r="C82" t="s">
        <v>84</v>
      </c>
      <c r="D82">
        <v>0</v>
      </c>
      <c r="E82">
        <f>VLOOKUP(C82,Sheet2!$C$1:$D$149,2,FALSE)</f>
        <v>170.63749999999999</v>
      </c>
      <c r="F82" s="3">
        <f t="shared" si="1"/>
        <v>0</v>
      </c>
    </row>
    <row r="83" spans="1:6" x14ac:dyDescent="0.35">
      <c r="A83" s="1">
        <v>81</v>
      </c>
      <c r="B83" t="s">
        <v>3</v>
      </c>
      <c r="C83" t="s">
        <v>85</v>
      </c>
      <c r="D83">
        <v>0</v>
      </c>
      <c r="E83">
        <f>VLOOKUP(C83,Sheet2!$C$1:$D$149,2,FALSE)</f>
        <v>42.997</v>
      </c>
      <c r="F83" s="3">
        <f t="shared" si="1"/>
        <v>0</v>
      </c>
    </row>
    <row r="84" spans="1:6" x14ac:dyDescent="0.35">
      <c r="A84" s="1">
        <v>82</v>
      </c>
      <c r="B84" t="s">
        <v>3</v>
      </c>
      <c r="C84" t="s">
        <v>86</v>
      </c>
      <c r="D84">
        <v>0</v>
      </c>
      <c r="E84">
        <f>VLOOKUP(C84,Sheet2!$C$1:$D$149,2,FALSE)</f>
        <v>54.074750000000002</v>
      </c>
      <c r="F84" s="3">
        <f t="shared" si="1"/>
        <v>0</v>
      </c>
    </row>
    <row r="85" spans="1:6" x14ac:dyDescent="0.35">
      <c r="A85" s="1">
        <v>83</v>
      </c>
      <c r="B85" t="s">
        <v>3</v>
      </c>
      <c r="C85" t="s">
        <v>87</v>
      </c>
      <c r="D85">
        <v>10.40036286731274</v>
      </c>
      <c r="E85">
        <f>VLOOKUP(C85,Sheet2!$C$1:$D$149,2,FALSE)</f>
        <v>12.1837</v>
      </c>
      <c r="F85" s="3">
        <f t="shared" si="1"/>
        <v>0.85362926428857733</v>
      </c>
    </row>
    <row r="86" spans="1:6" x14ac:dyDescent="0.35">
      <c r="A86" s="1">
        <v>84</v>
      </c>
      <c r="B86" t="s">
        <v>3</v>
      </c>
      <c r="C86" t="s">
        <v>88</v>
      </c>
      <c r="D86">
        <v>23.081527299999991</v>
      </c>
      <c r="E86">
        <f>VLOOKUP(C86,Sheet2!$C$1:$D$149,2,FALSE)</f>
        <v>181.46340000000004</v>
      </c>
      <c r="F86" s="3">
        <f t="shared" si="1"/>
        <v>0.12719659887338156</v>
      </c>
    </row>
    <row r="87" spans="1:6" x14ac:dyDescent="0.35">
      <c r="A87" s="1">
        <v>85</v>
      </c>
      <c r="B87" t="s">
        <v>3</v>
      </c>
      <c r="C87" t="s">
        <v>89</v>
      </c>
      <c r="D87">
        <v>17.649309599999992</v>
      </c>
      <c r="E87">
        <f>VLOOKUP(C87,Sheet2!$C$1:$D$149,2,FALSE)</f>
        <v>23.659299999999998</v>
      </c>
      <c r="F87" s="3">
        <f t="shared" si="1"/>
        <v>0.74597767474101062</v>
      </c>
    </row>
    <row r="88" spans="1:6" x14ac:dyDescent="0.35">
      <c r="A88" s="1">
        <v>86</v>
      </c>
      <c r="B88" t="s">
        <v>3</v>
      </c>
      <c r="C88" t="s">
        <v>90</v>
      </c>
      <c r="D88">
        <v>0</v>
      </c>
      <c r="E88">
        <f>VLOOKUP(C88,Sheet2!$C$1:$D$149,2,FALSE)</f>
        <v>18.359500000000001</v>
      </c>
      <c r="F88" s="3">
        <f t="shared" si="1"/>
        <v>0</v>
      </c>
    </row>
    <row r="89" spans="1:6" x14ac:dyDescent="0.35">
      <c r="A89" s="1">
        <v>87</v>
      </c>
      <c r="B89" t="s">
        <v>3</v>
      </c>
      <c r="C89" t="s">
        <v>91</v>
      </c>
      <c r="D89">
        <v>48.356222617516757</v>
      </c>
      <c r="E89">
        <f>VLOOKUP(C89,Sheet2!$C$1:$D$149,2,FALSE)</f>
        <v>294.09875000000005</v>
      </c>
      <c r="F89" s="3">
        <f t="shared" si="1"/>
        <v>0.16442172099513089</v>
      </c>
    </row>
    <row r="90" spans="1:6" x14ac:dyDescent="0.35">
      <c r="A90" s="1">
        <v>88</v>
      </c>
      <c r="B90" t="s">
        <v>3</v>
      </c>
      <c r="C90" t="s">
        <v>92</v>
      </c>
      <c r="D90">
        <v>0</v>
      </c>
      <c r="E90">
        <f>VLOOKUP(C90,Sheet2!$C$1:$D$149,2,FALSE)</f>
        <v>44.603000000000002</v>
      </c>
      <c r="F90" s="3">
        <f t="shared" si="1"/>
        <v>0</v>
      </c>
    </row>
    <row r="91" spans="1:6" x14ac:dyDescent="0.35">
      <c r="A91" s="1">
        <v>89</v>
      </c>
      <c r="B91" t="s">
        <v>3</v>
      </c>
      <c r="C91" t="s">
        <v>93</v>
      </c>
      <c r="D91">
        <v>12.91842981977535</v>
      </c>
      <c r="E91">
        <f>VLOOKUP(C91,Sheet2!$C$1:$D$149,2,FALSE)</f>
        <v>20.330500000000001</v>
      </c>
      <c r="F91" s="3">
        <f t="shared" si="1"/>
        <v>0.63542115637959462</v>
      </c>
    </row>
    <row r="92" spans="1:6" x14ac:dyDescent="0.35">
      <c r="A92" s="1">
        <v>90</v>
      </c>
      <c r="B92" t="s">
        <v>3</v>
      </c>
      <c r="C92" t="s">
        <v>94</v>
      </c>
      <c r="D92">
        <v>0</v>
      </c>
      <c r="E92">
        <f>VLOOKUP(C92,Sheet2!$C$1:$D$149,2,FALSE)</f>
        <v>24.673999999999996</v>
      </c>
      <c r="F92" s="3">
        <f t="shared" si="1"/>
        <v>0</v>
      </c>
    </row>
    <row r="93" spans="1:6" x14ac:dyDescent="0.35">
      <c r="A93" s="1">
        <v>91</v>
      </c>
      <c r="B93" t="s">
        <v>3</v>
      </c>
      <c r="C93" t="s">
        <v>95</v>
      </c>
      <c r="D93">
        <v>25.084116029688129</v>
      </c>
      <c r="E93">
        <f>VLOOKUP(C93,Sheet2!$C$1:$D$149,2,FALSE)</f>
        <v>41.683</v>
      </c>
      <c r="F93" s="3">
        <f t="shared" si="1"/>
        <v>0.60178288582127315</v>
      </c>
    </row>
    <row r="94" spans="1:6" x14ac:dyDescent="0.35">
      <c r="A94" s="1">
        <v>92</v>
      </c>
      <c r="B94" t="s">
        <v>3</v>
      </c>
      <c r="C94" t="s">
        <v>96</v>
      </c>
      <c r="D94">
        <v>0</v>
      </c>
      <c r="E94">
        <f>VLOOKUP(C94,Sheet2!$C$1:$D$149,2,FALSE)</f>
        <v>23.761499999999998</v>
      </c>
      <c r="F94" s="3">
        <f t="shared" si="1"/>
        <v>0</v>
      </c>
    </row>
    <row r="95" spans="1:6" x14ac:dyDescent="0.35">
      <c r="A95" s="1">
        <v>93</v>
      </c>
      <c r="B95" t="s">
        <v>3</v>
      </c>
      <c r="C95" t="s">
        <v>97</v>
      </c>
      <c r="D95">
        <v>2.2451264076039759</v>
      </c>
      <c r="E95">
        <f>VLOOKUP(C95,Sheet2!$C$1:$D$149,2,FALSE)</f>
        <v>31.024999999999999</v>
      </c>
      <c r="F95" s="3">
        <f t="shared" si="1"/>
        <v>7.2365073573053218E-2</v>
      </c>
    </row>
    <row r="96" spans="1:6" x14ac:dyDescent="0.35">
      <c r="A96" s="1">
        <v>94</v>
      </c>
      <c r="B96" t="s">
        <v>3</v>
      </c>
      <c r="C96" t="s">
        <v>98</v>
      </c>
      <c r="D96">
        <v>81.906000000000006</v>
      </c>
      <c r="E96">
        <f>VLOOKUP(C96,Sheet2!$C$1:$D$149,2,FALSE)</f>
        <v>81.906000000000006</v>
      </c>
      <c r="F96" s="3">
        <f t="shared" si="1"/>
        <v>1</v>
      </c>
    </row>
    <row r="97" spans="1:6" x14ac:dyDescent="0.35">
      <c r="A97" s="1">
        <v>95</v>
      </c>
      <c r="B97" t="s">
        <v>3</v>
      </c>
      <c r="C97" t="s">
        <v>99</v>
      </c>
      <c r="D97">
        <v>0</v>
      </c>
      <c r="E97">
        <f>VLOOKUP(C97,Sheet2!$C$1:$D$149,2,FALSE)</f>
        <v>52.56</v>
      </c>
      <c r="F97" s="3">
        <f t="shared" si="1"/>
        <v>0</v>
      </c>
    </row>
    <row r="98" spans="1:6" x14ac:dyDescent="0.35">
      <c r="A98" s="1">
        <v>96</v>
      </c>
      <c r="B98" t="s">
        <v>3</v>
      </c>
      <c r="C98" t="s">
        <v>100</v>
      </c>
      <c r="D98">
        <v>0</v>
      </c>
      <c r="E98">
        <f>VLOOKUP(C98,Sheet2!$C$1:$D$149,2,FALSE)</f>
        <v>29.2</v>
      </c>
      <c r="F98" s="3">
        <f t="shared" si="1"/>
        <v>0</v>
      </c>
    </row>
    <row r="99" spans="1:6" x14ac:dyDescent="0.35">
      <c r="A99" s="1">
        <v>97</v>
      </c>
      <c r="B99" t="s">
        <v>3</v>
      </c>
      <c r="C99" t="s">
        <v>101</v>
      </c>
      <c r="D99">
        <v>0</v>
      </c>
      <c r="E99">
        <f>VLOOKUP(C99,Sheet2!$C$1:$D$149,2,FALSE)</f>
        <v>49.494</v>
      </c>
      <c r="F99" s="3">
        <f t="shared" si="1"/>
        <v>0</v>
      </c>
    </row>
    <row r="100" spans="1:6" x14ac:dyDescent="0.35">
      <c r="A100" s="1">
        <v>98</v>
      </c>
      <c r="B100" t="s">
        <v>3</v>
      </c>
      <c r="C100" t="s">
        <v>102</v>
      </c>
      <c r="D100">
        <v>0</v>
      </c>
      <c r="E100">
        <f>VLOOKUP(C100,Sheet2!$C$1:$D$149,2,FALSE)</f>
        <v>816.06700000000012</v>
      </c>
      <c r="F100" s="3">
        <f t="shared" si="1"/>
        <v>0</v>
      </c>
    </row>
    <row r="101" spans="1:6" x14ac:dyDescent="0.35">
      <c r="A101" s="1">
        <v>99</v>
      </c>
      <c r="B101" t="s">
        <v>3</v>
      </c>
      <c r="C101" t="s">
        <v>103</v>
      </c>
      <c r="D101">
        <v>0</v>
      </c>
      <c r="E101">
        <f>VLOOKUP(C101,Sheet2!$C$1:$D$149,2,FALSE)</f>
        <v>188.88749999999999</v>
      </c>
      <c r="F101" s="3">
        <f t="shared" si="1"/>
        <v>0</v>
      </c>
    </row>
    <row r="102" spans="1:6" x14ac:dyDescent="0.35">
      <c r="A102" s="1">
        <v>100</v>
      </c>
      <c r="B102" t="s">
        <v>3</v>
      </c>
      <c r="C102" t="s">
        <v>104</v>
      </c>
      <c r="D102">
        <v>83.579562437292125</v>
      </c>
      <c r="E102">
        <f>VLOOKUP(C102,Sheet2!$C$1:$D$149,2,FALSE)</f>
        <v>424.64100000000008</v>
      </c>
      <c r="F102" s="3">
        <f t="shared" si="1"/>
        <v>0.1968240524049541</v>
      </c>
    </row>
    <row r="103" spans="1:6" x14ac:dyDescent="0.35">
      <c r="A103" s="1">
        <v>101</v>
      </c>
      <c r="B103" t="s">
        <v>3</v>
      </c>
      <c r="C103" t="s">
        <v>105</v>
      </c>
      <c r="D103">
        <v>0</v>
      </c>
      <c r="E103">
        <f>VLOOKUP(C103,Sheet2!$C$1:$D$149,2,FALSE)</f>
        <v>0.80300000000000016</v>
      </c>
      <c r="F103" s="3">
        <f t="shared" si="1"/>
        <v>0</v>
      </c>
    </row>
    <row r="104" spans="1:6" x14ac:dyDescent="0.35">
      <c r="A104" s="1">
        <v>102</v>
      </c>
      <c r="B104" t="s">
        <v>3</v>
      </c>
      <c r="C104" t="s">
        <v>106</v>
      </c>
      <c r="D104">
        <v>0</v>
      </c>
      <c r="E104">
        <f>VLOOKUP(C104,Sheet2!$C$1:$D$149,2,FALSE)</f>
        <v>635.83000000000004</v>
      </c>
      <c r="F104" s="3">
        <f t="shared" si="1"/>
        <v>0</v>
      </c>
    </row>
    <row r="105" spans="1:6" x14ac:dyDescent="0.35">
      <c r="A105" s="1">
        <v>103</v>
      </c>
      <c r="B105" t="s">
        <v>3</v>
      </c>
      <c r="C105" t="s">
        <v>107</v>
      </c>
      <c r="D105">
        <v>0</v>
      </c>
      <c r="E105">
        <f>VLOOKUP(C105,Sheet2!$C$1:$D$149,2,FALSE)</f>
        <v>61.32</v>
      </c>
      <c r="F105" s="3">
        <f t="shared" si="1"/>
        <v>0</v>
      </c>
    </row>
    <row r="106" spans="1:6" x14ac:dyDescent="0.35">
      <c r="A106" s="1">
        <v>104</v>
      </c>
      <c r="B106" t="s">
        <v>3</v>
      </c>
      <c r="C106" t="s">
        <v>108</v>
      </c>
      <c r="D106">
        <v>0</v>
      </c>
      <c r="E106">
        <f>VLOOKUP(C106,Sheet2!$C$1:$D$149,2,FALSE)</f>
        <v>80.3</v>
      </c>
      <c r="F106" s="3">
        <f t="shared" si="1"/>
        <v>0</v>
      </c>
    </row>
    <row r="107" spans="1:6" x14ac:dyDescent="0.35">
      <c r="A107" s="1">
        <v>105</v>
      </c>
      <c r="B107" t="s">
        <v>3</v>
      </c>
      <c r="C107" t="s">
        <v>109</v>
      </c>
      <c r="D107">
        <v>0.55586415</v>
      </c>
      <c r="E107">
        <f>VLOOKUP(C107,Sheet2!$C$1:$D$149,2,FALSE)</f>
        <v>200.71350000000001</v>
      </c>
      <c r="F107" s="3">
        <f t="shared" si="1"/>
        <v>2.7694407700528363E-3</v>
      </c>
    </row>
    <row r="108" spans="1:6" x14ac:dyDescent="0.35">
      <c r="A108" s="1">
        <v>106</v>
      </c>
      <c r="B108" t="s">
        <v>3</v>
      </c>
      <c r="C108" t="s">
        <v>110</v>
      </c>
      <c r="D108">
        <v>0</v>
      </c>
      <c r="E108">
        <f>VLOOKUP(C108,Sheet2!$C$1:$D$149,2,FALSE)</f>
        <v>256.15699999999998</v>
      </c>
      <c r="F108" s="3">
        <f t="shared" si="1"/>
        <v>0</v>
      </c>
    </row>
    <row r="109" spans="1:6" x14ac:dyDescent="0.35">
      <c r="A109" s="1">
        <v>107</v>
      </c>
      <c r="B109" t="s">
        <v>3</v>
      </c>
      <c r="C109" t="s">
        <v>111</v>
      </c>
      <c r="D109">
        <v>0</v>
      </c>
      <c r="E109">
        <f>VLOOKUP(C109,Sheet2!$C$1:$D$149,2,FALSE)</f>
        <v>145.489</v>
      </c>
      <c r="F109" s="3">
        <f t="shared" si="1"/>
        <v>0</v>
      </c>
    </row>
    <row r="110" spans="1:6" x14ac:dyDescent="0.35">
      <c r="A110" s="1">
        <v>108</v>
      </c>
      <c r="B110" t="s">
        <v>3</v>
      </c>
      <c r="C110" t="s">
        <v>112</v>
      </c>
      <c r="D110">
        <v>0</v>
      </c>
      <c r="E110">
        <f>VLOOKUP(C110,Sheet2!$C$1:$D$149,2,FALSE)</f>
        <v>161.62200000000001</v>
      </c>
      <c r="F110" s="3">
        <f t="shared" si="1"/>
        <v>0</v>
      </c>
    </row>
    <row r="111" spans="1:6" x14ac:dyDescent="0.35">
      <c r="A111" s="1">
        <v>109</v>
      </c>
      <c r="B111" t="s">
        <v>3</v>
      </c>
      <c r="C111" t="s">
        <v>113</v>
      </c>
      <c r="D111">
        <v>356.82005475540097</v>
      </c>
      <c r="E111">
        <f>VLOOKUP(C111,Sheet2!$C$1:$D$149,2,FALSE)</f>
        <v>421.21</v>
      </c>
      <c r="F111" s="3">
        <f t="shared" si="1"/>
        <v>0.8471310148272857</v>
      </c>
    </row>
    <row r="112" spans="1:6" x14ac:dyDescent="0.35">
      <c r="A112" s="1">
        <v>110</v>
      </c>
      <c r="B112" t="s">
        <v>3</v>
      </c>
      <c r="C112" t="s">
        <v>114</v>
      </c>
      <c r="D112">
        <v>129.941</v>
      </c>
      <c r="E112">
        <f>VLOOKUP(C112,Sheet2!$C$1:$D$149,2,FALSE)</f>
        <v>180.20050000000001</v>
      </c>
      <c r="F112" s="3">
        <f t="shared" si="1"/>
        <v>0.72109122893665667</v>
      </c>
    </row>
    <row r="113" spans="1:6" x14ac:dyDescent="0.35">
      <c r="A113" s="1">
        <v>111</v>
      </c>
      <c r="B113" t="s">
        <v>3</v>
      </c>
      <c r="C113" t="s">
        <v>115</v>
      </c>
      <c r="D113">
        <v>0</v>
      </c>
      <c r="E113">
        <f>VLOOKUP(C113,Sheet2!$C$1:$D$149,2,FALSE)</f>
        <v>439.27749999999992</v>
      </c>
      <c r="F113" s="3">
        <f t="shared" si="1"/>
        <v>0</v>
      </c>
    </row>
    <row r="114" spans="1:6" x14ac:dyDescent="0.35">
      <c r="A114" s="1">
        <v>112</v>
      </c>
      <c r="B114" t="s">
        <v>3</v>
      </c>
      <c r="C114" t="s">
        <v>116</v>
      </c>
      <c r="D114">
        <v>0</v>
      </c>
      <c r="E114">
        <f>VLOOKUP(C114,Sheet2!$C$1:$D$149,2,FALSE)</f>
        <v>118.77099999999999</v>
      </c>
      <c r="F114" s="3">
        <f t="shared" si="1"/>
        <v>0</v>
      </c>
    </row>
    <row r="115" spans="1:6" x14ac:dyDescent="0.35">
      <c r="A115" s="1">
        <v>113</v>
      </c>
      <c r="B115" t="s">
        <v>3</v>
      </c>
      <c r="C115" t="s">
        <v>117</v>
      </c>
      <c r="D115">
        <v>27.329242437292109</v>
      </c>
      <c r="E115">
        <f>VLOOKUP(C115,Sheet2!$C$1:$D$149,2,FALSE)</f>
        <v>486.91</v>
      </c>
      <c r="F115" s="3">
        <f t="shared" si="1"/>
        <v>5.6127913654047172E-2</v>
      </c>
    </row>
    <row r="116" spans="1:6" x14ac:dyDescent="0.35">
      <c r="A116" s="1">
        <v>114</v>
      </c>
      <c r="B116" t="s">
        <v>3</v>
      </c>
      <c r="C116" t="s">
        <v>118</v>
      </c>
      <c r="D116">
        <v>0</v>
      </c>
      <c r="E116">
        <f>VLOOKUP(C116,Sheet2!$C$1:$D$149,2,FALSE)</f>
        <v>144.17500000000001</v>
      </c>
      <c r="F116" s="3">
        <f t="shared" si="1"/>
        <v>0</v>
      </c>
    </row>
    <row r="117" spans="1:6" x14ac:dyDescent="0.35">
      <c r="A117" s="1">
        <v>115</v>
      </c>
      <c r="B117" t="s">
        <v>3</v>
      </c>
      <c r="C117" t="s">
        <v>107</v>
      </c>
      <c r="D117">
        <v>0</v>
      </c>
      <c r="E117">
        <f>VLOOKUP(C117,Sheet2!$C$1:$D$149,2,FALSE)</f>
        <v>61.32</v>
      </c>
      <c r="F117" s="3">
        <f t="shared" si="1"/>
        <v>0</v>
      </c>
    </row>
    <row r="118" spans="1:6" x14ac:dyDescent="0.35">
      <c r="A118" s="1">
        <v>116</v>
      </c>
      <c r="B118" t="s">
        <v>3</v>
      </c>
      <c r="C118" t="s">
        <v>119</v>
      </c>
      <c r="D118">
        <v>0</v>
      </c>
      <c r="E118">
        <f>VLOOKUP(C118,Sheet2!$C$1:$D$149,2,FALSE)</f>
        <v>123.04150000000001</v>
      </c>
      <c r="F118" s="3">
        <f t="shared" si="1"/>
        <v>0</v>
      </c>
    </row>
    <row r="119" spans="1:6" x14ac:dyDescent="0.35">
      <c r="A119" s="1">
        <v>117</v>
      </c>
      <c r="B119" t="s">
        <v>3</v>
      </c>
      <c r="C119" t="s">
        <v>120</v>
      </c>
      <c r="D119">
        <v>455.15499999999997</v>
      </c>
      <c r="E119">
        <f>VLOOKUP(C119,Sheet2!$C$1:$D$149,2,FALSE)</f>
        <v>455.15499999999997</v>
      </c>
      <c r="F119" s="3">
        <f t="shared" si="1"/>
        <v>1</v>
      </c>
    </row>
    <row r="120" spans="1:6" x14ac:dyDescent="0.35">
      <c r="A120" s="1">
        <v>118</v>
      </c>
      <c r="B120" t="s">
        <v>3</v>
      </c>
      <c r="C120" t="s">
        <v>121</v>
      </c>
      <c r="D120">
        <v>351.714</v>
      </c>
      <c r="E120">
        <f>VLOOKUP(C120,Sheet2!$C$1:$D$149,2,FALSE)</f>
        <v>351.714</v>
      </c>
      <c r="F120" s="3">
        <f t="shared" si="1"/>
        <v>1</v>
      </c>
    </row>
    <row r="121" spans="1:6" x14ac:dyDescent="0.35">
      <c r="A121" s="1">
        <v>119</v>
      </c>
      <c r="B121" t="s">
        <v>3</v>
      </c>
      <c r="C121" t="s">
        <v>122</v>
      </c>
      <c r="D121">
        <v>143.5657628199998</v>
      </c>
      <c r="E121">
        <f>VLOOKUP(C121,Sheet2!$C$1:$D$149,2,FALSE)</f>
        <v>167.75399999999999</v>
      </c>
      <c r="F121" s="3">
        <f t="shared" si="1"/>
        <v>0.85581126423214837</v>
      </c>
    </row>
    <row r="122" spans="1:6" x14ac:dyDescent="0.35">
      <c r="A122" s="1">
        <v>120</v>
      </c>
      <c r="B122" t="s">
        <v>3</v>
      </c>
      <c r="C122" t="s">
        <v>123</v>
      </c>
      <c r="D122">
        <v>24.41750027000003</v>
      </c>
      <c r="E122">
        <f>VLOOKUP(C122,Sheet2!$C$1:$D$149,2,FALSE)</f>
        <v>207.5025</v>
      </c>
      <c r="F122" s="3">
        <f t="shared" si="1"/>
        <v>0.11767328234599597</v>
      </c>
    </row>
    <row r="123" spans="1:6" x14ac:dyDescent="0.35">
      <c r="A123" s="1">
        <v>121</v>
      </c>
      <c r="B123" t="s">
        <v>3</v>
      </c>
      <c r="C123" t="s">
        <v>124</v>
      </c>
      <c r="D123">
        <v>0</v>
      </c>
      <c r="E123">
        <f>VLOOKUP(C123,Sheet2!$C$1:$D$149,2,FALSE)</f>
        <v>513.19000000000005</v>
      </c>
      <c r="F123" s="3">
        <f t="shared" si="1"/>
        <v>0</v>
      </c>
    </row>
    <row r="124" spans="1:6" x14ac:dyDescent="0.35">
      <c r="A124" s="1">
        <v>122</v>
      </c>
      <c r="B124" t="s">
        <v>3</v>
      </c>
      <c r="C124" t="s">
        <v>125</v>
      </c>
      <c r="D124">
        <v>37.970449233315946</v>
      </c>
      <c r="E124">
        <f>VLOOKUP(C124,Sheet2!$C$1:$D$149,2,FALSE)</f>
        <v>67.451999999999998</v>
      </c>
      <c r="F124" s="3">
        <f t="shared" si="1"/>
        <v>0.56292547638788992</v>
      </c>
    </row>
    <row r="125" spans="1:6" x14ac:dyDescent="0.35">
      <c r="A125" s="1">
        <v>123</v>
      </c>
      <c r="B125" t="s">
        <v>3</v>
      </c>
      <c r="C125" t="s">
        <v>126</v>
      </c>
      <c r="D125">
        <v>0</v>
      </c>
      <c r="E125">
        <f>VLOOKUP(C125,Sheet2!$C$1:$D$149,2,FALSE)</f>
        <v>200.71350000000001</v>
      </c>
      <c r="F125" s="3">
        <f t="shared" si="1"/>
        <v>0</v>
      </c>
    </row>
    <row r="126" spans="1:6" x14ac:dyDescent="0.35">
      <c r="A126" s="1">
        <v>124</v>
      </c>
      <c r="B126" t="s">
        <v>3</v>
      </c>
      <c r="C126" t="s">
        <v>127</v>
      </c>
      <c r="D126">
        <v>0</v>
      </c>
      <c r="E126">
        <f>VLOOKUP(C126,Sheet2!$C$1:$D$149,2,FALSE)</f>
        <v>123.04150000000001</v>
      </c>
      <c r="F126" s="3">
        <f t="shared" si="1"/>
        <v>0</v>
      </c>
    </row>
    <row r="127" spans="1:6" x14ac:dyDescent="0.35">
      <c r="A127" s="1">
        <v>125</v>
      </c>
      <c r="B127" t="s">
        <v>3</v>
      </c>
      <c r="C127" t="s">
        <v>128</v>
      </c>
      <c r="D127">
        <v>338.25705475540099</v>
      </c>
      <c r="E127">
        <f>VLOOKUP(C127,Sheet2!$C$1:$D$149,2,FALSE)</f>
        <v>421.21</v>
      </c>
      <c r="F127" s="3">
        <f t="shared" si="1"/>
        <v>0.8030603612340661</v>
      </c>
    </row>
    <row r="128" spans="1:6" x14ac:dyDescent="0.35">
      <c r="A128" s="1">
        <v>126</v>
      </c>
      <c r="B128" t="s">
        <v>3</v>
      </c>
      <c r="C128" t="s">
        <v>129</v>
      </c>
      <c r="D128">
        <v>10.747</v>
      </c>
      <c r="E128">
        <f>VLOOKUP(C128,Sheet2!$C$1:$D$149,2,FALSE)</f>
        <v>14.965</v>
      </c>
      <c r="F128" s="3">
        <f t="shared" si="1"/>
        <v>0.71814233210825262</v>
      </c>
    </row>
    <row r="129" spans="1:6" x14ac:dyDescent="0.35">
      <c r="A129" s="1">
        <v>127</v>
      </c>
      <c r="B129" t="s">
        <v>3</v>
      </c>
      <c r="C129" t="s">
        <v>130</v>
      </c>
      <c r="D129">
        <v>0</v>
      </c>
      <c r="E129">
        <f>VLOOKUP(C129,Sheet2!$C$1:$D$149,2,FALSE)</f>
        <v>439.27749999999992</v>
      </c>
      <c r="F129" s="3">
        <f t="shared" si="1"/>
        <v>0</v>
      </c>
    </row>
    <row r="130" spans="1:6" x14ac:dyDescent="0.35">
      <c r="A130" s="1">
        <v>128</v>
      </c>
      <c r="B130" t="s">
        <v>3</v>
      </c>
      <c r="C130" t="s">
        <v>131</v>
      </c>
      <c r="D130">
        <v>117.4935</v>
      </c>
      <c r="E130">
        <f>VLOOKUP(C130,Sheet2!$C$1:$D$149,2,FALSE)</f>
        <v>117.49349999999998</v>
      </c>
      <c r="F130" s="3">
        <f t="shared" si="1"/>
        <v>1.0000000000000002</v>
      </c>
    </row>
    <row r="131" spans="1:6" x14ac:dyDescent="0.35">
      <c r="A131" s="1">
        <v>129</v>
      </c>
      <c r="B131" t="s">
        <v>3</v>
      </c>
      <c r="C131" t="s">
        <v>132</v>
      </c>
      <c r="D131">
        <v>91.526676324328051</v>
      </c>
      <c r="E131">
        <f>VLOOKUP(C131,Sheet2!$C$1:$D$149,2,FALSE)</f>
        <v>117.49349999999998</v>
      </c>
      <c r="F131" s="3">
        <f t="shared" ref="F131:F149" si="2">D131/E131</f>
        <v>0.77899353006190186</v>
      </c>
    </row>
    <row r="132" spans="1:6" x14ac:dyDescent="0.35">
      <c r="A132" s="1">
        <v>130</v>
      </c>
      <c r="B132" t="s">
        <v>3</v>
      </c>
      <c r="C132" t="s">
        <v>240</v>
      </c>
      <c r="D132">
        <v>0</v>
      </c>
      <c r="E132">
        <f>VLOOKUP(C132,Sheet2!$C$1:$D$149,2,FALSE)</f>
        <v>24.424999999999997</v>
      </c>
      <c r="F132" s="3">
        <f t="shared" si="2"/>
        <v>0</v>
      </c>
    </row>
    <row r="133" spans="1:6" x14ac:dyDescent="0.35">
      <c r="A133" s="1">
        <v>131</v>
      </c>
      <c r="B133" t="s">
        <v>3</v>
      </c>
      <c r="C133" t="s">
        <v>241</v>
      </c>
      <c r="D133">
        <v>0</v>
      </c>
      <c r="E133">
        <f>VLOOKUP(C133,Sheet2!$C$1:$D$149,2,FALSE)</f>
        <v>24.424999999999997</v>
      </c>
      <c r="F133" s="3">
        <f t="shared" si="2"/>
        <v>0</v>
      </c>
    </row>
    <row r="134" spans="1:6" x14ac:dyDescent="0.35">
      <c r="A134" s="1">
        <v>132</v>
      </c>
      <c r="B134" t="s">
        <v>3</v>
      </c>
      <c r="C134" t="s">
        <v>133</v>
      </c>
      <c r="D134">
        <v>0.55586415</v>
      </c>
      <c r="E134">
        <f>VLOOKUP(C134,Sheet2!$C$1:$D$149,2,FALSE)</f>
        <v>10000</v>
      </c>
      <c r="F134" s="3">
        <f t="shared" si="2"/>
        <v>5.5586415000000001E-5</v>
      </c>
    </row>
    <row r="135" spans="1:6" x14ac:dyDescent="0.35">
      <c r="A135" s="1">
        <v>133</v>
      </c>
      <c r="B135" t="s">
        <v>3</v>
      </c>
      <c r="C135" t="s">
        <v>134</v>
      </c>
      <c r="D135">
        <v>338.25705475540099</v>
      </c>
      <c r="E135">
        <f>VLOOKUP(C135,Sheet2!$C$1:$D$149,2,FALSE)</f>
        <v>10000</v>
      </c>
      <c r="F135" s="3">
        <f t="shared" si="2"/>
        <v>3.3825705475540098E-2</v>
      </c>
    </row>
    <row r="136" spans="1:6" x14ac:dyDescent="0.35">
      <c r="A136" s="1">
        <v>134</v>
      </c>
      <c r="B136" t="s">
        <v>3</v>
      </c>
      <c r="C136" t="s">
        <v>135</v>
      </c>
      <c r="D136">
        <v>7.5617455199999997</v>
      </c>
      <c r="E136">
        <f>VLOOKUP(C136,Sheet2!$C$1:$D$149,2,FALSE)</f>
        <v>10000</v>
      </c>
      <c r="F136" s="3">
        <f t="shared" si="2"/>
        <v>7.5617455199999994E-4</v>
      </c>
    </row>
    <row r="137" spans="1:6" x14ac:dyDescent="0.35">
      <c r="A137" s="1">
        <v>135</v>
      </c>
      <c r="B137" t="s">
        <v>3</v>
      </c>
      <c r="C137" t="s">
        <v>136</v>
      </c>
      <c r="D137">
        <v>5.7643000000000007E-2</v>
      </c>
      <c r="E137">
        <f>VLOOKUP(C137,Sheet2!$C$1:$D$149,2,FALSE)</f>
        <v>10000</v>
      </c>
      <c r="F137" s="3">
        <f t="shared" si="2"/>
        <v>5.7643000000000009E-6</v>
      </c>
    </row>
    <row r="138" spans="1:6" x14ac:dyDescent="0.35">
      <c r="A138" s="1">
        <v>136</v>
      </c>
      <c r="B138" t="s">
        <v>3</v>
      </c>
      <c r="C138" t="s">
        <v>137</v>
      </c>
      <c r="D138">
        <v>0.53100926999999998</v>
      </c>
      <c r="E138">
        <f>VLOOKUP(C138,Sheet2!$C$1:$D$149,2,FALSE)</f>
        <v>10000</v>
      </c>
      <c r="F138" s="3">
        <f t="shared" si="2"/>
        <v>5.3100926999999999E-5</v>
      </c>
    </row>
    <row r="139" spans="1:6" x14ac:dyDescent="0.35">
      <c r="A139" s="1">
        <v>137</v>
      </c>
      <c r="B139" t="s">
        <v>3</v>
      </c>
      <c r="C139" t="s">
        <v>138</v>
      </c>
      <c r="D139">
        <v>8.6795214499999993</v>
      </c>
      <c r="E139">
        <f>VLOOKUP(C139,Sheet2!$C$1:$D$149,2,FALSE)</f>
        <v>10000</v>
      </c>
      <c r="F139" s="3">
        <f t="shared" si="2"/>
        <v>8.6795214499999992E-4</v>
      </c>
    </row>
    <row r="140" spans="1:6" x14ac:dyDescent="0.35">
      <c r="A140" s="1">
        <v>138</v>
      </c>
      <c r="B140" t="s">
        <v>3</v>
      </c>
      <c r="C140" t="s">
        <v>139</v>
      </c>
      <c r="D140">
        <v>1.91565275</v>
      </c>
      <c r="E140">
        <f>VLOOKUP(C140,Sheet2!$C$1:$D$149,2,FALSE)</f>
        <v>10000</v>
      </c>
      <c r="F140" s="3">
        <f t="shared" si="2"/>
        <v>1.91565275E-4</v>
      </c>
    </row>
    <row r="141" spans="1:6" x14ac:dyDescent="0.35">
      <c r="A141" s="1">
        <v>139</v>
      </c>
      <c r="B141" t="s">
        <v>3</v>
      </c>
      <c r="C141" t="s">
        <v>140</v>
      </c>
      <c r="D141">
        <v>0.16949972999999999</v>
      </c>
      <c r="E141">
        <f>VLOOKUP(C141,Sheet2!$C$1:$D$149,2,FALSE)</f>
        <v>10000</v>
      </c>
      <c r="F141" s="3">
        <f t="shared" si="2"/>
        <v>1.6949972999999998E-5</v>
      </c>
    </row>
    <row r="142" spans="1:6" x14ac:dyDescent="0.35">
      <c r="A142" s="1">
        <v>140</v>
      </c>
      <c r="B142" t="s">
        <v>3</v>
      </c>
      <c r="C142" t="s">
        <v>141</v>
      </c>
      <c r="D142">
        <v>6.3309600000000021E-2</v>
      </c>
      <c r="E142">
        <f>VLOOKUP(C142,Sheet2!$C$1:$D$149,2,FALSE)</f>
        <v>10000</v>
      </c>
      <c r="F142" s="3">
        <f t="shared" si="2"/>
        <v>6.3309600000000023E-6</v>
      </c>
    </row>
    <row r="143" spans="1:6" x14ac:dyDescent="0.35">
      <c r="A143" s="1">
        <v>141</v>
      </c>
      <c r="B143" t="s">
        <v>3</v>
      </c>
      <c r="C143" t="s">
        <v>142</v>
      </c>
      <c r="D143">
        <v>16.46245</v>
      </c>
      <c r="E143">
        <f>VLOOKUP(C143,Sheet2!$C$1:$D$149,2,FALSE)</f>
        <v>10000</v>
      </c>
      <c r="F143" s="3">
        <f t="shared" si="2"/>
        <v>1.646245E-3</v>
      </c>
    </row>
    <row r="144" spans="1:6" x14ac:dyDescent="0.35">
      <c r="A144" s="1">
        <v>142</v>
      </c>
      <c r="B144" t="s">
        <v>3</v>
      </c>
      <c r="C144" t="s">
        <v>143</v>
      </c>
      <c r="D144">
        <v>0</v>
      </c>
      <c r="E144">
        <f>VLOOKUP(C144,Sheet2!$C$1:$D$149,2,FALSE)</f>
        <v>10000</v>
      </c>
      <c r="F144" s="3">
        <f t="shared" si="2"/>
        <v>0</v>
      </c>
    </row>
    <row r="145" spans="1:6" x14ac:dyDescent="0.35">
      <c r="A145" s="1">
        <v>143</v>
      </c>
      <c r="B145" t="s">
        <v>3</v>
      </c>
      <c r="C145" t="s">
        <v>144</v>
      </c>
      <c r="D145">
        <v>3.99593</v>
      </c>
      <c r="E145">
        <f>VLOOKUP(C145,Sheet2!$C$1:$D$149,2,FALSE)</f>
        <v>10000</v>
      </c>
      <c r="F145" s="3">
        <f t="shared" si="2"/>
        <v>3.9959300000000001E-4</v>
      </c>
    </row>
    <row r="146" spans="1:6" x14ac:dyDescent="0.35">
      <c r="A146" s="1">
        <v>144</v>
      </c>
      <c r="B146" t="s">
        <v>3</v>
      </c>
      <c r="C146" t="s">
        <v>145</v>
      </c>
      <c r="D146">
        <v>0.6516687699999999</v>
      </c>
      <c r="E146">
        <f>VLOOKUP(C146,Sheet2!$C$1:$D$149,2,FALSE)</f>
        <v>10000</v>
      </c>
      <c r="F146" s="3">
        <f t="shared" si="2"/>
        <v>6.5166876999999985E-5</v>
      </c>
    </row>
    <row r="147" spans="1:6" x14ac:dyDescent="0.35">
      <c r="A147" s="1">
        <v>145</v>
      </c>
      <c r="B147" t="s">
        <v>3</v>
      </c>
      <c r="C147" t="s">
        <v>146</v>
      </c>
      <c r="D147">
        <v>5.2113180000000002E-2</v>
      </c>
      <c r="E147">
        <f>VLOOKUP(C147,Sheet2!$C$1:$D$149,2,FALSE)</f>
        <v>10000</v>
      </c>
      <c r="F147" s="3">
        <f t="shared" si="2"/>
        <v>5.2113180000000005E-6</v>
      </c>
    </row>
    <row r="148" spans="1:6" x14ac:dyDescent="0.35">
      <c r="A148" s="1">
        <v>146</v>
      </c>
      <c r="B148" t="s">
        <v>3</v>
      </c>
      <c r="C148" t="s">
        <v>147</v>
      </c>
      <c r="D148">
        <v>4.2744726999999996</v>
      </c>
      <c r="E148">
        <f>VLOOKUP(C148,Sheet2!$C$1:$D$149,2,FALSE)</f>
        <v>10000</v>
      </c>
      <c r="F148" s="3">
        <f t="shared" si="2"/>
        <v>4.2744726999999997E-4</v>
      </c>
    </row>
    <row r="149" spans="1:6" x14ac:dyDescent="0.35">
      <c r="A149" s="1">
        <v>147</v>
      </c>
      <c r="B149" t="s">
        <v>3</v>
      </c>
      <c r="C149" t="s">
        <v>148</v>
      </c>
      <c r="D149">
        <v>0</v>
      </c>
      <c r="E149">
        <f>VLOOKUP(C149,Sheet2!$C$1:$D$149,2,FALSE)</f>
        <v>10000</v>
      </c>
      <c r="F149" s="3">
        <f t="shared" si="2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5331-0857-44A4-85ED-5A98C362AF86}">
  <dimension ref="A1:M149"/>
  <sheetViews>
    <sheetView topLeftCell="A134" workbookViewId="0">
      <selection activeCell="D149" sqref="D149"/>
    </sheetView>
  </sheetViews>
  <sheetFormatPr defaultRowHeight="14.5" x14ac:dyDescent="0.35"/>
  <cols>
    <col min="3" max="3" width="13.6328125" customWidth="1"/>
  </cols>
  <sheetData>
    <row r="1" spans="1:13" x14ac:dyDescent="0.35">
      <c r="A1" t="s">
        <v>149</v>
      </c>
      <c r="B1" t="s">
        <v>150</v>
      </c>
      <c r="C1" t="str">
        <f>_xlfn.CONCAT("('",A1,"', '",B1,"')")</f>
        <v>('BE_LNG', 'BE')</v>
      </c>
      <c r="D1">
        <v>111.378</v>
      </c>
      <c r="F1" t="s">
        <v>4</v>
      </c>
      <c r="H1" t="b">
        <f>EXACT(C1,F1)</f>
        <v>1</v>
      </c>
      <c r="J1" t="s">
        <v>238</v>
      </c>
      <c r="L1" t="b">
        <f>EXACT(F1,J1)</f>
        <v>0</v>
      </c>
      <c r="M1" t="b">
        <f>EXACT(C1,J1)</f>
        <v>0</v>
      </c>
    </row>
    <row r="2" spans="1:13" x14ac:dyDescent="0.35">
      <c r="A2" t="s">
        <v>151</v>
      </c>
      <c r="B2" t="s">
        <v>152</v>
      </c>
      <c r="C2" t="str">
        <f t="shared" ref="C2:C65" si="0">_xlfn.CONCAT("('",A2,"', '",B2,"')")</f>
        <v>('FR_LNG', 'FR')</v>
      </c>
      <c r="D2">
        <v>322.40999999999997</v>
      </c>
    </row>
    <row r="3" spans="1:13" x14ac:dyDescent="0.35">
      <c r="A3" t="s">
        <v>153</v>
      </c>
      <c r="B3" t="s">
        <v>154</v>
      </c>
      <c r="C3" t="str">
        <f t="shared" si="0"/>
        <v>('GR_LNG', 'GR')</v>
      </c>
      <c r="D3">
        <v>73.274999999999991</v>
      </c>
    </row>
    <row r="4" spans="1:13" x14ac:dyDescent="0.35">
      <c r="A4" t="s">
        <v>155</v>
      </c>
      <c r="B4" t="s">
        <v>156</v>
      </c>
      <c r="C4" t="str">
        <f t="shared" si="0"/>
        <v>('IT_LNG', 'IT')</v>
      </c>
      <c r="D4">
        <v>155.83149999999998</v>
      </c>
    </row>
    <row r="5" spans="1:13" x14ac:dyDescent="0.35">
      <c r="A5" t="s">
        <v>157</v>
      </c>
      <c r="B5" t="s">
        <v>158</v>
      </c>
      <c r="C5" t="str">
        <f t="shared" si="0"/>
        <v>('HR_LNG', 'HR')</v>
      </c>
      <c r="D5">
        <v>25.402000000000001</v>
      </c>
    </row>
    <row r="6" spans="1:13" x14ac:dyDescent="0.35">
      <c r="A6" t="s">
        <v>159</v>
      </c>
      <c r="B6" t="s">
        <v>160</v>
      </c>
      <c r="C6" t="str">
        <f t="shared" si="0"/>
        <v>('LT_LNG', 'LT')</v>
      </c>
      <c r="D6">
        <v>39.08</v>
      </c>
    </row>
    <row r="7" spans="1:13" x14ac:dyDescent="0.35">
      <c r="A7" t="s">
        <v>161</v>
      </c>
      <c r="B7" t="s">
        <v>162</v>
      </c>
      <c r="C7" t="str">
        <f t="shared" si="0"/>
        <v>('NL_LNG', 'NL')</v>
      </c>
      <c r="D7">
        <v>122.125</v>
      </c>
    </row>
    <row r="8" spans="1:13" x14ac:dyDescent="0.35">
      <c r="A8" t="s">
        <v>163</v>
      </c>
      <c r="B8" t="s">
        <v>164</v>
      </c>
      <c r="C8" t="str">
        <f t="shared" si="0"/>
        <v>('PL_LNG', 'PL')</v>
      </c>
      <c r="D8">
        <v>60.573999999999998</v>
      </c>
    </row>
    <row r="9" spans="1:13" x14ac:dyDescent="0.35">
      <c r="A9" t="s">
        <v>165</v>
      </c>
      <c r="B9" t="s">
        <v>166</v>
      </c>
      <c r="C9" t="str">
        <f t="shared" si="0"/>
        <v>('PT_LNG', 'PT')</v>
      </c>
      <c r="D9">
        <v>74.251999999999995</v>
      </c>
    </row>
    <row r="10" spans="1:13" x14ac:dyDescent="0.35">
      <c r="A10" t="s">
        <v>167</v>
      </c>
      <c r="B10" t="s">
        <v>168</v>
      </c>
      <c r="C10" t="str">
        <f t="shared" si="0"/>
        <v>('ES_LNG', 'ES')</v>
      </c>
      <c r="D10">
        <v>655.56699999999989</v>
      </c>
    </row>
    <row r="11" spans="1:13" x14ac:dyDescent="0.35">
      <c r="A11" t="s">
        <v>169</v>
      </c>
      <c r="B11" t="s">
        <v>170</v>
      </c>
      <c r="C11" t="str">
        <f t="shared" si="0"/>
        <v>('TR_LNG', 'TR')</v>
      </c>
      <c r="D11">
        <v>425.97199999999998</v>
      </c>
    </row>
    <row r="12" spans="1:13" x14ac:dyDescent="0.35">
      <c r="A12" t="s">
        <v>171</v>
      </c>
      <c r="B12" t="s">
        <v>172</v>
      </c>
      <c r="C12" t="str">
        <f t="shared" si="0"/>
        <v>('UK_LNG', 'UK')</v>
      </c>
      <c r="D12">
        <v>510.97099999999995</v>
      </c>
    </row>
    <row r="13" spans="1:13" x14ac:dyDescent="0.35">
      <c r="A13" t="s">
        <v>173</v>
      </c>
      <c r="B13" t="s">
        <v>174</v>
      </c>
      <c r="C13" t="str">
        <f t="shared" si="0"/>
        <v>('EE_LNG', 'EE')</v>
      </c>
      <c r="D13">
        <v>24.424999999999997</v>
      </c>
    </row>
    <row r="14" spans="1:13" x14ac:dyDescent="0.35">
      <c r="A14" t="s">
        <v>175</v>
      </c>
      <c r="B14" t="s">
        <v>176</v>
      </c>
      <c r="C14" t="str">
        <f t="shared" si="0"/>
        <v>('FI_LNG', 'FI')</v>
      </c>
      <c r="D14">
        <v>48.849999999999994</v>
      </c>
    </row>
    <row r="15" spans="1:13" x14ac:dyDescent="0.35">
      <c r="A15" t="s">
        <v>177</v>
      </c>
      <c r="B15" t="s">
        <v>178</v>
      </c>
      <c r="C15" t="str">
        <f t="shared" si="0"/>
        <v>('DE_LNG', 'DE')</v>
      </c>
      <c r="D15">
        <v>304.82399999999996</v>
      </c>
    </row>
    <row r="16" spans="1:13" x14ac:dyDescent="0.35">
      <c r="A16" t="s">
        <v>179</v>
      </c>
      <c r="B16" t="s">
        <v>180</v>
      </c>
      <c r="C16" t="str">
        <f t="shared" si="0"/>
        <v>('IE_LNG', 'IE')</v>
      </c>
      <c r="D16">
        <v>25.402000000000001</v>
      </c>
    </row>
    <row r="17" spans="1:4" x14ac:dyDescent="0.35">
      <c r="A17" t="s">
        <v>181</v>
      </c>
      <c r="B17" t="s">
        <v>182</v>
      </c>
      <c r="C17" t="str">
        <f t="shared" si="0"/>
        <v>('LV_LNG', 'LV')</v>
      </c>
      <c r="D17">
        <v>14.654999999999999</v>
      </c>
    </row>
    <row r="18" spans="1:4" x14ac:dyDescent="0.35">
      <c r="A18" t="s">
        <v>183</v>
      </c>
      <c r="B18" t="s">
        <v>184</v>
      </c>
      <c r="C18" t="str">
        <f t="shared" si="0"/>
        <v>('AL_Prod', 'AL')</v>
      </c>
      <c r="D18">
        <v>10000</v>
      </c>
    </row>
    <row r="19" spans="1:4" x14ac:dyDescent="0.35">
      <c r="A19" t="s">
        <v>185</v>
      </c>
      <c r="B19" t="s">
        <v>186</v>
      </c>
      <c r="C19" t="str">
        <f t="shared" si="0"/>
        <v>('DZ_Prod', 'DZ')</v>
      </c>
      <c r="D19">
        <v>10000</v>
      </c>
    </row>
    <row r="20" spans="1:4" x14ac:dyDescent="0.35">
      <c r="A20" t="s">
        <v>187</v>
      </c>
      <c r="B20" t="s">
        <v>188</v>
      </c>
      <c r="C20" t="str">
        <f t="shared" si="0"/>
        <v>('AT_Prod', 'AT')</v>
      </c>
      <c r="D20">
        <v>10000</v>
      </c>
    </row>
    <row r="21" spans="1:4" x14ac:dyDescent="0.35">
      <c r="A21" t="s">
        <v>189</v>
      </c>
      <c r="B21" t="s">
        <v>150</v>
      </c>
      <c r="C21" t="str">
        <f t="shared" si="0"/>
        <v>('BE_Prod', 'BE')</v>
      </c>
      <c r="D21">
        <v>10000</v>
      </c>
    </row>
    <row r="22" spans="1:4" x14ac:dyDescent="0.35">
      <c r="A22" t="s">
        <v>190</v>
      </c>
      <c r="B22" t="s">
        <v>191</v>
      </c>
      <c r="C22" t="str">
        <f t="shared" si="0"/>
        <v>('BG_Prod', 'BG')</v>
      </c>
      <c r="D22">
        <v>10000</v>
      </c>
    </row>
    <row r="23" spans="1:4" x14ac:dyDescent="0.35">
      <c r="A23" t="s">
        <v>192</v>
      </c>
      <c r="B23" t="s">
        <v>158</v>
      </c>
      <c r="C23" t="str">
        <f t="shared" si="0"/>
        <v>('HR_Prod', 'HR')</v>
      </c>
      <c r="D23">
        <v>10000</v>
      </c>
    </row>
    <row r="24" spans="1:4" x14ac:dyDescent="0.35">
      <c r="A24" t="s">
        <v>193</v>
      </c>
      <c r="B24" t="s">
        <v>194</v>
      </c>
      <c r="C24" t="str">
        <f t="shared" si="0"/>
        <v>('CZ_Prod', 'CZ')</v>
      </c>
      <c r="D24">
        <v>10000</v>
      </c>
    </row>
    <row r="25" spans="1:4" x14ac:dyDescent="0.35">
      <c r="A25" t="s">
        <v>195</v>
      </c>
      <c r="B25" t="s">
        <v>152</v>
      </c>
      <c r="C25" t="str">
        <f t="shared" si="0"/>
        <v>('FR_Prod', 'FR')</v>
      </c>
      <c r="D25">
        <v>10000</v>
      </c>
    </row>
    <row r="26" spans="1:4" x14ac:dyDescent="0.35">
      <c r="A26" t="s">
        <v>196</v>
      </c>
      <c r="B26" t="s">
        <v>154</v>
      </c>
      <c r="C26" t="str">
        <f t="shared" si="0"/>
        <v>('GR_Prod', 'GR')</v>
      </c>
      <c r="D26">
        <v>10000</v>
      </c>
    </row>
    <row r="27" spans="1:4" x14ac:dyDescent="0.35">
      <c r="A27" t="s">
        <v>197</v>
      </c>
      <c r="B27" t="s">
        <v>198</v>
      </c>
      <c r="C27" t="str">
        <f t="shared" si="0"/>
        <v>('HU_Prod', 'HU')</v>
      </c>
      <c r="D27">
        <v>10000</v>
      </c>
    </row>
    <row r="28" spans="1:4" x14ac:dyDescent="0.35">
      <c r="A28" t="s">
        <v>199</v>
      </c>
      <c r="B28" t="s">
        <v>180</v>
      </c>
      <c r="C28" t="str">
        <f t="shared" si="0"/>
        <v>('IE_Prod', 'IE')</v>
      </c>
      <c r="D28">
        <v>10000</v>
      </c>
    </row>
    <row r="29" spans="1:4" x14ac:dyDescent="0.35">
      <c r="A29" t="s">
        <v>200</v>
      </c>
      <c r="B29" t="s">
        <v>201</v>
      </c>
      <c r="C29" t="str">
        <f t="shared" si="0"/>
        <v>('RS_Prod', 'RS')</v>
      </c>
      <c r="D29">
        <v>10000</v>
      </c>
    </row>
    <row r="30" spans="1:4" x14ac:dyDescent="0.35">
      <c r="A30" t="s">
        <v>202</v>
      </c>
      <c r="B30" t="s">
        <v>203</v>
      </c>
      <c r="C30" t="str">
        <f t="shared" si="0"/>
        <v>('SK_Prod', 'SK')</v>
      </c>
      <c r="D30">
        <v>10000</v>
      </c>
    </row>
    <row r="31" spans="1:4" x14ac:dyDescent="0.35">
      <c r="A31" t="s">
        <v>204</v>
      </c>
      <c r="B31" t="s">
        <v>205</v>
      </c>
      <c r="C31" t="str">
        <f t="shared" si="0"/>
        <v>('SI_Prod', 'SI')</v>
      </c>
      <c r="D31">
        <v>10000</v>
      </c>
    </row>
    <row r="32" spans="1:4" x14ac:dyDescent="0.35">
      <c r="A32" t="s">
        <v>206</v>
      </c>
      <c r="B32" t="s">
        <v>170</v>
      </c>
      <c r="C32" t="str">
        <f t="shared" si="0"/>
        <v>('TR_Prod', 'TR')</v>
      </c>
      <c r="D32">
        <v>10000</v>
      </c>
    </row>
    <row r="33" spans="1:4" x14ac:dyDescent="0.35">
      <c r="A33" t="s">
        <v>207</v>
      </c>
      <c r="B33" t="s">
        <v>168</v>
      </c>
      <c r="C33" t="str">
        <f t="shared" si="0"/>
        <v>('ES_Prod', 'ES')</v>
      </c>
      <c r="D33">
        <v>10000</v>
      </c>
    </row>
    <row r="34" spans="1:4" x14ac:dyDescent="0.35">
      <c r="A34" t="s">
        <v>208</v>
      </c>
      <c r="B34" t="s">
        <v>209</v>
      </c>
      <c r="C34" t="str">
        <f t="shared" si="0"/>
        <v>('MA_Prod', 'MA')</v>
      </c>
      <c r="D34">
        <v>10000</v>
      </c>
    </row>
    <row r="35" spans="1:4" x14ac:dyDescent="0.35">
      <c r="A35" t="s">
        <v>210</v>
      </c>
      <c r="B35" t="s">
        <v>211</v>
      </c>
      <c r="C35" t="str">
        <f t="shared" si="0"/>
        <v>('DK_Prod', 'DK')</v>
      </c>
      <c r="D35">
        <v>10000</v>
      </c>
    </row>
    <row r="36" spans="1:4" x14ac:dyDescent="0.35">
      <c r="A36" t="s">
        <v>212</v>
      </c>
      <c r="B36" t="s">
        <v>178</v>
      </c>
      <c r="C36" t="str">
        <f t="shared" si="0"/>
        <v>('DE_Prod', 'DE')</v>
      </c>
      <c r="D36">
        <v>10000</v>
      </c>
    </row>
    <row r="37" spans="1:4" x14ac:dyDescent="0.35">
      <c r="A37" t="s">
        <v>213</v>
      </c>
      <c r="B37" t="s">
        <v>156</v>
      </c>
      <c r="C37" t="str">
        <f t="shared" si="0"/>
        <v>('IT_Prod', 'IT')</v>
      </c>
      <c r="D37">
        <v>10000</v>
      </c>
    </row>
    <row r="38" spans="1:4" x14ac:dyDescent="0.35">
      <c r="A38" t="s">
        <v>214</v>
      </c>
      <c r="B38" t="s">
        <v>215</v>
      </c>
      <c r="C38" t="str">
        <f t="shared" si="0"/>
        <v>('LY_Prod', 'LY')</v>
      </c>
      <c r="D38">
        <v>10000</v>
      </c>
    </row>
    <row r="39" spans="1:4" x14ac:dyDescent="0.35">
      <c r="A39" t="s">
        <v>216</v>
      </c>
      <c r="B39" t="s">
        <v>162</v>
      </c>
      <c r="C39" t="str">
        <f t="shared" si="0"/>
        <v>('NL_Prod', 'NL')</v>
      </c>
      <c r="D39">
        <v>10000</v>
      </c>
    </row>
    <row r="40" spans="1:4" x14ac:dyDescent="0.35">
      <c r="A40" t="s">
        <v>217</v>
      </c>
      <c r="B40" t="s">
        <v>218</v>
      </c>
      <c r="C40" t="str">
        <f t="shared" si="0"/>
        <v>('NO_Prod', 'NO')</v>
      </c>
      <c r="D40">
        <v>10000</v>
      </c>
    </row>
    <row r="41" spans="1:4" x14ac:dyDescent="0.35">
      <c r="A41" t="s">
        <v>219</v>
      </c>
      <c r="B41" t="s">
        <v>164</v>
      </c>
      <c r="C41" t="str">
        <f t="shared" si="0"/>
        <v>('PL_Prod', 'PL')</v>
      </c>
      <c r="D41">
        <v>10000</v>
      </c>
    </row>
    <row r="42" spans="1:4" x14ac:dyDescent="0.35">
      <c r="A42" t="s">
        <v>220</v>
      </c>
      <c r="B42" t="s">
        <v>221</v>
      </c>
      <c r="C42" t="str">
        <f t="shared" si="0"/>
        <v>('RO_Prod', 'RO')</v>
      </c>
      <c r="D42">
        <v>10000</v>
      </c>
    </row>
    <row r="43" spans="1:4" x14ac:dyDescent="0.35">
      <c r="A43" t="s">
        <v>222</v>
      </c>
      <c r="B43" t="s">
        <v>223</v>
      </c>
      <c r="C43" t="str">
        <f t="shared" si="0"/>
        <v>('RU_Prod', 'RU')</v>
      </c>
      <c r="D43">
        <v>10000</v>
      </c>
    </row>
    <row r="44" spans="1:4" x14ac:dyDescent="0.35">
      <c r="A44" t="s">
        <v>224</v>
      </c>
      <c r="B44" t="s">
        <v>225</v>
      </c>
      <c r="C44" t="str">
        <f t="shared" si="0"/>
        <v>('TN_Prod', 'TN')</v>
      </c>
      <c r="D44">
        <v>10000</v>
      </c>
    </row>
    <row r="45" spans="1:4" x14ac:dyDescent="0.35">
      <c r="A45" t="s">
        <v>226</v>
      </c>
      <c r="B45" t="s">
        <v>172</v>
      </c>
      <c r="C45" t="str">
        <f t="shared" si="0"/>
        <v>('UK_Prod', 'UK')</v>
      </c>
      <c r="D45">
        <v>10000</v>
      </c>
    </row>
    <row r="46" spans="1:4" x14ac:dyDescent="0.35">
      <c r="A46" t="s">
        <v>227</v>
      </c>
      <c r="B46" t="s">
        <v>228</v>
      </c>
      <c r="C46" t="str">
        <f t="shared" si="0"/>
        <v>('UA_Prod', 'UA')</v>
      </c>
      <c r="D46">
        <v>10000</v>
      </c>
    </row>
    <row r="47" spans="1:4" x14ac:dyDescent="0.35">
      <c r="A47" t="s">
        <v>172</v>
      </c>
      <c r="B47" t="s">
        <v>150</v>
      </c>
      <c r="C47" t="str">
        <f t="shared" si="0"/>
        <v>('UK', 'BE')</v>
      </c>
      <c r="D47">
        <v>237.87050000000002</v>
      </c>
    </row>
    <row r="48" spans="1:4" x14ac:dyDescent="0.35">
      <c r="A48" t="s">
        <v>172</v>
      </c>
      <c r="B48" t="s">
        <v>180</v>
      </c>
      <c r="C48" t="str">
        <f t="shared" si="0"/>
        <v>('UK', 'IE')</v>
      </c>
      <c r="D48">
        <v>140.52500000000001</v>
      </c>
    </row>
    <row r="49" spans="1:4" x14ac:dyDescent="0.35">
      <c r="A49" t="s">
        <v>150</v>
      </c>
      <c r="B49" t="s">
        <v>172</v>
      </c>
      <c r="C49" t="str">
        <f t="shared" si="0"/>
        <v>('BE', 'UK')</v>
      </c>
      <c r="D49">
        <v>293.24099999999999</v>
      </c>
    </row>
    <row r="50" spans="1:4" x14ac:dyDescent="0.35">
      <c r="A50" t="s">
        <v>150</v>
      </c>
      <c r="B50" t="s">
        <v>162</v>
      </c>
      <c r="C50" t="str">
        <f t="shared" si="0"/>
        <v>('BE', 'NL')</v>
      </c>
      <c r="D50">
        <v>120.88800000000001</v>
      </c>
    </row>
    <row r="51" spans="1:4" x14ac:dyDescent="0.35">
      <c r="A51" t="s">
        <v>150</v>
      </c>
      <c r="B51" t="s">
        <v>178</v>
      </c>
      <c r="C51" t="str">
        <f t="shared" si="0"/>
        <v>('BE', 'DE')</v>
      </c>
      <c r="D51">
        <v>117.81104999999999</v>
      </c>
    </row>
    <row r="52" spans="1:4" x14ac:dyDescent="0.35">
      <c r="A52" t="s">
        <v>150</v>
      </c>
      <c r="B52" t="s">
        <v>152</v>
      </c>
      <c r="C52" t="str">
        <f t="shared" si="0"/>
        <v>('BE', 'FR')</v>
      </c>
      <c r="D52">
        <v>317.55</v>
      </c>
    </row>
    <row r="53" spans="1:4" x14ac:dyDescent="0.35">
      <c r="A53" t="s">
        <v>162</v>
      </c>
      <c r="B53" t="s">
        <v>150</v>
      </c>
      <c r="C53" t="str">
        <f t="shared" si="0"/>
        <v>('NL', 'BE')</v>
      </c>
      <c r="D53">
        <v>509.97800000000001</v>
      </c>
    </row>
    <row r="54" spans="1:4" x14ac:dyDescent="0.35">
      <c r="A54" t="s">
        <v>162</v>
      </c>
      <c r="B54" t="s">
        <v>178</v>
      </c>
      <c r="C54" t="str">
        <f t="shared" si="0"/>
        <v>('NL', 'DE')</v>
      </c>
      <c r="D54">
        <v>702.90714500000001</v>
      </c>
    </row>
    <row r="55" spans="1:4" x14ac:dyDescent="0.35">
      <c r="A55" t="s">
        <v>178</v>
      </c>
      <c r="B55" t="s">
        <v>150</v>
      </c>
      <c r="C55" t="str">
        <f t="shared" si="0"/>
        <v>('DE', 'BE')</v>
      </c>
      <c r="D55">
        <v>144.59475</v>
      </c>
    </row>
    <row r="56" spans="1:4" x14ac:dyDescent="0.35">
      <c r="A56" t="s">
        <v>178</v>
      </c>
      <c r="B56" t="s">
        <v>162</v>
      </c>
      <c r="C56" t="str">
        <f t="shared" si="0"/>
        <v>('DE', 'NL')</v>
      </c>
      <c r="D56">
        <v>594.33059500000013</v>
      </c>
    </row>
    <row r="57" spans="1:4" x14ac:dyDescent="0.35">
      <c r="A57" t="s">
        <v>178</v>
      </c>
      <c r="B57" t="s">
        <v>188</v>
      </c>
      <c r="C57" t="str">
        <f t="shared" si="0"/>
        <v>('DE', 'AT')</v>
      </c>
      <c r="D57">
        <v>125.65051999999997</v>
      </c>
    </row>
    <row r="58" spans="1:4" x14ac:dyDescent="0.35">
      <c r="A58" t="s">
        <v>178</v>
      </c>
      <c r="B58" t="s">
        <v>229</v>
      </c>
      <c r="C58" t="str">
        <f t="shared" si="0"/>
        <v>('DE', 'CH')</v>
      </c>
      <c r="D58">
        <v>119.72</v>
      </c>
    </row>
    <row r="59" spans="1:4" x14ac:dyDescent="0.35">
      <c r="A59" t="s">
        <v>178</v>
      </c>
      <c r="B59" t="s">
        <v>152</v>
      </c>
      <c r="C59" t="str">
        <f t="shared" si="0"/>
        <v>('DE', 'FR')</v>
      </c>
      <c r="D59">
        <v>224.00633999999999</v>
      </c>
    </row>
    <row r="60" spans="1:4" x14ac:dyDescent="0.35">
      <c r="A60" t="s">
        <v>178</v>
      </c>
      <c r="B60" t="s">
        <v>211</v>
      </c>
      <c r="C60" t="str">
        <f t="shared" si="0"/>
        <v>('DE', 'DK')</v>
      </c>
      <c r="D60">
        <v>49.680879999999995</v>
      </c>
    </row>
    <row r="61" spans="1:4" x14ac:dyDescent="0.35">
      <c r="A61" t="s">
        <v>178</v>
      </c>
      <c r="B61" t="s">
        <v>164</v>
      </c>
      <c r="C61" t="str">
        <f t="shared" si="0"/>
        <v>('DE', 'PL')</v>
      </c>
      <c r="D61">
        <v>85.227500000000006</v>
      </c>
    </row>
    <row r="62" spans="1:4" x14ac:dyDescent="0.35">
      <c r="A62" t="s">
        <v>178</v>
      </c>
      <c r="B62" t="s">
        <v>194</v>
      </c>
      <c r="C62" t="str">
        <f t="shared" si="0"/>
        <v>('DE', 'CZ')</v>
      </c>
      <c r="D62">
        <v>658.37605000000008</v>
      </c>
    </row>
    <row r="63" spans="1:4" x14ac:dyDescent="0.35">
      <c r="A63" t="s">
        <v>178</v>
      </c>
      <c r="B63" t="s">
        <v>230</v>
      </c>
      <c r="C63" t="str">
        <f t="shared" si="0"/>
        <v>('DE', 'LU')</v>
      </c>
      <c r="D63">
        <v>9.7491500000000002</v>
      </c>
    </row>
    <row r="64" spans="1:4" x14ac:dyDescent="0.35">
      <c r="A64" t="s">
        <v>188</v>
      </c>
      <c r="B64" t="s">
        <v>178</v>
      </c>
      <c r="C64" t="str">
        <f t="shared" si="0"/>
        <v>('AT', 'DE')</v>
      </c>
      <c r="D64">
        <v>124.08832</v>
      </c>
    </row>
    <row r="65" spans="1:4" x14ac:dyDescent="0.35">
      <c r="A65" t="s">
        <v>188</v>
      </c>
      <c r="B65" t="s">
        <v>156</v>
      </c>
      <c r="C65" t="str">
        <f t="shared" si="0"/>
        <v>('AT', 'IT')</v>
      </c>
      <c r="D65">
        <v>419.75</v>
      </c>
    </row>
    <row r="66" spans="1:4" x14ac:dyDescent="0.35">
      <c r="A66" t="s">
        <v>188</v>
      </c>
      <c r="B66" t="s">
        <v>205</v>
      </c>
      <c r="C66" t="str">
        <f t="shared" ref="C66:C129" si="1">_xlfn.CONCAT("('",A66,"', '",B66,"')")</f>
        <v>('AT', 'SI')</v>
      </c>
      <c r="D66">
        <v>41.0625</v>
      </c>
    </row>
    <row r="67" spans="1:4" x14ac:dyDescent="0.35">
      <c r="A67" t="s">
        <v>188</v>
      </c>
      <c r="B67" t="s">
        <v>203</v>
      </c>
      <c r="C67" t="str">
        <f t="shared" si="1"/>
        <v>('AT', 'SK')</v>
      </c>
      <c r="D67">
        <v>89.972499999999997</v>
      </c>
    </row>
    <row r="68" spans="1:4" x14ac:dyDescent="0.35">
      <c r="A68" t="s">
        <v>188</v>
      </c>
      <c r="B68" t="s">
        <v>198</v>
      </c>
      <c r="C68" t="str">
        <f t="shared" si="1"/>
        <v>('AT', 'HU')</v>
      </c>
      <c r="D68">
        <v>55.881500000000003</v>
      </c>
    </row>
    <row r="69" spans="1:4" x14ac:dyDescent="0.35">
      <c r="A69" t="s">
        <v>156</v>
      </c>
      <c r="B69" t="s">
        <v>188</v>
      </c>
      <c r="C69" t="str">
        <f t="shared" si="1"/>
        <v>('IT', 'AT')</v>
      </c>
      <c r="D69">
        <v>70.627499999999998</v>
      </c>
    </row>
    <row r="70" spans="1:4" x14ac:dyDescent="0.35">
      <c r="A70" t="s">
        <v>156</v>
      </c>
      <c r="B70" t="s">
        <v>229</v>
      </c>
      <c r="C70" t="str">
        <f t="shared" si="1"/>
        <v>('IT', 'CH')</v>
      </c>
      <c r="D70">
        <v>157.46100000000001</v>
      </c>
    </row>
    <row r="71" spans="1:4" x14ac:dyDescent="0.35">
      <c r="A71" t="s">
        <v>156</v>
      </c>
      <c r="B71" t="s">
        <v>205</v>
      </c>
      <c r="C71" t="str">
        <f t="shared" si="1"/>
        <v>('IT', 'SI')</v>
      </c>
      <c r="D71">
        <v>10.4025</v>
      </c>
    </row>
    <row r="72" spans="1:4" x14ac:dyDescent="0.35">
      <c r="A72" t="s">
        <v>229</v>
      </c>
      <c r="B72" t="s">
        <v>178</v>
      </c>
      <c r="C72" t="str">
        <f t="shared" si="1"/>
        <v>('CH', 'DE')</v>
      </c>
      <c r="D72">
        <v>63.07200000000001</v>
      </c>
    </row>
    <row r="73" spans="1:4" x14ac:dyDescent="0.35">
      <c r="A73" t="s">
        <v>229</v>
      </c>
      <c r="B73" t="s">
        <v>156</v>
      </c>
      <c r="C73" t="str">
        <f t="shared" si="1"/>
        <v>('CH', 'IT')</v>
      </c>
      <c r="D73">
        <v>233.74600000000001</v>
      </c>
    </row>
    <row r="74" spans="1:4" x14ac:dyDescent="0.35">
      <c r="A74" t="s">
        <v>229</v>
      </c>
      <c r="B74" t="s">
        <v>152</v>
      </c>
      <c r="C74" t="str">
        <f t="shared" si="1"/>
        <v>('CH', 'FR')</v>
      </c>
      <c r="D74">
        <v>36.5</v>
      </c>
    </row>
    <row r="75" spans="1:4" x14ac:dyDescent="0.35">
      <c r="A75" t="s">
        <v>205</v>
      </c>
      <c r="B75" t="s">
        <v>156</v>
      </c>
      <c r="C75" t="str">
        <f t="shared" si="1"/>
        <v>('SI', 'IT')</v>
      </c>
      <c r="D75">
        <v>7.8475000000000001</v>
      </c>
    </row>
    <row r="76" spans="1:4" x14ac:dyDescent="0.35">
      <c r="A76" t="s">
        <v>205</v>
      </c>
      <c r="B76" t="s">
        <v>158</v>
      </c>
      <c r="C76" t="str">
        <f t="shared" si="1"/>
        <v>('SI', 'HR')</v>
      </c>
      <c r="D76">
        <v>19.6005</v>
      </c>
    </row>
    <row r="77" spans="1:4" x14ac:dyDescent="0.35">
      <c r="A77" t="s">
        <v>158</v>
      </c>
      <c r="B77" t="s">
        <v>205</v>
      </c>
      <c r="C77" t="str">
        <f t="shared" si="1"/>
        <v>('HR', 'SI')</v>
      </c>
      <c r="D77">
        <v>2.8105000000000002</v>
      </c>
    </row>
    <row r="78" spans="1:4" x14ac:dyDescent="0.35">
      <c r="A78" t="s">
        <v>158</v>
      </c>
      <c r="B78" t="s">
        <v>198</v>
      </c>
      <c r="C78" t="str">
        <f t="shared" si="1"/>
        <v>('HR', 'HU')</v>
      </c>
      <c r="D78">
        <v>17.72805</v>
      </c>
    </row>
    <row r="79" spans="1:4" x14ac:dyDescent="0.35">
      <c r="A79" t="s">
        <v>152</v>
      </c>
      <c r="B79" t="s">
        <v>150</v>
      </c>
      <c r="C79" t="str">
        <f t="shared" si="1"/>
        <v>('FR', 'BE')</v>
      </c>
      <c r="D79">
        <v>98.55</v>
      </c>
    </row>
    <row r="80" spans="1:4" x14ac:dyDescent="0.35">
      <c r="A80" t="s">
        <v>152</v>
      </c>
      <c r="B80" t="s">
        <v>229</v>
      </c>
      <c r="C80" t="str">
        <f t="shared" si="1"/>
        <v>('FR', 'CH')</v>
      </c>
      <c r="D80">
        <v>81.394999999999996</v>
      </c>
    </row>
    <row r="81" spans="1:4" x14ac:dyDescent="0.35">
      <c r="A81" t="s">
        <v>152</v>
      </c>
      <c r="B81" t="s">
        <v>168</v>
      </c>
      <c r="C81" t="str">
        <f t="shared" si="1"/>
        <v>('FR', 'ES')</v>
      </c>
      <c r="D81">
        <v>60.068779999999997</v>
      </c>
    </row>
    <row r="82" spans="1:4" x14ac:dyDescent="0.35">
      <c r="A82" t="s">
        <v>211</v>
      </c>
      <c r="B82" t="s">
        <v>178</v>
      </c>
      <c r="C82" t="str">
        <f t="shared" si="1"/>
        <v>('DK', 'DE')</v>
      </c>
      <c r="D82">
        <v>1.5034349999999999</v>
      </c>
    </row>
    <row r="83" spans="1:4" x14ac:dyDescent="0.35">
      <c r="A83" t="s">
        <v>164</v>
      </c>
      <c r="B83" t="s">
        <v>178</v>
      </c>
      <c r="C83" t="str">
        <f t="shared" si="1"/>
        <v>('PL', 'DE')</v>
      </c>
      <c r="D83">
        <v>340.03399999999999</v>
      </c>
    </row>
    <row r="84" spans="1:4" x14ac:dyDescent="0.35">
      <c r="A84" t="s">
        <v>194</v>
      </c>
      <c r="B84" t="s">
        <v>178</v>
      </c>
      <c r="C84" t="str">
        <f t="shared" si="1"/>
        <v>('CZ', 'DE')</v>
      </c>
      <c r="D84">
        <v>449.59203500000001</v>
      </c>
    </row>
    <row r="85" spans="1:4" x14ac:dyDescent="0.35">
      <c r="A85" t="s">
        <v>194</v>
      </c>
      <c r="B85" t="s">
        <v>164</v>
      </c>
      <c r="C85" t="str">
        <f t="shared" si="1"/>
        <v>('CZ', 'PL')</v>
      </c>
      <c r="D85">
        <v>10.220000000000001</v>
      </c>
    </row>
    <row r="86" spans="1:4" x14ac:dyDescent="0.35">
      <c r="A86" t="s">
        <v>194</v>
      </c>
      <c r="B86" t="s">
        <v>203</v>
      </c>
      <c r="C86" t="str">
        <f t="shared" si="1"/>
        <v>('CZ', 'SK')</v>
      </c>
      <c r="D86">
        <v>454.93600000000004</v>
      </c>
    </row>
    <row r="87" spans="1:4" x14ac:dyDescent="0.35">
      <c r="A87" t="s">
        <v>203</v>
      </c>
      <c r="B87" t="s">
        <v>188</v>
      </c>
      <c r="C87" t="str">
        <f t="shared" si="1"/>
        <v>('SK', 'AT')</v>
      </c>
      <c r="D87">
        <v>573.19600000000003</v>
      </c>
    </row>
    <row r="88" spans="1:4" x14ac:dyDescent="0.35">
      <c r="A88" t="s">
        <v>203</v>
      </c>
      <c r="B88" t="s">
        <v>194</v>
      </c>
      <c r="C88" t="str">
        <f t="shared" si="1"/>
        <v>('SK', 'CZ')</v>
      </c>
      <c r="D88">
        <v>167.024</v>
      </c>
    </row>
    <row r="89" spans="1:4" x14ac:dyDescent="0.35">
      <c r="A89" t="s">
        <v>203</v>
      </c>
      <c r="B89" t="s">
        <v>198</v>
      </c>
      <c r="C89" t="str">
        <f t="shared" si="1"/>
        <v>('SK', 'HU')</v>
      </c>
      <c r="D89">
        <v>47.048499999999997</v>
      </c>
    </row>
    <row r="90" spans="1:4" x14ac:dyDescent="0.35">
      <c r="A90" t="s">
        <v>203</v>
      </c>
      <c r="B90" t="s">
        <v>228</v>
      </c>
      <c r="C90" t="str">
        <f t="shared" si="1"/>
        <v>('SK', 'UA')</v>
      </c>
      <c r="D90">
        <v>151.84</v>
      </c>
    </row>
    <row r="91" spans="1:4" x14ac:dyDescent="0.35">
      <c r="A91" t="s">
        <v>198</v>
      </c>
      <c r="B91" t="s">
        <v>158</v>
      </c>
      <c r="C91" t="str">
        <f t="shared" si="1"/>
        <v>('HU', 'HR')</v>
      </c>
      <c r="D91">
        <v>28.251000000000005</v>
      </c>
    </row>
    <row r="92" spans="1:4" x14ac:dyDescent="0.35">
      <c r="A92" t="s">
        <v>198</v>
      </c>
      <c r="B92" t="s">
        <v>203</v>
      </c>
      <c r="C92" t="str">
        <f t="shared" si="1"/>
        <v>('HU', 'SK')</v>
      </c>
      <c r="D92">
        <v>18.572295</v>
      </c>
    </row>
    <row r="93" spans="1:4" x14ac:dyDescent="0.35">
      <c r="A93" t="s">
        <v>198</v>
      </c>
      <c r="B93" t="s">
        <v>201</v>
      </c>
      <c r="C93" t="str">
        <f t="shared" si="1"/>
        <v>('HU', 'RS')</v>
      </c>
      <c r="D93">
        <v>51.83</v>
      </c>
    </row>
    <row r="94" spans="1:4" x14ac:dyDescent="0.35">
      <c r="A94" t="s">
        <v>198</v>
      </c>
      <c r="B94" t="s">
        <v>221</v>
      </c>
      <c r="C94" t="str">
        <f t="shared" si="1"/>
        <v>('HU', 'RO')</v>
      </c>
      <c r="D94">
        <v>28.287500000000001</v>
      </c>
    </row>
    <row r="95" spans="1:4" x14ac:dyDescent="0.35">
      <c r="A95" t="s">
        <v>201</v>
      </c>
      <c r="B95" t="s">
        <v>191</v>
      </c>
      <c r="C95" t="str">
        <f t="shared" si="1"/>
        <v>('RS', 'BG')</v>
      </c>
      <c r="D95">
        <v>122.3699</v>
      </c>
    </row>
    <row r="96" spans="1:4" x14ac:dyDescent="0.35">
      <c r="A96" t="s">
        <v>201</v>
      </c>
      <c r="B96" t="s">
        <v>231</v>
      </c>
      <c r="C96" t="str">
        <f t="shared" si="1"/>
        <v>('RS', 'BA')</v>
      </c>
      <c r="D96">
        <v>6.5626999999999995</v>
      </c>
    </row>
    <row r="97" spans="1:4" x14ac:dyDescent="0.35">
      <c r="A97" t="s">
        <v>191</v>
      </c>
      <c r="B97" t="s">
        <v>201</v>
      </c>
      <c r="C97" t="str">
        <f t="shared" si="1"/>
        <v>('BG', 'RS')</v>
      </c>
      <c r="D97">
        <v>170.63749999999999</v>
      </c>
    </row>
    <row r="98" spans="1:4" x14ac:dyDescent="0.35">
      <c r="A98" t="s">
        <v>191</v>
      </c>
      <c r="B98" t="s">
        <v>154</v>
      </c>
      <c r="C98" t="str">
        <f t="shared" si="1"/>
        <v>('BG', 'GR')</v>
      </c>
      <c r="D98">
        <v>42.997</v>
      </c>
    </row>
    <row r="99" spans="1:4" x14ac:dyDescent="0.35">
      <c r="A99" t="s">
        <v>191</v>
      </c>
      <c r="B99" t="s">
        <v>221</v>
      </c>
      <c r="C99" t="str">
        <f t="shared" si="1"/>
        <v>('BG', 'RO')</v>
      </c>
      <c r="D99">
        <v>54.074750000000002</v>
      </c>
    </row>
    <row r="100" spans="1:4" x14ac:dyDescent="0.35">
      <c r="A100" t="s">
        <v>191</v>
      </c>
      <c r="B100" t="s">
        <v>170</v>
      </c>
      <c r="C100" t="str">
        <f t="shared" si="1"/>
        <v>('BG', 'TR')</v>
      </c>
      <c r="D100">
        <v>181.46340000000004</v>
      </c>
    </row>
    <row r="101" spans="1:4" x14ac:dyDescent="0.35">
      <c r="A101" t="s">
        <v>154</v>
      </c>
      <c r="B101" t="s">
        <v>191</v>
      </c>
      <c r="C101" t="str">
        <f t="shared" si="1"/>
        <v>('GR', 'BG')</v>
      </c>
      <c r="D101">
        <v>23.659299999999998</v>
      </c>
    </row>
    <row r="102" spans="1:4" x14ac:dyDescent="0.35">
      <c r="A102" t="s">
        <v>221</v>
      </c>
      <c r="B102" t="s">
        <v>198</v>
      </c>
      <c r="C102" t="str">
        <f t="shared" si="1"/>
        <v>('RO', 'HU')</v>
      </c>
      <c r="D102">
        <v>18.359500000000001</v>
      </c>
    </row>
    <row r="103" spans="1:4" x14ac:dyDescent="0.35">
      <c r="A103" t="s">
        <v>221</v>
      </c>
      <c r="B103" t="s">
        <v>191</v>
      </c>
      <c r="C103" t="str">
        <f t="shared" si="1"/>
        <v>('RO', 'BG')</v>
      </c>
      <c r="D103">
        <v>294.09875000000005</v>
      </c>
    </row>
    <row r="104" spans="1:4" x14ac:dyDescent="0.35">
      <c r="A104" t="s">
        <v>221</v>
      </c>
      <c r="B104" t="s">
        <v>228</v>
      </c>
      <c r="C104" t="str">
        <f t="shared" si="1"/>
        <v>('RO', 'UA')</v>
      </c>
      <c r="D104">
        <v>44.603000000000002</v>
      </c>
    </row>
    <row r="105" spans="1:4" x14ac:dyDescent="0.35">
      <c r="A105" t="s">
        <v>221</v>
      </c>
      <c r="B105" t="s">
        <v>232</v>
      </c>
      <c r="C105" t="str">
        <f t="shared" si="1"/>
        <v>('RO', 'MD')</v>
      </c>
      <c r="D105">
        <v>20.330500000000001</v>
      </c>
    </row>
    <row r="106" spans="1:4" x14ac:dyDescent="0.35">
      <c r="A106" t="s">
        <v>160</v>
      </c>
      <c r="B106" t="s">
        <v>182</v>
      </c>
      <c r="C106" t="str">
        <f t="shared" si="1"/>
        <v>('LT', 'LV')</v>
      </c>
      <c r="D106">
        <v>24.673999999999996</v>
      </c>
    </row>
    <row r="107" spans="1:4" x14ac:dyDescent="0.35">
      <c r="A107" t="s">
        <v>160</v>
      </c>
      <c r="B107" t="s">
        <v>223</v>
      </c>
      <c r="C107" t="str">
        <f t="shared" si="1"/>
        <v>('LT', 'RU')</v>
      </c>
      <c r="D107">
        <v>41.683</v>
      </c>
    </row>
    <row r="108" spans="1:4" x14ac:dyDescent="0.35">
      <c r="A108" t="s">
        <v>182</v>
      </c>
      <c r="B108" t="s">
        <v>160</v>
      </c>
      <c r="C108" t="str">
        <f t="shared" si="1"/>
        <v>('LV', 'LT')</v>
      </c>
      <c r="D108">
        <v>23.761499999999998</v>
      </c>
    </row>
    <row r="109" spans="1:4" x14ac:dyDescent="0.35">
      <c r="A109" t="s">
        <v>182</v>
      </c>
      <c r="B109" t="s">
        <v>223</v>
      </c>
      <c r="C109" t="str">
        <f t="shared" si="1"/>
        <v>('LV', 'RU')</v>
      </c>
      <c r="D109">
        <v>31.024999999999999</v>
      </c>
    </row>
    <row r="110" spans="1:4" x14ac:dyDescent="0.35">
      <c r="A110" t="s">
        <v>168</v>
      </c>
      <c r="B110" t="s">
        <v>152</v>
      </c>
      <c r="C110" t="str">
        <f t="shared" si="1"/>
        <v>('ES', 'FR')</v>
      </c>
      <c r="D110">
        <v>81.906000000000006</v>
      </c>
    </row>
    <row r="111" spans="1:4" x14ac:dyDescent="0.35">
      <c r="A111" t="s">
        <v>168</v>
      </c>
      <c r="B111" t="s">
        <v>166</v>
      </c>
      <c r="C111" t="str">
        <f t="shared" si="1"/>
        <v>('ES', 'PT')</v>
      </c>
      <c r="D111">
        <v>52.56</v>
      </c>
    </row>
    <row r="112" spans="1:4" x14ac:dyDescent="0.35">
      <c r="A112" t="s">
        <v>166</v>
      </c>
      <c r="B112" t="s">
        <v>168</v>
      </c>
      <c r="C112" t="str">
        <f t="shared" si="1"/>
        <v>('PT', 'ES')</v>
      </c>
      <c r="D112">
        <v>29.2</v>
      </c>
    </row>
    <row r="113" spans="1:4" x14ac:dyDescent="0.35">
      <c r="A113" t="s">
        <v>228</v>
      </c>
      <c r="B113" t="s">
        <v>164</v>
      </c>
      <c r="C113" t="str">
        <f t="shared" si="1"/>
        <v>('UA', 'PL')</v>
      </c>
      <c r="D113">
        <v>49.494</v>
      </c>
    </row>
    <row r="114" spans="1:4" x14ac:dyDescent="0.35">
      <c r="A114" t="s">
        <v>228</v>
      </c>
      <c r="B114" t="s">
        <v>203</v>
      </c>
      <c r="C114" t="str">
        <f t="shared" si="1"/>
        <v>('UA', 'SK')</v>
      </c>
      <c r="D114">
        <v>816.06700000000012</v>
      </c>
    </row>
    <row r="115" spans="1:4" x14ac:dyDescent="0.35">
      <c r="A115" t="s">
        <v>228</v>
      </c>
      <c r="B115" t="s">
        <v>198</v>
      </c>
      <c r="C115" t="str">
        <f t="shared" si="1"/>
        <v>('UA', 'HU')</v>
      </c>
      <c r="D115">
        <v>188.88749999999999</v>
      </c>
    </row>
    <row r="116" spans="1:4" x14ac:dyDescent="0.35">
      <c r="A116" t="s">
        <v>228</v>
      </c>
      <c r="B116" t="s">
        <v>221</v>
      </c>
      <c r="C116" t="str">
        <f t="shared" si="1"/>
        <v>('UA', 'RO')</v>
      </c>
      <c r="D116">
        <v>424.64100000000008</v>
      </c>
    </row>
    <row r="117" spans="1:4" x14ac:dyDescent="0.35">
      <c r="A117" t="s">
        <v>232</v>
      </c>
      <c r="B117" t="s">
        <v>221</v>
      </c>
      <c r="C117" t="str">
        <f t="shared" si="1"/>
        <v>('MD', 'RO')</v>
      </c>
      <c r="D117">
        <v>0.80300000000000016</v>
      </c>
    </row>
    <row r="118" spans="1:4" x14ac:dyDescent="0.35">
      <c r="A118" t="s">
        <v>223</v>
      </c>
      <c r="B118" t="s">
        <v>178</v>
      </c>
      <c r="C118" t="str">
        <f t="shared" si="1"/>
        <v>('RU', 'DE')</v>
      </c>
      <c r="D118">
        <v>635.83000000000004</v>
      </c>
    </row>
    <row r="119" spans="1:4" x14ac:dyDescent="0.35">
      <c r="A119" t="s">
        <v>223</v>
      </c>
      <c r="B119" t="s">
        <v>182</v>
      </c>
      <c r="C119" t="str">
        <f t="shared" si="1"/>
        <v>('RU', 'LV')</v>
      </c>
      <c r="D119">
        <v>61.32</v>
      </c>
    </row>
    <row r="120" spans="1:4" x14ac:dyDescent="0.35">
      <c r="A120" t="s">
        <v>223</v>
      </c>
      <c r="B120" t="s">
        <v>176</v>
      </c>
      <c r="C120" t="str">
        <f t="shared" si="1"/>
        <v>('RU', 'FI')</v>
      </c>
      <c r="D120">
        <v>80.3</v>
      </c>
    </row>
    <row r="121" spans="1:4" x14ac:dyDescent="0.35">
      <c r="A121" t="s">
        <v>184</v>
      </c>
      <c r="B121" t="s">
        <v>156</v>
      </c>
      <c r="C121" t="str">
        <f t="shared" si="1"/>
        <v>('AL', 'IT')</v>
      </c>
      <c r="D121">
        <v>200.71350000000001</v>
      </c>
    </row>
    <row r="122" spans="1:4" x14ac:dyDescent="0.35">
      <c r="A122" t="s">
        <v>170</v>
      </c>
      <c r="B122" t="s">
        <v>191</v>
      </c>
      <c r="C122" t="str">
        <f t="shared" si="1"/>
        <v>('TR', 'BG')</v>
      </c>
      <c r="D122">
        <v>256.15699999999998</v>
      </c>
    </row>
    <row r="123" spans="1:4" x14ac:dyDescent="0.35">
      <c r="A123" t="s">
        <v>170</v>
      </c>
      <c r="B123" t="s">
        <v>154</v>
      </c>
      <c r="C123" t="str">
        <f t="shared" si="1"/>
        <v>('TR', 'GR')</v>
      </c>
      <c r="D123">
        <v>145.489</v>
      </c>
    </row>
    <row r="124" spans="1:4" x14ac:dyDescent="0.35">
      <c r="A124" t="s">
        <v>209</v>
      </c>
      <c r="B124" t="s">
        <v>168</v>
      </c>
      <c r="C124" t="str">
        <f t="shared" si="1"/>
        <v>('MA', 'ES')</v>
      </c>
      <c r="D124">
        <v>161.62200000000001</v>
      </c>
    </row>
    <row r="125" spans="1:4" x14ac:dyDescent="0.35">
      <c r="A125" t="s">
        <v>233</v>
      </c>
      <c r="B125" t="s">
        <v>164</v>
      </c>
      <c r="C125" t="str">
        <f t="shared" si="1"/>
        <v>('BY', 'PL')</v>
      </c>
      <c r="D125">
        <v>439.27749999999992</v>
      </c>
    </row>
    <row r="126" spans="1:4" x14ac:dyDescent="0.35">
      <c r="A126" t="s">
        <v>223</v>
      </c>
      <c r="B126" t="s">
        <v>233</v>
      </c>
      <c r="C126" t="str">
        <f t="shared" si="1"/>
        <v>('RU', 'BY')</v>
      </c>
      <c r="D126">
        <v>439.27749999999992</v>
      </c>
    </row>
    <row r="127" spans="1:4" x14ac:dyDescent="0.35">
      <c r="A127" t="s">
        <v>233</v>
      </c>
      <c r="B127" t="s">
        <v>160</v>
      </c>
      <c r="C127" t="str">
        <f t="shared" si="1"/>
        <v>('BY', 'LT')</v>
      </c>
      <c r="D127">
        <v>118.77099999999999</v>
      </c>
    </row>
    <row r="128" spans="1:4" x14ac:dyDescent="0.35">
      <c r="A128" t="s">
        <v>223</v>
      </c>
      <c r="B128" t="s">
        <v>228</v>
      </c>
      <c r="C128" t="str">
        <f t="shared" si="1"/>
        <v>('RU', 'UA')</v>
      </c>
      <c r="D128">
        <v>486.91</v>
      </c>
    </row>
    <row r="129" spans="1:4" x14ac:dyDescent="0.35">
      <c r="A129" t="s">
        <v>234</v>
      </c>
      <c r="B129" t="s">
        <v>170</v>
      </c>
      <c r="C129" t="str">
        <f t="shared" si="1"/>
        <v>('AZ', 'TR')</v>
      </c>
      <c r="D129">
        <v>144.17500000000001</v>
      </c>
    </row>
    <row r="130" spans="1:4" x14ac:dyDescent="0.35">
      <c r="A130" t="s">
        <v>201</v>
      </c>
      <c r="B130" t="s">
        <v>198</v>
      </c>
      <c r="C130" t="str">
        <f t="shared" ref="C130:C149" si="2">_xlfn.CONCAT("('",A130,"', '",B130,"')")</f>
        <v>('RS', 'HU')</v>
      </c>
      <c r="D130">
        <v>89.716999999999999</v>
      </c>
    </row>
    <row r="131" spans="1:4" x14ac:dyDescent="0.35">
      <c r="A131" t="s">
        <v>191</v>
      </c>
      <c r="B131" t="s">
        <v>235</v>
      </c>
      <c r="C131" t="str">
        <f t="shared" si="2"/>
        <v>('BG', 'MK')</v>
      </c>
      <c r="D131">
        <v>12.1837</v>
      </c>
    </row>
    <row r="132" spans="1:4" x14ac:dyDescent="0.35">
      <c r="A132" t="s">
        <v>215</v>
      </c>
      <c r="B132" t="s">
        <v>156</v>
      </c>
      <c r="C132" t="str">
        <f t="shared" si="2"/>
        <v>('LY', 'IT')</v>
      </c>
      <c r="D132">
        <v>180.20050000000001</v>
      </c>
    </row>
    <row r="133" spans="1:4" x14ac:dyDescent="0.35">
      <c r="A133" t="s">
        <v>225</v>
      </c>
      <c r="B133" t="s">
        <v>156</v>
      </c>
      <c r="C133" t="str">
        <f t="shared" si="2"/>
        <v>('TN', 'IT')</v>
      </c>
      <c r="D133">
        <v>421.21</v>
      </c>
    </row>
    <row r="134" spans="1:4" x14ac:dyDescent="0.35">
      <c r="A134" t="s">
        <v>186</v>
      </c>
      <c r="B134" t="s">
        <v>168</v>
      </c>
      <c r="C134" t="str">
        <f t="shared" si="2"/>
        <v>('DZ', 'ES')</v>
      </c>
      <c r="D134">
        <v>123.04150000000001</v>
      </c>
    </row>
    <row r="135" spans="1:4" x14ac:dyDescent="0.35">
      <c r="A135" t="s">
        <v>218</v>
      </c>
      <c r="B135" t="s">
        <v>178</v>
      </c>
      <c r="C135" t="str">
        <f t="shared" si="2"/>
        <v>('NO', 'DE')</v>
      </c>
      <c r="D135">
        <v>455.15499999999997</v>
      </c>
    </row>
    <row r="136" spans="1:4" x14ac:dyDescent="0.35">
      <c r="A136" t="s">
        <v>218</v>
      </c>
      <c r="B136" t="s">
        <v>162</v>
      </c>
      <c r="C136" t="str">
        <f t="shared" si="2"/>
        <v>('NO', 'NL')</v>
      </c>
      <c r="D136">
        <v>351.714</v>
      </c>
    </row>
    <row r="137" spans="1:4" x14ac:dyDescent="0.35">
      <c r="A137" t="s">
        <v>218</v>
      </c>
      <c r="B137" t="s">
        <v>150</v>
      </c>
      <c r="C137" t="str">
        <f t="shared" si="2"/>
        <v>('NO', 'BE')</v>
      </c>
      <c r="D137">
        <v>167.75399999999999</v>
      </c>
    </row>
    <row r="138" spans="1:4" x14ac:dyDescent="0.35">
      <c r="A138" t="s">
        <v>218</v>
      </c>
      <c r="B138" t="s">
        <v>152</v>
      </c>
      <c r="C138" t="str">
        <f t="shared" si="2"/>
        <v>('NO', 'FR')</v>
      </c>
      <c r="D138">
        <v>207.5025</v>
      </c>
    </row>
    <row r="139" spans="1:4" x14ac:dyDescent="0.35">
      <c r="A139" t="s">
        <v>218</v>
      </c>
      <c r="B139" t="s">
        <v>172</v>
      </c>
      <c r="C139" t="str">
        <f t="shared" si="2"/>
        <v>('NO', 'UK')</v>
      </c>
      <c r="D139">
        <v>513.19000000000005</v>
      </c>
    </row>
    <row r="140" spans="1:4" x14ac:dyDescent="0.35">
      <c r="A140" t="s">
        <v>172</v>
      </c>
      <c r="B140" t="s">
        <v>162</v>
      </c>
      <c r="C140" t="str">
        <f t="shared" si="2"/>
        <v>('UK', 'NL')</v>
      </c>
      <c r="D140">
        <v>67.451999999999998</v>
      </c>
    </row>
    <row r="141" spans="1:4" x14ac:dyDescent="0.35">
      <c r="A141" t="s">
        <v>154</v>
      </c>
      <c r="B141" t="s">
        <v>184</v>
      </c>
      <c r="C141" t="str">
        <f t="shared" si="2"/>
        <v>('GR', 'AL')</v>
      </c>
      <c r="D141">
        <v>200.71350000000001</v>
      </c>
    </row>
    <row r="142" spans="1:4" x14ac:dyDescent="0.35">
      <c r="A142" t="s">
        <v>170</v>
      </c>
      <c r="B142" t="s">
        <v>154</v>
      </c>
      <c r="C142" t="str">
        <f t="shared" si="2"/>
        <v>('TR', 'GR')</v>
      </c>
      <c r="D142">
        <v>144.17500000000001</v>
      </c>
    </row>
    <row r="143" spans="1:4" x14ac:dyDescent="0.35">
      <c r="A143" t="s">
        <v>186</v>
      </c>
      <c r="B143" t="s">
        <v>209</v>
      </c>
      <c r="C143" t="str">
        <f t="shared" si="2"/>
        <v>('DZ', 'MA')</v>
      </c>
      <c r="D143">
        <v>123.04150000000001</v>
      </c>
    </row>
    <row r="144" spans="1:4" x14ac:dyDescent="0.35">
      <c r="A144" t="s">
        <v>186</v>
      </c>
      <c r="B144" t="s">
        <v>225</v>
      </c>
      <c r="C144" t="str">
        <f t="shared" si="2"/>
        <v>('DZ', 'TN')</v>
      </c>
      <c r="D144">
        <v>421.21</v>
      </c>
    </row>
    <row r="145" spans="1:4" x14ac:dyDescent="0.35">
      <c r="A145" t="s">
        <v>211</v>
      </c>
      <c r="B145" t="s">
        <v>236</v>
      </c>
      <c r="C145" t="str">
        <f t="shared" si="2"/>
        <v>('DK', 'SE')</v>
      </c>
      <c r="D145">
        <v>14.965</v>
      </c>
    </row>
    <row r="146" spans="1:4" x14ac:dyDescent="0.35">
      <c r="A146" t="s">
        <v>218</v>
      </c>
      <c r="B146" t="s">
        <v>211</v>
      </c>
      <c r="C146" t="str">
        <f t="shared" si="2"/>
        <v>('NO', 'DK')</v>
      </c>
      <c r="D146">
        <v>117.49349999999998</v>
      </c>
    </row>
    <row r="147" spans="1:4" x14ac:dyDescent="0.35">
      <c r="A147" t="s">
        <v>211</v>
      </c>
      <c r="B147" t="s">
        <v>164</v>
      </c>
      <c r="C147" t="str">
        <f t="shared" si="2"/>
        <v>('DK', 'PL')</v>
      </c>
      <c r="D147">
        <v>117.49349999999998</v>
      </c>
    </row>
    <row r="148" spans="1:4" x14ac:dyDescent="0.35">
      <c r="A148" t="s">
        <v>174</v>
      </c>
      <c r="B148" t="s">
        <v>182</v>
      </c>
      <c r="C148" t="str">
        <f t="shared" si="2"/>
        <v>('EE', 'LV')</v>
      </c>
      <c r="D148">
        <v>24.424999999999997</v>
      </c>
    </row>
    <row r="149" spans="1:4" x14ac:dyDescent="0.35">
      <c r="A149" t="s">
        <v>182</v>
      </c>
      <c r="B149" t="s">
        <v>174</v>
      </c>
      <c r="C149" t="str">
        <f t="shared" si="2"/>
        <v>('LV', 'EE')</v>
      </c>
      <c r="D149">
        <v>24.424999999999997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2024-05-06T14:38:01Z</dcterms:created>
  <dcterms:modified xsi:type="dcterms:W3CDTF">2024-05-06T15:35:11Z</dcterms:modified>
</cp:coreProperties>
</file>