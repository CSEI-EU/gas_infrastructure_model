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0_code_base\02_unidirectional\"/>
    </mc:Choice>
  </mc:AlternateContent>
  <xr:revisionPtr revIDLastSave="0" documentId="13_ncr:1_{E1ADB1B3-50B3-440D-BF7F-5CE0A52BE5C8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B13" i="5"/>
  <c r="B14" i="5"/>
  <c r="E6" i="5" s="1"/>
  <c r="B15" i="5"/>
  <c r="B16" i="5"/>
  <c r="B17" i="5"/>
  <c r="B11" i="5"/>
  <c r="E5" i="5" s="1"/>
  <c r="B12" i="5"/>
  <c r="B5" i="5"/>
  <c r="E4" i="5" s="1"/>
  <c r="B6" i="5"/>
  <c r="B7" i="5"/>
  <c r="B8" i="5"/>
  <c r="B9" i="5"/>
  <c r="B10" i="5"/>
  <c r="B4" i="5"/>
  <c r="E3" i="5" s="1"/>
  <c r="B3" i="5"/>
  <c r="B2" i="5"/>
  <c r="B32" i="3"/>
  <c r="B33" i="3"/>
  <c r="B31" i="3"/>
  <c r="B30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8" i="3"/>
  <c r="B7" i="3"/>
  <c r="B6" i="3"/>
  <c r="B3" i="3"/>
  <c r="B4" i="3"/>
  <c r="B5" i="3"/>
  <c r="B2" i="3"/>
  <c r="C14" i="2"/>
  <c r="B14" i="2"/>
  <c r="B3" i="2"/>
  <c r="B4" i="2"/>
  <c r="B5" i="2"/>
  <c r="B6" i="2"/>
  <c r="B7" i="2"/>
  <c r="B8" i="2"/>
  <c r="B9" i="2"/>
  <c r="B10" i="2"/>
  <c r="B11" i="2"/>
  <c r="B12" i="2"/>
  <c r="B13" i="2"/>
  <c r="B2" i="2"/>
  <c r="C3" i="2"/>
  <c r="C4" i="2"/>
  <c r="C5" i="2"/>
  <c r="C6" i="2"/>
  <c r="C7" i="2"/>
  <c r="C8" i="2"/>
  <c r="C9" i="2"/>
  <c r="C10" i="2"/>
  <c r="C11" i="2"/>
  <c r="C12" i="2"/>
  <c r="C13" i="2"/>
  <c r="C2" i="2"/>
</calcChain>
</file>

<file path=xl/sharedStrings.xml><?xml version="1.0" encoding="utf-8"?>
<sst xmlns="http://schemas.openxmlformats.org/spreadsheetml/2006/main" count="852" uniqueCount="383">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</sst>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372" totalsRowShown="0" headerRowDxfId="9">
  <autoFilter ref="A1:E372" xr:uid="{F8C1A0C6-C4C4-4C45-B104-B3FE75F0BAEF}"/>
  <sortState xmlns:xlrd2="http://schemas.microsoft.com/office/spreadsheetml/2017/richdata2" ref="A2:E372">
    <sortCondition ref="C1:C372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)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8" totalsRowShown="0">
  <autoFilter ref="A1:C28" xr:uid="{6D39A84A-377F-4921-AB1E-F9821BDD1C2B}"/>
  <sortState xmlns:xlrd2="http://schemas.microsoft.com/office/spreadsheetml/2017/richdata2" ref="A2:C28">
    <sortCondition descending="1" ref="C1:C28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4" totalsRowShown="0">
  <autoFilter ref="A1:C14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VLOOKUP(LNG_Import_use!$A2,Raw!$C$3:$E$372,2,FALSE)</calculatedColumnFormula>
    </tableColumn>
    <tableColumn id="3" xr3:uid="{E19B88D8-3893-4610-AB1D-CF00C32B1D5C}" name="Share" dataDxfId="5">
      <calculatedColumnFormula>VLOOKUP(LNG_Import_use!$A2,Raw!$C$3:$E$372,3,FALSE)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17" totalsRowShown="0">
  <autoFilter ref="A1:B17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SUMIFS(Raw!$D$2:$D$371,Raw!$C$2:$C$371,"*"&amp;LNG_Sources!$A2&amp;"*")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3" totalsRowShown="0">
  <autoFilter ref="A1:B33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VLOOKUP($A2,Raw!$C$3:$E$372,2,FALSE)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"/>
  <sheetViews>
    <sheetView topLeftCell="A316" workbookViewId="0">
      <selection activeCell="D1" sqref="D1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5" x14ac:dyDescent="0.35">
      <c r="A1" t="s">
        <v>4</v>
      </c>
      <c r="B1" s="1" t="s">
        <v>0</v>
      </c>
      <c r="C1" s="1" t="s">
        <v>1</v>
      </c>
      <c r="D1" s="4" t="s">
        <v>152</v>
      </c>
      <c r="E1" s="1" t="s">
        <v>2</v>
      </c>
    </row>
    <row r="2" spans="1:5" x14ac:dyDescent="0.35">
      <c r="A2" s="1">
        <v>129</v>
      </c>
      <c r="B2" t="s">
        <v>3</v>
      </c>
      <c r="C2" s="3" t="s">
        <v>73</v>
      </c>
      <c r="D2" s="5">
        <v>361199.60244725872</v>
      </c>
      <c r="E2">
        <v>3.6119963856722247E-2</v>
      </c>
    </row>
    <row r="3" spans="1:5" x14ac:dyDescent="0.35">
      <c r="A3" s="1">
        <v>314</v>
      </c>
      <c r="B3" t="s">
        <v>3</v>
      </c>
      <c r="C3" s="3" t="s">
        <v>364</v>
      </c>
      <c r="D3">
        <v>0</v>
      </c>
      <c r="E3">
        <v>0</v>
      </c>
    </row>
    <row r="4" spans="1:5" x14ac:dyDescent="0.35">
      <c r="A4" s="1">
        <v>163</v>
      </c>
      <c r="B4" t="s">
        <v>3</v>
      </c>
      <c r="C4" s="3" t="s">
        <v>232</v>
      </c>
      <c r="D4">
        <v>0</v>
      </c>
      <c r="E4">
        <v>0</v>
      </c>
    </row>
    <row r="5" spans="1:5" x14ac:dyDescent="0.35">
      <c r="A5" s="1">
        <v>177</v>
      </c>
      <c r="B5" t="s">
        <v>3</v>
      </c>
      <c r="C5" s="3" t="s">
        <v>243</v>
      </c>
      <c r="D5">
        <v>0</v>
      </c>
      <c r="E5">
        <v>0</v>
      </c>
    </row>
    <row r="6" spans="1:5" x14ac:dyDescent="0.35">
      <c r="A6" s="1">
        <v>296</v>
      </c>
      <c r="B6" t="s">
        <v>3</v>
      </c>
      <c r="C6" s="3" t="s">
        <v>349</v>
      </c>
      <c r="D6">
        <v>0</v>
      </c>
      <c r="E6">
        <v>0</v>
      </c>
    </row>
    <row r="7" spans="1:5" x14ac:dyDescent="0.35">
      <c r="A7" s="1">
        <v>241</v>
      </c>
      <c r="B7" t="s">
        <v>3</v>
      </c>
      <c r="C7" s="3" t="s">
        <v>301</v>
      </c>
      <c r="D7">
        <v>0</v>
      </c>
      <c r="E7">
        <v>0</v>
      </c>
    </row>
    <row r="8" spans="1:5" x14ac:dyDescent="0.35">
      <c r="A8" s="1">
        <v>229</v>
      </c>
      <c r="B8" t="s">
        <v>3</v>
      </c>
      <c r="C8" s="3" t="s">
        <v>96</v>
      </c>
      <c r="D8" s="5">
        <v>356106.01535984228</v>
      </c>
      <c r="E8">
        <v>3.5610605097044737E-2</v>
      </c>
    </row>
    <row r="9" spans="1:5" x14ac:dyDescent="0.35">
      <c r="A9" s="1">
        <v>201</v>
      </c>
      <c r="B9" t="s">
        <v>3</v>
      </c>
      <c r="C9" s="3" t="s">
        <v>263</v>
      </c>
      <c r="D9">
        <v>0</v>
      </c>
      <c r="E9">
        <v>0</v>
      </c>
    </row>
    <row r="10" spans="1:5" x14ac:dyDescent="0.35">
      <c r="A10" s="1">
        <v>299</v>
      </c>
      <c r="B10" t="s">
        <v>3</v>
      </c>
      <c r="C10" s="3" t="s">
        <v>352</v>
      </c>
      <c r="D10">
        <v>0</v>
      </c>
      <c r="E10">
        <v>0</v>
      </c>
    </row>
    <row r="11" spans="1:5" x14ac:dyDescent="0.35">
      <c r="A11" s="1">
        <v>198</v>
      </c>
      <c r="B11" t="s">
        <v>3</v>
      </c>
      <c r="C11" s="3" t="s">
        <v>260</v>
      </c>
      <c r="D11">
        <v>0</v>
      </c>
      <c r="E11">
        <v>0</v>
      </c>
    </row>
    <row r="12" spans="1:5" x14ac:dyDescent="0.35">
      <c r="A12" s="1">
        <v>176</v>
      </c>
      <c r="B12" t="s">
        <v>3</v>
      </c>
      <c r="C12" s="3" t="s">
        <v>242</v>
      </c>
      <c r="D12">
        <v>0</v>
      </c>
      <c r="E12">
        <v>0</v>
      </c>
    </row>
    <row r="13" spans="1:5" x14ac:dyDescent="0.35">
      <c r="A13" s="1">
        <v>167</v>
      </c>
      <c r="B13" t="s">
        <v>3</v>
      </c>
      <c r="C13" s="3" t="s">
        <v>236</v>
      </c>
      <c r="D13">
        <v>0</v>
      </c>
      <c r="E13">
        <v>0</v>
      </c>
    </row>
    <row r="14" spans="1:5" x14ac:dyDescent="0.35">
      <c r="A14" s="1">
        <v>237</v>
      </c>
      <c r="B14" t="s">
        <v>3</v>
      </c>
      <c r="C14" s="3" t="s">
        <v>297</v>
      </c>
      <c r="D14">
        <v>0</v>
      </c>
      <c r="E14">
        <v>0</v>
      </c>
    </row>
    <row r="15" spans="1:5" x14ac:dyDescent="0.35">
      <c r="A15" s="1">
        <v>215</v>
      </c>
      <c r="B15" t="s">
        <v>3</v>
      </c>
      <c r="C15" s="3" t="s">
        <v>277</v>
      </c>
      <c r="D15">
        <v>0</v>
      </c>
      <c r="E15">
        <v>0</v>
      </c>
    </row>
    <row r="16" spans="1:5" x14ac:dyDescent="0.35">
      <c r="A16" s="1">
        <v>277</v>
      </c>
      <c r="B16" t="s">
        <v>3</v>
      </c>
      <c r="C16" s="3" t="s">
        <v>334</v>
      </c>
      <c r="D16">
        <v>0</v>
      </c>
      <c r="E16">
        <v>0</v>
      </c>
    </row>
    <row r="17" spans="1:5" x14ac:dyDescent="0.35">
      <c r="A17" s="1">
        <v>179</v>
      </c>
      <c r="B17" t="s">
        <v>3</v>
      </c>
      <c r="C17" s="3" t="s">
        <v>92</v>
      </c>
      <c r="D17" s="5">
        <v>5093.5870874163083</v>
      </c>
      <c r="E17">
        <v>5.0935875967750678E-4</v>
      </c>
    </row>
    <row r="18" spans="1:5" x14ac:dyDescent="0.35">
      <c r="A18" s="1">
        <v>161</v>
      </c>
      <c r="B18" t="s">
        <v>3</v>
      </c>
      <c r="C18" s="3" t="s">
        <v>230</v>
      </c>
      <c r="D18">
        <v>0</v>
      </c>
      <c r="E18">
        <v>0</v>
      </c>
    </row>
    <row r="19" spans="1:5" x14ac:dyDescent="0.35">
      <c r="A19" s="1">
        <v>199</v>
      </c>
      <c r="B19" t="s">
        <v>3</v>
      </c>
      <c r="C19" s="3" t="s">
        <v>261</v>
      </c>
      <c r="D19">
        <v>0</v>
      </c>
      <c r="E19">
        <v>0</v>
      </c>
    </row>
    <row r="20" spans="1:5" x14ac:dyDescent="0.35">
      <c r="A20" s="1">
        <v>249</v>
      </c>
      <c r="B20" t="s">
        <v>3</v>
      </c>
      <c r="C20" s="3" t="s">
        <v>308</v>
      </c>
      <c r="D20">
        <v>0</v>
      </c>
      <c r="E20">
        <v>0</v>
      </c>
    </row>
    <row r="21" spans="1:5" x14ac:dyDescent="0.35">
      <c r="A21" s="1">
        <v>126</v>
      </c>
      <c r="B21" t="s">
        <v>3</v>
      </c>
      <c r="C21" s="3" t="s">
        <v>213</v>
      </c>
      <c r="D21">
        <v>0</v>
      </c>
      <c r="E21">
        <v>0</v>
      </c>
    </row>
    <row r="22" spans="1:5" x14ac:dyDescent="0.35">
      <c r="A22" s="1">
        <v>361</v>
      </c>
      <c r="B22" t="s">
        <v>3</v>
      </c>
      <c r="C22" s="3" t="s">
        <v>143</v>
      </c>
      <c r="D22" s="5">
        <v>756389.00431332877</v>
      </c>
      <c r="E22">
        <v>7.5638907995223673E-2</v>
      </c>
    </row>
    <row r="23" spans="1:5" x14ac:dyDescent="0.35">
      <c r="A23" s="1">
        <v>20</v>
      </c>
      <c r="B23" t="s">
        <v>3</v>
      </c>
      <c r="C23" s="3" t="s">
        <v>15</v>
      </c>
      <c r="D23" s="5">
        <v>79762.947949686146</v>
      </c>
      <c r="E23">
        <v>0.44863195343807849</v>
      </c>
    </row>
    <row r="24" spans="1:5" x14ac:dyDescent="0.35">
      <c r="A24" s="1">
        <v>316</v>
      </c>
      <c r="B24" t="s">
        <v>3</v>
      </c>
      <c r="C24" s="3" t="s">
        <v>108</v>
      </c>
      <c r="D24" s="5">
        <v>555.86415</v>
      </c>
      <c r="E24">
        <v>5.5586420558642063E-5</v>
      </c>
    </row>
    <row r="25" spans="1:5" x14ac:dyDescent="0.35">
      <c r="A25" s="1">
        <v>144</v>
      </c>
      <c r="B25" t="s">
        <v>3</v>
      </c>
      <c r="C25" s="3" t="s">
        <v>220</v>
      </c>
      <c r="D25">
        <v>0</v>
      </c>
      <c r="E25">
        <v>0</v>
      </c>
    </row>
    <row r="26" spans="1:5" x14ac:dyDescent="0.35">
      <c r="A26" s="1">
        <v>121</v>
      </c>
      <c r="B26" t="s">
        <v>3</v>
      </c>
      <c r="C26" s="3" t="s">
        <v>67</v>
      </c>
      <c r="D26" s="5">
        <v>339902.24394525401</v>
      </c>
      <c r="E26">
        <v>3.3990227793548183E-2</v>
      </c>
    </row>
    <row r="27" spans="1:5" x14ac:dyDescent="0.35">
      <c r="A27" s="1">
        <v>367</v>
      </c>
      <c r="B27" t="s">
        <v>3</v>
      </c>
      <c r="C27" s="3" t="s">
        <v>148</v>
      </c>
      <c r="D27" s="5">
        <v>1514321.734984355</v>
      </c>
      <c r="E27">
        <v>0.15143218864165439</v>
      </c>
    </row>
    <row r="28" spans="1:5" x14ac:dyDescent="0.35">
      <c r="A28" s="1">
        <v>16</v>
      </c>
      <c r="B28" t="s">
        <v>3</v>
      </c>
      <c r="C28" s="3" t="s">
        <v>161</v>
      </c>
      <c r="D28">
        <v>0</v>
      </c>
      <c r="E28">
        <v>0</v>
      </c>
    </row>
    <row r="29" spans="1:5" x14ac:dyDescent="0.35">
      <c r="A29" s="1">
        <v>102</v>
      </c>
      <c r="B29" t="s">
        <v>3</v>
      </c>
      <c r="C29" s="3" t="s">
        <v>208</v>
      </c>
      <c r="D29">
        <v>0</v>
      </c>
      <c r="E29">
        <v>0</v>
      </c>
    </row>
    <row r="30" spans="1:5" x14ac:dyDescent="0.35">
      <c r="A30" s="1">
        <v>9</v>
      </c>
      <c r="B30" t="s">
        <v>3</v>
      </c>
      <c r="C30" s="3" t="s">
        <v>156</v>
      </c>
      <c r="D30">
        <v>0</v>
      </c>
      <c r="E30">
        <v>0</v>
      </c>
    </row>
    <row r="31" spans="1:5" x14ac:dyDescent="0.35">
      <c r="A31" s="1">
        <v>43</v>
      </c>
      <c r="B31" t="s">
        <v>3</v>
      </c>
      <c r="C31" s="3" t="s">
        <v>178</v>
      </c>
      <c r="D31">
        <v>0</v>
      </c>
      <c r="E31">
        <v>0</v>
      </c>
    </row>
    <row r="32" spans="1:5" x14ac:dyDescent="0.35">
      <c r="A32" s="1">
        <v>26</v>
      </c>
      <c r="B32" t="s">
        <v>3</v>
      </c>
      <c r="C32" s="3" t="s">
        <v>166</v>
      </c>
      <c r="D32">
        <v>0</v>
      </c>
      <c r="E32">
        <v>0</v>
      </c>
    </row>
    <row r="33" spans="1:5" x14ac:dyDescent="0.35">
      <c r="A33" s="1">
        <v>318</v>
      </c>
      <c r="B33" t="s">
        <v>3</v>
      </c>
      <c r="C33" s="3" t="s">
        <v>110</v>
      </c>
      <c r="D33" s="5">
        <v>7561.7455199999986</v>
      </c>
      <c r="E33">
        <v>7.5617462761746264E-4</v>
      </c>
    </row>
    <row r="34" spans="1:5" x14ac:dyDescent="0.35">
      <c r="A34" s="1">
        <v>133</v>
      </c>
      <c r="B34" t="s">
        <v>3</v>
      </c>
      <c r="C34" s="3" t="s">
        <v>76</v>
      </c>
      <c r="D34" s="5">
        <v>999349.70791597257</v>
      </c>
      <c r="E34">
        <v>9.9934980785095329E-2</v>
      </c>
    </row>
    <row r="35" spans="1:5" x14ac:dyDescent="0.35">
      <c r="A35" s="1">
        <v>158</v>
      </c>
      <c r="B35" t="s">
        <v>3</v>
      </c>
      <c r="C35" s="3" t="s">
        <v>228</v>
      </c>
      <c r="D35">
        <v>0</v>
      </c>
      <c r="E35">
        <v>0</v>
      </c>
    </row>
    <row r="36" spans="1:5" x14ac:dyDescent="0.35">
      <c r="A36" s="1">
        <v>274</v>
      </c>
      <c r="B36" t="s">
        <v>3</v>
      </c>
      <c r="C36" s="3" t="s">
        <v>331</v>
      </c>
      <c r="D36">
        <v>0</v>
      </c>
      <c r="E36">
        <v>0</v>
      </c>
    </row>
    <row r="37" spans="1:5" x14ac:dyDescent="0.35">
      <c r="A37" s="1">
        <v>245</v>
      </c>
      <c r="B37" t="s">
        <v>3</v>
      </c>
      <c r="C37" s="3" t="s">
        <v>304</v>
      </c>
      <c r="D37">
        <v>0</v>
      </c>
      <c r="E37">
        <v>0</v>
      </c>
    </row>
    <row r="38" spans="1:5" x14ac:dyDescent="0.35">
      <c r="A38" s="1">
        <v>304</v>
      </c>
      <c r="B38" t="s">
        <v>3</v>
      </c>
      <c r="C38" s="3" t="s">
        <v>106</v>
      </c>
      <c r="D38" s="5">
        <v>766145.02423504472</v>
      </c>
      <c r="E38">
        <v>7.6614510084955484E-2</v>
      </c>
    </row>
    <row r="39" spans="1:5" x14ac:dyDescent="0.35">
      <c r="A39" s="1">
        <v>255</v>
      </c>
      <c r="B39" t="s">
        <v>3</v>
      </c>
      <c r="C39" s="3" t="s">
        <v>313</v>
      </c>
      <c r="D39">
        <v>0</v>
      </c>
      <c r="E39">
        <v>0</v>
      </c>
    </row>
    <row r="40" spans="1:5" x14ac:dyDescent="0.35">
      <c r="A40" s="1">
        <v>194</v>
      </c>
      <c r="B40" t="s">
        <v>3</v>
      </c>
      <c r="C40" s="3" t="s">
        <v>256</v>
      </c>
      <c r="D40">
        <v>0</v>
      </c>
      <c r="E40">
        <v>0</v>
      </c>
    </row>
    <row r="41" spans="1:5" x14ac:dyDescent="0.35">
      <c r="A41" s="1">
        <v>303</v>
      </c>
      <c r="B41" t="s">
        <v>3</v>
      </c>
      <c r="C41" s="3" t="s">
        <v>355</v>
      </c>
      <c r="D41">
        <v>0</v>
      </c>
      <c r="E41">
        <v>0</v>
      </c>
    </row>
    <row r="42" spans="1:5" x14ac:dyDescent="0.35">
      <c r="A42" s="1">
        <v>155</v>
      </c>
      <c r="B42" t="s">
        <v>3</v>
      </c>
      <c r="C42" s="3" t="s">
        <v>225</v>
      </c>
      <c r="D42">
        <v>0</v>
      </c>
      <c r="E42">
        <v>0</v>
      </c>
    </row>
    <row r="43" spans="1:5" x14ac:dyDescent="0.35">
      <c r="A43" s="1">
        <v>260</v>
      </c>
      <c r="B43" t="s">
        <v>3</v>
      </c>
      <c r="C43" s="3" t="s">
        <v>317</v>
      </c>
      <c r="D43">
        <v>0</v>
      </c>
      <c r="E43">
        <v>0</v>
      </c>
    </row>
    <row r="44" spans="1:5" x14ac:dyDescent="0.35">
      <c r="A44" s="1">
        <v>150</v>
      </c>
      <c r="B44" t="s">
        <v>3</v>
      </c>
      <c r="C44" s="3" t="s">
        <v>86</v>
      </c>
      <c r="D44" s="5">
        <v>113561.2759760159</v>
      </c>
      <c r="E44">
        <v>1.135612873321447E-2</v>
      </c>
    </row>
    <row r="45" spans="1:5" x14ac:dyDescent="0.35">
      <c r="A45" s="1">
        <v>265</v>
      </c>
      <c r="B45" t="s">
        <v>3</v>
      </c>
      <c r="C45" s="3" t="s">
        <v>322</v>
      </c>
      <c r="D45">
        <v>0</v>
      </c>
      <c r="E45">
        <v>0</v>
      </c>
    </row>
    <row r="46" spans="1:5" x14ac:dyDescent="0.35">
      <c r="A46" s="1">
        <v>288</v>
      </c>
      <c r="B46" t="s">
        <v>3</v>
      </c>
      <c r="C46" s="3" t="s">
        <v>102</v>
      </c>
      <c r="D46" s="5">
        <v>119643.40770491189</v>
      </c>
      <c r="E46">
        <v>1.196434196692539E-2</v>
      </c>
    </row>
    <row r="47" spans="1:5" x14ac:dyDescent="0.35">
      <c r="A47" s="1">
        <v>313</v>
      </c>
      <c r="B47" t="s">
        <v>3</v>
      </c>
      <c r="C47" s="3" t="s">
        <v>363</v>
      </c>
      <c r="D47">
        <v>0</v>
      </c>
      <c r="E47">
        <v>0</v>
      </c>
    </row>
    <row r="48" spans="1:5" x14ac:dyDescent="0.35">
      <c r="A48" s="1">
        <v>289</v>
      </c>
      <c r="B48" t="s">
        <v>3</v>
      </c>
      <c r="C48" s="3" t="s">
        <v>344</v>
      </c>
      <c r="D48">
        <v>0</v>
      </c>
      <c r="E48">
        <v>0</v>
      </c>
    </row>
    <row r="49" spans="1:5" x14ac:dyDescent="0.35">
      <c r="A49" s="1">
        <v>233</v>
      </c>
      <c r="B49" t="s">
        <v>3</v>
      </c>
      <c r="C49" s="3" t="s">
        <v>293</v>
      </c>
      <c r="D49">
        <v>0</v>
      </c>
      <c r="E49">
        <v>0</v>
      </c>
    </row>
    <row r="50" spans="1:5" x14ac:dyDescent="0.35">
      <c r="A50" s="1">
        <v>307</v>
      </c>
      <c r="B50" t="s">
        <v>3</v>
      </c>
      <c r="C50" s="3" t="s">
        <v>358</v>
      </c>
      <c r="D50">
        <v>0</v>
      </c>
      <c r="E50">
        <v>0</v>
      </c>
    </row>
    <row r="51" spans="1:5" x14ac:dyDescent="0.35">
      <c r="A51" s="1">
        <v>284</v>
      </c>
      <c r="B51" t="s">
        <v>3</v>
      </c>
      <c r="C51" s="3" t="s">
        <v>341</v>
      </c>
      <c r="D51">
        <v>0</v>
      </c>
      <c r="E51">
        <v>0</v>
      </c>
    </row>
    <row r="52" spans="1:5" x14ac:dyDescent="0.35">
      <c r="A52" s="1">
        <v>281</v>
      </c>
      <c r="B52" t="s">
        <v>3</v>
      </c>
      <c r="C52" s="3" t="s">
        <v>338</v>
      </c>
      <c r="D52">
        <v>0</v>
      </c>
      <c r="E52">
        <v>0</v>
      </c>
    </row>
    <row r="53" spans="1:5" x14ac:dyDescent="0.35">
      <c r="A53" s="1">
        <v>204</v>
      </c>
      <c r="B53" t="s">
        <v>3</v>
      </c>
      <c r="C53" s="3" t="s">
        <v>266</v>
      </c>
      <c r="D53">
        <v>0</v>
      </c>
      <c r="E53">
        <v>0</v>
      </c>
    </row>
    <row r="54" spans="1:5" x14ac:dyDescent="0.35">
      <c r="A54" s="1">
        <v>363</v>
      </c>
      <c r="B54" t="s">
        <v>3</v>
      </c>
      <c r="C54" s="3" t="s">
        <v>145</v>
      </c>
      <c r="D54" s="5">
        <v>1412790.1180432269</v>
      </c>
      <c r="E54">
        <v>0.1412790259322253</v>
      </c>
    </row>
    <row r="55" spans="1:5" x14ac:dyDescent="0.35">
      <c r="A55" s="1">
        <v>321</v>
      </c>
      <c r="B55" t="s">
        <v>3</v>
      </c>
      <c r="C55" s="3" t="s">
        <v>112</v>
      </c>
      <c r="D55" s="5">
        <v>2907.0904361571088</v>
      </c>
      <c r="E55">
        <v>2.9070907268661822E-4</v>
      </c>
    </row>
    <row r="56" spans="1:5" x14ac:dyDescent="0.35">
      <c r="A56" s="1">
        <v>1</v>
      </c>
      <c r="B56" t="s">
        <v>3</v>
      </c>
      <c r="C56" s="3" t="s">
        <v>5</v>
      </c>
      <c r="D56" s="5">
        <v>117811.05</v>
      </c>
      <c r="E56">
        <v>1</v>
      </c>
    </row>
    <row r="57" spans="1:5" x14ac:dyDescent="0.35">
      <c r="A57" s="1">
        <v>10</v>
      </c>
      <c r="B57" t="s">
        <v>3</v>
      </c>
      <c r="C57" s="3" t="s">
        <v>157</v>
      </c>
      <c r="D57">
        <v>0</v>
      </c>
      <c r="E57">
        <v>0</v>
      </c>
    </row>
    <row r="58" spans="1:5" x14ac:dyDescent="0.35">
      <c r="A58" s="1">
        <v>2</v>
      </c>
      <c r="B58" t="s">
        <v>3</v>
      </c>
      <c r="C58" s="3" t="s">
        <v>6</v>
      </c>
      <c r="D58" s="5">
        <v>7059.1784297499989</v>
      </c>
      <c r="E58">
        <v>0.46077157072013109</v>
      </c>
    </row>
    <row r="59" spans="1:5" x14ac:dyDescent="0.35">
      <c r="A59" s="1">
        <v>90</v>
      </c>
      <c r="B59" t="s">
        <v>3</v>
      </c>
      <c r="C59" s="3" t="s">
        <v>48</v>
      </c>
      <c r="D59" s="5">
        <v>71175.195970249988</v>
      </c>
      <c r="E59">
        <v>0.58876973703138435</v>
      </c>
    </row>
    <row r="60" spans="1:5" x14ac:dyDescent="0.35">
      <c r="A60" s="1">
        <v>18</v>
      </c>
      <c r="B60" t="s">
        <v>3</v>
      </c>
      <c r="C60" s="3" t="s">
        <v>162</v>
      </c>
      <c r="D60">
        <v>0</v>
      </c>
      <c r="E60">
        <v>0</v>
      </c>
    </row>
    <row r="61" spans="1:5" x14ac:dyDescent="0.35">
      <c r="A61" s="1">
        <v>110</v>
      </c>
      <c r="B61" t="s">
        <v>3</v>
      </c>
      <c r="C61" s="3" t="s">
        <v>56</v>
      </c>
      <c r="D61" s="5">
        <v>111378</v>
      </c>
      <c r="E61">
        <v>1</v>
      </c>
    </row>
    <row r="62" spans="1:5" x14ac:dyDescent="0.35">
      <c r="A62" s="1">
        <v>320</v>
      </c>
      <c r="B62" t="s">
        <v>3</v>
      </c>
      <c r="C62" s="3" t="s">
        <v>111</v>
      </c>
      <c r="D62" s="5">
        <v>57.643000000000008</v>
      </c>
      <c r="E62">
        <v>5.7643005764300594E-6</v>
      </c>
    </row>
    <row r="63" spans="1:5" x14ac:dyDescent="0.35">
      <c r="A63" s="1">
        <v>104</v>
      </c>
      <c r="B63" t="s">
        <v>3</v>
      </c>
      <c r="C63" s="3" t="s">
        <v>209</v>
      </c>
      <c r="D63">
        <v>0</v>
      </c>
      <c r="E63">
        <v>0</v>
      </c>
    </row>
    <row r="64" spans="1:5" x14ac:dyDescent="0.35">
      <c r="A64" s="1">
        <v>30</v>
      </c>
      <c r="B64" t="s">
        <v>3</v>
      </c>
      <c r="C64" s="3" t="s">
        <v>19</v>
      </c>
      <c r="D64" s="5">
        <v>3174.72765343728</v>
      </c>
      <c r="E64">
        <v>0.31767289927026832</v>
      </c>
    </row>
    <row r="65" spans="1:5" x14ac:dyDescent="0.35">
      <c r="A65" s="1">
        <v>53</v>
      </c>
      <c r="B65" t="s">
        <v>3</v>
      </c>
      <c r="C65" s="3" t="s">
        <v>27</v>
      </c>
      <c r="D65" s="5">
        <v>54074.75</v>
      </c>
      <c r="E65">
        <v>1</v>
      </c>
    </row>
    <row r="66" spans="1:5" x14ac:dyDescent="0.35">
      <c r="A66" s="1">
        <v>45</v>
      </c>
      <c r="B66" t="s">
        <v>3</v>
      </c>
      <c r="C66" s="3" t="s">
        <v>24</v>
      </c>
      <c r="D66" s="5">
        <v>111067.96169934981</v>
      </c>
      <c r="E66">
        <v>0.76431262521706622</v>
      </c>
    </row>
    <row r="67" spans="1:5" x14ac:dyDescent="0.35">
      <c r="A67" s="1">
        <v>11</v>
      </c>
      <c r="B67" t="s">
        <v>3</v>
      </c>
      <c r="C67" s="3" t="s">
        <v>158</v>
      </c>
      <c r="D67">
        <v>0</v>
      </c>
      <c r="E67">
        <v>0</v>
      </c>
    </row>
    <row r="68" spans="1:5" x14ac:dyDescent="0.35">
      <c r="A68" s="1">
        <v>322</v>
      </c>
      <c r="B68" t="s">
        <v>3</v>
      </c>
      <c r="C68" s="3" t="s">
        <v>113</v>
      </c>
      <c r="D68" s="5">
        <v>531.00927000000001</v>
      </c>
      <c r="E68">
        <v>5.3100932310093232E-5</v>
      </c>
    </row>
    <row r="69" spans="1:5" x14ac:dyDescent="0.35">
      <c r="A69" s="1">
        <v>38</v>
      </c>
      <c r="B69" t="s">
        <v>3</v>
      </c>
      <c r="C69" s="3" t="s">
        <v>176</v>
      </c>
      <c r="D69">
        <v>0</v>
      </c>
      <c r="E69">
        <v>0</v>
      </c>
    </row>
    <row r="70" spans="1:5" x14ac:dyDescent="0.35">
      <c r="A70" s="1">
        <v>35</v>
      </c>
      <c r="B70" t="s">
        <v>3</v>
      </c>
      <c r="C70" s="3" t="s">
        <v>173</v>
      </c>
      <c r="D70">
        <v>0</v>
      </c>
      <c r="E70">
        <v>0</v>
      </c>
    </row>
    <row r="71" spans="1:5" x14ac:dyDescent="0.35">
      <c r="A71" s="1">
        <v>91</v>
      </c>
      <c r="B71" t="s">
        <v>3</v>
      </c>
      <c r="C71" s="3" t="s">
        <v>200</v>
      </c>
      <c r="D71">
        <v>0</v>
      </c>
      <c r="E71">
        <v>0</v>
      </c>
    </row>
    <row r="72" spans="1:5" x14ac:dyDescent="0.35">
      <c r="A72" s="1">
        <v>319</v>
      </c>
      <c r="B72" t="s">
        <v>3</v>
      </c>
      <c r="C72" s="3" t="s">
        <v>366</v>
      </c>
      <c r="D72">
        <v>0</v>
      </c>
      <c r="E72">
        <v>0</v>
      </c>
    </row>
    <row r="73" spans="1:5" x14ac:dyDescent="0.35">
      <c r="A73" s="1">
        <v>65</v>
      </c>
      <c r="B73" t="s">
        <v>3</v>
      </c>
      <c r="C73" s="3" t="s">
        <v>35</v>
      </c>
      <c r="D73" s="5">
        <v>27549.518082157891</v>
      </c>
      <c r="E73">
        <v>0.43679474381909389</v>
      </c>
    </row>
    <row r="74" spans="1:5" x14ac:dyDescent="0.35">
      <c r="A74" s="1">
        <v>73</v>
      </c>
      <c r="B74" t="s">
        <v>3</v>
      </c>
      <c r="C74" s="3" t="s">
        <v>193</v>
      </c>
      <c r="D74">
        <v>0</v>
      </c>
      <c r="E74">
        <v>0</v>
      </c>
    </row>
    <row r="75" spans="1:5" x14ac:dyDescent="0.35">
      <c r="A75" s="1">
        <v>92</v>
      </c>
      <c r="B75" t="s">
        <v>3</v>
      </c>
      <c r="C75" s="3" t="s">
        <v>201</v>
      </c>
      <c r="D75">
        <v>0</v>
      </c>
      <c r="E75">
        <v>0</v>
      </c>
    </row>
    <row r="76" spans="1:5" x14ac:dyDescent="0.35">
      <c r="A76" s="1">
        <v>349</v>
      </c>
      <c r="B76" t="s">
        <v>3</v>
      </c>
      <c r="C76" s="3" t="s">
        <v>375</v>
      </c>
      <c r="D76">
        <v>0</v>
      </c>
      <c r="E76">
        <v>0</v>
      </c>
    </row>
    <row r="77" spans="1:5" x14ac:dyDescent="0.35">
      <c r="A77" s="1">
        <v>139</v>
      </c>
      <c r="B77" t="s">
        <v>3</v>
      </c>
      <c r="C77" s="3" t="s">
        <v>216</v>
      </c>
      <c r="D77">
        <v>0</v>
      </c>
      <c r="E77">
        <v>0</v>
      </c>
    </row>
    <row r="78" spans="1:5" x14ac:dyDescent="0.35">
      <c r="A78" s="1">
        <v>356</v>
      </c>
      <c r="B78" t="s">
        <v>3</v>
      </c>
      <c r="C78" s="3" t="s">
        <v>138</v>
      </c>
      <c r="D78" s="5">
        <v>1965121.004492735</v>
      </c>
      <c r="E78">
        <v>0.19651212010048549</v>
      </c>
    </row>
    <row r="79" spans="1:5" x14ac:dyDescent="0.35">
      <c r="A79" s="1">
        <v>122</v>
      </c>
      <c r="B79" t="s">
        <v>3</v>
      </c>
      <c r="C79" s="3" t="s">
        <v>68</v>
      </c>
      <c r="D79" s="5">
        <v>766145.02423504472</v>
      </c>
      <c r="E79">
        <v>7.6614510084955484E-2</v>
      </c>
    </row>
    <row r="80" spans="1:5" x14ac:dyDescent="0.35">
      <c r="A80" s="1">
        <v>364</v>
      </c>
      <c r="B80" t="s">
        <v>3</v>
      </c>
      <c r="C80" s="3" t="s">
        <v>146</v>
      </c>
      <c r="D80" s="5">
        <v>1895470.0626843651</v>
      </c>
      <c r="E80">
        <v>0.18954702522313899</v>
      </c>
    </row>
    <row r="81" spans="1:5" x14ac:dyDescent="0.35">
      <c r="A81" s="1">
        <v>137</v>
      </c>
      <c r="B81" t="s">
        <v>3</v>
      </c>
      <c r="C81" s="3" t="s">
        <v>80</v>
      </c>
      <c r="D81" s="5">
        <v>255875.51042572121</v>
      </c>
      <c r="E81">
        <v>0.72749775510554204</v>
      </c>
    </row>
    <row r="82" spans="1:5" x14ac:dyDescent="0.35">
      <c r="A82" s="1">
        <v>146</v>
      </c>
      <c r="B82" t="s">
        <v>3</v>
      </c>
      <c r="C82" s="3" t="s">
        <v>83</v>
      </c>
      <c r="D82" s="5">
        <v>293099.99999999988</v>
      </c>
      <c r="E82">
        <v>1</v>
      </c>
    </row>
    <row r="83" spans="1:5" x14ac:dyDescent="0.35">
      <c r="A83" s="1">
        <v>368</v>
      </c>
      <c r="B83" t="s">
        <v>3</v>
      </c>
      <c r="C83" s="3" t="s">
        <v>149</v>
      </c>
      <c r="D83" s="5">
        <v>1660028.45956802</v>
      </c>
      <c r="E83">
        <v>0.16600286255708821</v>
      </c>
    </row>
    <row r="84" spans="1:5" x14ac:dyDescent="0.35">
      <c r="A84" s="1">
        <v>12</v>
      </c>
      <c r="B84" t="s">
        <v>3</v>
      </c>
      <c r="C84" s="3" t="s">
        <v>159</v>
      </c>
      <c r="D84">
        <v>0</v>
      </c>
      <c r="E84">
        <v>0</v>
      </c>
    </row>
    <row r="85" spans="1:5" x14ac:dyDescent="0.35">
      <c r="A85" s="1">
        <v>106</v>
      </c>
      <c r="B85" t="s">
        <v>3</v>
      </c>
      <c r="C85" s="3" t="s">
        <v>53</v>
      </c>
      <c r="D85" s="5">
        <v>5357.0415666666886</v>
      </c>
      <c r="E85">
        <v>0.52417236464449013</v>
      </c>
    </row>
    <row r="86" spans="1:5" x14ac:dyDescent="0.35">
      <c r="A86" s="1">
        <v>17</v>
      </c>
      <c r="B86" t="s">
        <v>3</v>
      </c>
      <c r="C86" s="3" t="s">
        <v>13</v>
      </c>
      <c r="D86" s="5">
        <v>27872.82998674117</v>
      </c>
      <c r="E86">
        <v>6.1267584861917197E-2</v>
      </c>
    </row>
    <row r="87" spans="1:5" x14ac:dyDescent="0.35">
      <c r="A87" s="1">
        <v>324</v>
      </c>
      <c r="B87" t="s">
        <v>3</v>
      </c>
      <c r="C87" s="3" t="s">
        <v>115</v>
      </c>
      <c r="D87" s="5">
        <v>1915.65275</v>
      </c>
      <c r="E87">
        <v>1.9156529415652939E-4</v>
      </c>
    </row>
    <row r="88" spans="1:5" x14ac:dyDescent="0.35">
      <c r="A88" s="1">
        <v>25</v>
      </c>
      <c r="B88" t="s">
        <v>3</v>
      </c>
      <c r="C88" s="3" t="s">
        <v>17</v>
      </c>
      <c r="D88" s="5">
        <v>73421.697779681344</v>
      </c>
      <c r="E88">
        <v>0.58433262178048562</v>
      </c>
    </row>
    <row r="89" spans="1:5" x14ac:dyDescent="0.35">
      <c r="A89" s="1">
        <v>0</v>
      </c>
      <c r="B89" t="s">
        <v>3</v>
      </c>
      <c r="C89" s="3" t="s">
        <v>153</v>
      </c>
      <c r="D89">
        <v>0</v>
      </c>
      <c r="E89">
        <v>0</v>
      </c>
    </row>
    <row r="90" spans="1:5" x14ac:dyDescent="0.35">
      <c r="A90" s="1">
        <v>28</v>
      </c>
      <c r="B90" t="s">
        <v>3</v>
      </c>
      <c r="C90" s="3" t="s">
        <v>167</v>
      </c>
      <c r="D90">
        <v>0</v>
      </c>
      <c r="E90">
        <v>0</v>
      </c>
    </row>
    <row r="91" spans="1:5" x14ac:dyDescent="0.35">
      <c r="A91" s="1">
        <v>54</v>
      </c>
      <c r="B91" t="s">
        <v>3</v>
      </c>
      <c r="C91" s="3" t="s">
        <v>28</v>
      </c>
      <c r="D91" s="5">
        <v>113991.6225534079</v>
      </c>
      <c r="E91">
        <v>0.17314059731274831</v>
      </c>
    </row>
    <row r="92" spans="1:5" x14ac:dyDescent="0.35">
      <c r="A92" s="1">
        <v>87</v>
      </c>
      <c r="B92" t="s">
        <v>3</v>
      </c>
      <c r="C92" s="3" t="s">
        <v>45</v>
      </c>
      <c r="D92" s="5">
        <v>18425.94820709651</v>
      </c>
      <c r="E92">
        <v>0.37088610763530178</v>
      </c>
    </row>
    <row r="93" spans="1:5" x14ac:dyDescent="0.35">
      <c r="A93" s="1">
        <v>107</v>
      </c>
      <c r="B93" t="s">
        <v>3</v>
      </c>
      <c r="C93" s="3" t="s">
        <v>211</v>
      </c>
      <c r="D93">
        <v>0</v>
      </c>
      <c r="E93">
        <v>0</v>
      </c>
    </row>
    <row r="94" spans="1:5" x14ac:dyDescent="0.35">
      <c r="A94" s="1">
        <v>99</v>
      </c>
      <c r="B94" t="s">
        <v>3</v>
      </c>
      <c r="C94" s="3" t="s">
        <v>206</v>
      </c>
      <c r="D94">
        <v>0</v>
      </c>
      <c r="E94">
        <v>0</v>
      </c>
    </row>
    <row r="95" spans="1:5" x14ac:dyDescent="0.35">
      <c r="A95" s="1">
        <v>50</v>
      </c>
      <c r="B95" t="s">
        <v>3</v>
      </c>
      <c r="C95" s="3" t="s">
        <v>182</v>
      </c>
      <c r="D95">
        <v>0</v>
      </c>
      <c r="E95">
        <v>0</v>
      </c>
    </row>
    <row r="96" spans="1:5" x14ac:dyDescent="0.35">
      <c r="A96" s="1">
        <v>62</v>
      </c>
      <c r="B96" t="s">
        <v>3</v>
      </c>
      <c r="C96" s="3" t="s">
        <v>34</v>
      </c>
      <c r="D96" s="5">
        <v>85227.5</v>
      </c>
      <c r="E96">
        <v>1</v>
      </c>
    </row>
    <row r="97" spans="1:5" x14ac:dyDescent="0.35">
      <c r="A97" s="1">
        <v>329</v>
      </c>
      <c r="B97" t="s">
        <v>3</v>
      </c>
      <c r="C97" s="3" t="s">
        <v>118</v>
      </c>
      <c r="D97" s="5">
        <v>47618.98</v>
      </c>
      <c r="E97">
        <v>4.7618984761898476E-3</v>
      </c>
    </row>
    <row r="98" spans="1:5" x14ac:dyDescent="0.35">
      <c r="A98" s="1">
        <v>57</v>
      </c>
      <c r="B98" t="s">
        <v>3</v>
      </c>
      <c r="C98" s="3" t="s">
        <v>184</v>
      </c>
      <c r="D98">
        <v>0</v>
      </c>
      <c r="E98">
        <v>0</v>
      </c>
    </row>
    <row r="99" spans="1:5" x14ac:dyDescent="0.35">
      <c r="A99" s="1">
        <v>82</v>
      </c>
      <c r="B99" t="s">
        <v>3</v>
      </c>
      <c r="C99" s="3" t="s">
        <v>41</v>
      </c>
      <c r="D99" s="5">
        <v>9681.3372500000005</v>
      </c>
      <c r="E99">
        <v>0.64693199131306389</v>
      </c>
    </row>
    <row r="100" spans="1:5" x14ac:dyDescent="0.35">
      <c r="A100" s="1">
        <v>325</v>
      </c>
      <c r="B100" t="s">
        <v>3</v>
      </c>
      <c r="C100" s="3" t="s">
        <v>116</v>
      </c>
      <c r="D100" s="5">
        <v>13947.075570000001</v>
      </c>
      <c r="E100">
        <v>1.39470769647077E-3</v>
      </c>
    </row>
    <row r="101" spans="1:5" x14ac:dyDescent="0.35">
      <c r="A101" s="1">
        <v>84</v>
      </c>
      <c r="B101" t="s">
        <v>3</v>
      </c>
      <c r="C101" s="3" t="s">
        <v>199</v>
      </c>
      <c r="D101">
        <v>0</v>
      </c>
      <c r="E101">
        <v>0</v>
      </c>
    </row>
    <row r="102" spans="1:5" x14ac:dyDescent="0.35">
      <c r="A102" s="1">
        <v>19</v>
      </c>
      <c r="B102" t="s">
        <v>3</v>
      </c>
      <c r="C102" s="3" t="s">
        <v>14</v>
      </c>
      <c r="D102" s="5">
        <v>7001.7810427436634</v>
      </c>
      <c r="E102">
        <v>5.6905849187011401E-2</v>
      </c>
    </row>
    <row r="103" spans="1:5" x14ac:dyDescent="0.35">
      <c r="A103" s="1">
        <v>88</v>
      </c>
      <c r="B103" t="s">
        <v>3</v>
      </c>
      <c r="C103" s="3" t="s">
        <v>46</v>
      </c>
      <c r="D103" s="5">
        <v>364986.81670725631</v>
      </c>
      <c r="E103">
        <v>0.87862567559067184</v>
      </c>
    </row>
    <row r="104" spans="1:5" x14ac:dyDescent="0.35">
      <c r="A104" s="1">
        <v>317</v>
      </c>
      <c r="B104" t="s">
        <v>3</v>
      </c>
      <c r="C104" s="3" t="s">
        <v>109</v>
      </c>
      <c r="D104" s="5">
        <v>795518.46412499994</v>
      </c>
      <c r="E104">
        <v>7.9551854367685429E-2</v>
      </c>
    </row>
    <row r="105" spans="1:5" x14ac:dyDescent="0.35">
      <c r="A105" s="1">
        <v>59</v>
      </c>
      <c r="B105" t="s">
        <v>3</v>
      </c>
      <c r="C105" s="3" t="s">
        <v>32</v>
      </c>
      <c r="D105" s="5">
        <v>1331.440944999998</v>
      </c>
      <c r="E105">
        <v>5.9466984921288171E-2</v>
      </c>
    </row>
    <row r="106" spans="1:5" x14ac:dyDescent="0.35">
      <c r="A106" s="1">
        <v>32</v>
      </c>
      <c r="B106" t="s">
        <v>3</v>
      </c>
      <c r="C106" s="3" t="s">
        <v>170</v>
      </c>
      <c r="D106">
        <v>0</v>
      </c>
      <c r="E106">
        <v>0</v>
      </c>
    </row>
    <row r="107" spans="1:5" x14ac:dyDescent="0.35">
      <c r="A107" s="1">
        <v>326</v>
      </c>
      <c r="B107" t="s">
        <v>3</v>
      </c>
      <c r="C107" s="3" t="s">
        <v>367</v>
      </c>
      <c r="D107">
        <v>0</v>
      </c>
      <c r="E107">
        <v>0</v>
      </c>
    </row>
    <row r="108" spans="1:5" x14ac:dyDescent="0.35">
      <c r="A108" s="1">
        <v>131</v>
      </c>
      <c r="B108" t="s">
        <v>3</v>
      </c>
      <c r="C108" s="3" t="s">
        <v>74</v>
      </c>
      <c r="D108" s="5">
        <v>1536.335261238157</v>
      </c>
      <c r="E108">
        <v>1.536335414871698E-4</v>
      </c>
    </row>
    <row r="109" spans="1:5" x14ac:dyDescent="0.35">
      <c r="A109" s="1">
        <v>251</v>
      </c>
      <c r="B109" t="s">
        <v>3</v>
      </c>
      <c r="C109" s="3" t="s">
        <v>309</v>
      </c>
      <c r="D109">
        <v>0</v>
      </c>
      <c r="E109">
        <v>0</v>
      </c>
    </row>
    <row r="110" spans="1:5" x14ac:dyDescent="0.35">
      <c r="A110" s="1">
        <v>197</v>
      </c>
      <c r="B110" t="s">
        <v>3</v>
      </c>
      <c r="C110" s="3" t="s">
        <v>259</v>
      </c>
      <c r="D110">
        <v>0</v>
      </c>
      <c r="E110">
        <v>0</v>
      </c>
    </row>
    <row r="111" spans="1:5" x14ac:dyDescent="0.35">
      <c r="A111" s="1">
        <v>168</v>
      </c>
      <c r="B111" t="s">
        <v>3</v>
      </c>
      <c r="C111" s="3" t="s">
        <v>237</v>
      </c>
      <c r="D111">
        <v>0</v>
      </c>
      <c r="E111">
        <v>0</v>
      </c>
    </row>
    <row r="112" spans="1:5" x14ac:dyDescent="0.35">
      <c r="A112" s="1">
        <v>183</v>
      </c>
      <c r="B112" t="s">
        <v>3</v>
      </c>
      <c r="C112" s="3" t="s">
        <v>247</v>
      </c>
      <c r="D112">
        <v>0</v>
      </c>
      <c r="E112">
        <v>0</v>
      </c>
    </row>
    <row r="113" spans="1:5" x14ac:dyDescent="0.35">
      <c r="A113" s="1">
        <v>290</v>
      </c>
      <c r="B113" t="s">
        <v>3</v>
      </c>
      <c r="C113" s="3" t="s">
        <v>345</v>
      </c>
      <c r="D113">
        <v>0</v>
      </c>
      <c r="E113">
        <v>0</v>
      </c>
    </row>
    <row r="114" spans="1:5" x14ac:dyDescent="0.35">
      <c r="A114" s="1">
        <v>234</v>
      </c>
      <c r="B114" t="s">
        <v>3</v>
      </c>
      <c r="C114" s="3" t="s">
        <v>294</v>
      </c>
      <c r="D114">
        <v>0</v>
      </c>
      <c r="E114">
        <v>0</v>
      </c>
    </row>
    <row r="115" spans="1:5" x14ac:dyDescent="0.35">
      <c r="A115" s="1">
        <v>250</v>
      </c>
      <c r="B115" t="s">
        <v>3</v>
      </c>
      <c r="C115" s="3" t="s">
        <v>99</v>
      </c>
      <c r="D115" s="5">
        <v>1536.335261238157</v>
      </c>
      <c r="E115">
        <v>1.536335414871698E-4</v>
      </c>
    </row>
    <row r="116" spans="1:5" x14ac:dyDescent="0.35">
      <c r="A116" s="1">
        <v>181</v>
      </c>
      <c r="B116" t="s">
        <v>3</v>
      </c>
      <c r="C116" s="3" t="s">
        <v>245</v>
      </c>
      <c r="D116">
        <v>0</v>
      </c>
      <c r="E116">
        <v>0</v>
      </c>
    </row>
    <row r="117" spans="1:5" x14ac:dyDescent="0.35">
      <c r="A117" s="1">
        <v>247</v>
      </c>
      <c r="B117" t="s">
        <v>3</v>
      </c>
      <c r="C117" s="3" t="s">
        <v>306</v>
      </c>
      <c r="D117">
        <v>0</v>
      </c>
      <c r="E117">
        <v>0</v>
      </c>
    </row>
    <row r="118" spans="1:5" x14ac:dyDescent="0.35">
      <c r="A118" s="1">
        <v>182</v>
      </c>
      <c r="B118" t="s">
        <v>3</v>
      </c>
      <c r="C118" s="3" t="s">
        <v>246</v>
      </c>
      <c r="D118">
        <v>0</v>
      </c>
      <c r="E118">
        <v>0</v>
      </c>
    </row>
    <row r="119" spans="1:5" x14ac:dyDescent="0.35">
      <c r="A119" s="1">
        <v>219</v>
      </c>
      <c r="B119" t="s">
        <v>3</v>
      </c>
      <c r="C119" s="3" t="s">
        <v>281</v>
      </c>
      <c r="D119">
        <v>0</v>
      </c>
      <c r="E119">
        <v>0</v>
      </c>
    </row>
    <row r="120" spans="1:5" x14ac:dyDescent="0.35">
      <c r="A120" s="1">
        <v>243</v>
      </c>
      <c r="B120" t="s">
        <v>3</v>
      </c>
      <c r="C120" s="3" t="s">
        <v>302</v>
      </c>
      <c r="D120">
        <v>0</v>
      </c>
      <c r="E120">
        <v>0</v>
      </c>
    </row>
    <row r="121" spans="1:5" x14ac:dyDescent="0.35">
      <c r="A121" s="1">
        <v>221</v>
      </c>
      <c r="B121" t="s">
        <v>3</v>
      </c>
      <c r="C121" s="3" t="s">
        <v>283</v>
      </c>
      <c r="D121">
        <v>0</v>
      </c>
      <c r="E121">
        <v>0</v>
      </c>
    </row>
    <row r="122" spans="1:5" x14ac:dyDescent="0.35">
      <c r="A122" s="1">
        <v>153</v>
      </c>
      <c r="B122" t="s">
        <v>3</v>
      </c>
      <c r="C122" s="3" t="s">
        <v>223</v>
      </c>
      <c r="D122">
        <v>0</v>
      </c>
      <c r="E122">
        <v>0</v>
      </c>
    </row>
    <row r="123" spans="1:5" x14ac:dyDescent="0.35">
      <c r="A123" s="1">
        <v>236</v>
      </c>
      <c r="B123" t="s">
        <v>3</v>
      </c>
      <c r="C123" s="3" t="s">
        <v>296</v>
      </c>
      <c r="D123">
        <v>0</v>
      </c>
      <c r="E123">
        <v>0</v>
      </c>
    </row>
    <row r="124" spans="1:5" x14ac:dyDescent="0.35">
      <c r="A124" s="1">
        <v>213</v>
      </c>
      <c r="B124" t="s">
        <v>3</v>
      </c>
      <c r="C124" s="3" t="s">
        <v>275</v>
      </c>
      <c r="D124">
        <v>0</v>
      </c>
      <c r="E124">
        <v>0</v>
      </c>
    </row>
    <row r="125" spans="1:5" x14ac:dyDescent="0.35">
      <c r="A125" s="1">
        <v>207</v>
      </c>
      <c r="B125" t="s">
        <v>3</v>
      </c>
      <c r="C125" s="3" t="s">
        <v>269</v>
      </c>
      <c r="D125">
        <v>0</v>
      </c>
      <c r="E125">
        <v>0</v>
      </c>
    </row>
    <row r="126" spans="1:5" x14ac:dyDescent="0.35">
      <c r="A126" s="1">
        <v>293</v>
      </c>
      <c r="B126" t="s">
        <v>3</v>
      </c>
      <c r="C126" s="3" t="s">
        <v>347</v>
      </c>
      <c r="D126">
        <v>0</v>
      </c>
      <c r="E126">
        <v>0</v>
      </c>
    </row>
    <row r="127" spans="1:5" x14ac:dyDescent="0.35">
      <c r="A127" s="1">
        <v>123</v>
      </c>
      <c r="B127" t="s">
        <v>3</v>
      </c>
      <c r="C127" s="3" t="s">
        <v>212</v>
      </c>
      <c r="D127">
        <v>0</v>
      </c>
      <c r="E127">
        <v>0</v>
      </c>
    </row>
    <row r="128" spans="1:5" x14ac:dyDescent="0.35">
      <c r="A128" s="1">
        <v>369</v>
      </c>
      <c r="B128" t="s">
        <v>3</v>
      </c>
      <c r="C128" s="3" t="s">
        <v>150</v>
      </c>
      <c r="D128" s="5">
        <v>571204.75152087398</v>
      </c>
      <c r="E128">
        <v>5.7120480864135487E-2</v>
      </c>
    </row>
    <row r="129" spans="1:5" x14ac:dyDescent="0.35">
      <c r="A129" s="1">
        <v>52</v>
      </c>
      <c r="B129" t="s">
        <v>3</v>
      </c>
      <c r="C129" s="3" t="s">
        <v>26</v>
      </c>
      <c r="D129" s="5">
        <v>86925.017242212823</v>
      </c>
      <c r="E129">
        <v>0.4889154838235395</v>
      </c>
    </row>
    <row r="130" spans="1:5" x14ac:dyDescent="0.35">
      <c r="A130" s="1">
        <v>64</v>
      </c>
      <c r="B130" t="s">
        <v>3</v>
      </c>
      <c r="C130" s="3" t="s">
        <v>187</v>
      </c>
      <c r="D130">
        <v>0</v>
      </c>
      <c r="E130">
        <v>0</v>
      </c>
    </row>
    <row r="131" spans="1:5" x14ac:dyDescent="0.35">
      <c r="A131" s="1">
        <v>108</v>
      </c>
      <c r="B131" t="s">
        <v>3</v>
      </c>
      <c r="C131" s="3" t="s">
        <v>54</v>
      </c>
      <c r="D131" s="5">
        <v>73275</v>
      </c>
      <c r="E131">
        <v>1</v>
      </c>
    </row>
    <row r="132" spans="1:5" x14ac:dyDescent="0.35">
      <c r="A132" s="1">
        <v>330</v>
      </c>
      <c r="B132" t="s">
        <v>3</v>
      </c>
      <c r="C132" s="3" t="s">
        <v>119</v>
      </c>
      <c r="D132" s="5">
        <v>63.309600000000017</v>
      </c>
      <c r="E132">
        <v>6.3309606330960652E-6</v>
      </c>
    </row>
    <row r="133" spans="1:5" x14ac:dyDescent="0.35">
      <c r="A133" s="1">
        <v>48</v>
      </c>
      <c r="B133" t="s">
        <v>3</v>
      </c>
      <c r="C133" s="3" t="s">
        <v>25</v>
      </c>
      <c r="D133" s="5">
        <v>81906</v>
      </c>
      <c r="E133">
        <v>1</v>
      </c>
    </row>
    <row r="134" spans="1:5" x14ac:dyDescent="0.35">
      <c r="A134" s="1">
        <v>79</v>
      </c>
      <c r="B134" t="s">
        <v>3</v>
      </c>
      <c r="C134" s="3" t="s">
        <v>196</v>
      </c>
      <c r="D134">
        <v>0</v>
      </c>
      <c r="E134">
        <v>0</v>
      </c>
    </row>
    <row r="135" spans="1:5" x14ac:dyDescent="0.35">
      <c r="A135" s="1">
        <v>112</v>
      </c>
      <c r="B135" t="s">
        <v>3</v>
      </c>
      <c r="C135" s="3" t="s">
        <v>58</v>
      </c>
      <c r="D135" s="5">
        <v>398886.1359907001</v>
      </c>
      <c r="E135">
        <v>0.60845975467145264</v>
      </c>
    </row>
    <row r="136" spans="1:5" x14ac:dyDescent="0.35">
      <c r="A136" s="1">
        <v>354</v>
      </c>
      <c r="B136" t="s">
        <v>3</v>
      </c>
      <c r="C136" s="3" t="s">
        <v>136</v>
      </c>
      <c r="D136" s="5">
        <v>449.42</v>
      </c>
      <c r="E136">
        <v>4.4942004494200447E-5</v>
      </c>
    </row>
    <row r="137" spans="1:5" x14ac:dyDescent="0.35">
      <c r="A137" s="1">
        <v>15</v>
      </c>
      <c r="B137" t="s">
        <v>3</v>
      </c>
      <c r="C137" s="3" t="s">
        <v>160</v>
      </c>
      <c r="D137">
        <v>0</v>
      </c>
      <c r="E137">
        <v>0</v>
      </c>
    </row>
    <row r="138" spans="1:5" x14ac:dyDescent="0.35">
      <c r="A138" s="1">
        <v>327</v>
      </c>
      <c r="B138" t="s">
        <v>3</v>
      </c>
      <c r="C138" s="3" t="s">
        <v>368</v>
      </c>
      <c r="D138">
        <v>0</v>
      </c>
      <c r="E138">
        <v>0</v>
      </c>
    </row>
    <row r="139" spans="1:5" x14ac:dyDescent="0.35">
      <c r="A139" s="1">
        <v>40</v>
      </c>
      <c r="B139" t="s">
        <v>3</v>
      </c>
      <c r="C139" s="3" t="s">
        <v>177</v>
      </c>
      <c r="D139">
        <v>0</v>
      </c>
      <c r="E139">
        <v>0</v>
      </c>
    </row>
    <row r="140" spans="1:5" x14ac:dyDescent="0.35">
      <c r="A140" s="1">
        <v>95</v>
      </c>
      <c r="B140" t="s">
        <v>3</v>
      </c>
      <c r="C140" s="3" t="s">
        <v>49</v>
      </c>
      <c r="D140" s="5">
        <v>59934.354193269013</v>
      </c>
      <c r="E140">
        <v>0.73633950725805031</v>
      </c>
    </row>
    <row r="141" spans="1:5" x14ac:dyDescent="0.35">
      <c r="A141" s="1">
        <v>93</v>
      </c>
      <c r="B141" t="s">
        <v>3</v>
      </c>
      <c r="C141" s="3" t="s">
        <v>202</v>
      </c>
      <c r="D141">
        <v>0</v>
      </c>
      <c r="E141">
        <v>0</v>
      </c>
    </row>
    <row r="142" spans="1:5" x14ac:dyDescent="0.35">
      <c r="A142" s="1">
        <v>118</v>
      </c>
      <c r="B142" t="s">
        <v>3</v>
      </c>
      <c r="C142" s="3" t="s">
        <v>64</v>
      </c>
      <c r="D142" s="5">
        <v>322409.99999999988</v>
      </c>
      <c r="E142">
        <v>1</v>
      </c>
    </row>
    <row r="143" spans="1:5" x14ac:dyDescent="0.35">
      <c r="A143" s="1">
        <v>328</v>
      </c>
      <c r="B143" t="s">
        <v>3</v>
      </c>
      <c r="C143" s="3" t="s">
        <v>117</v>
      </c>
      <c r="D143" s="5">
        <v>169.49973</v>
      </c>
      <c r="E143">
        <v>1.694997469499747E-5</v>
      </c>
    </row>
    <row r="144" spans="1:5" x14ac:dyDescent="0.35">
      <c r="A144" s="1">
        <v>3</v>
      </c>
      <c r="B144" t="s">
        <v>3</v>
      </c>
      <c r="C144" s="3" t="s">
        <v>7</v>
      </c>
      <c r="D144" s="5">
        <v>5388.8934450397901</v>
      </c>
      <c r="E144">
        <v>0.30397553284426598</v>
      </c>
    </row>
    <row r="145" spans="1:5" x14ac:dyDescent="0.35">
      <c r="A145" s="1">
        <v>5</v>
      </c>
      <c r="B145" t="s">
        <v>3</v>
      </c>
      <c r="C145" s="3" t="s">
        <v>154</v>
      </c>
      <c r="D145">
        <v>0</v>
      </c>
      <c r="E145">
        <v>0</v>
      </c>
    </row>
    <row r="146" spans="1:5" x14ac:dyDescent="0.35">
      <c r="A146" s="1">
        <v>113</v>
      </c>
      <c r="B146" t="s">
        <v>3</v>
      </c>
      <c r="C146" s="3" t="s">
        <v>59</v>
      </c>
      <c r="D146" s="5">
        <v>25402</v>
      </c>
      <c r="E146">
        <v>1</v>
      </c>
    </row>
    <row r="147" spans="1:5" x14ac:dyDescent="0.35">
      <c r="A147" s="1">
        <v>323</v>
      </c>
      <c r="B147" t="s">
        <v>3</v>
      </c>
      <c r="C147" s="3" t="s">
        <v>114</v>
      </c>
      <c r="D147" s="5">
        <v>8679.5214500000002</v>
      </c>
      <c r="E147">
        <v>8.6795223179522317E-4</v>
      </c>
    </row>
    <row r="148" spans="1:5" x14ac:dyDescent="0.35">
      <c r="A148" s="1">
        <v>81</v>
      </c>
      <c r="B148" t="s">
        <v>3</v>
      </c>
      <c r="C148" s="3" t="s">
        <v>198</v>
      </c>
      <c r="D148">
        <v>0</v>
      </c>
      <c r="E148">
        <v>0</v>
      </c>
    </row>
    <row r="149" spans="1:5" x14ac:dyDescent="0.35">
      <c r="A149" s="1">
        <v>68</v>
      </c>
      <c r="B149" t="s">
        <v>3</v>
      </c>
      <c r="C149" s="3" t="s">
        <v>189</v>
      </c>
      <c r="D149">
        <v>0</v>
      </c>
      <c r="E149">
        <v>0</v>
      </c>
    </row>
    <row r="150" spans="1:5" x14ac:dyDescent="0.35">
      <c r="A150" s="1">
        <v>61</v>
      </c>
      <c r="B150" t="s">
        <v>3</v>
      </c>
      <c r="C150" s="3" t="s">
        <v>185</v>
      </c>
      <c r="D150">
        <v>0</v>
      </c>
      <c r="E150">
        <v>0</v>
      </c>
    </row>
    <row r="151" spans="1:5" x14ac:dyDescent="0.35">
      <c r="A151" s="1">
        <v>8</v>
      </c>
      <c r="B151" t="s">
        <v>3</v>
      </c>
      <c r="C151" s="3" t="s">
        <v>10</v>
      </c>
      <c r="D151" s="5">
        <v>17928.318302703268</v>
      </c>
      <c r="E151">
        <v>0.96532594936184646</v>
      </c>
    </row>
    <row r="152" spans="1:5" x14ac:dyDescent="0.35">
      <c r="A152" s="1">
        <v>331</v>
      </c>
      <c r="B152" t="s">
        <v>3</v>
      </c>
      <c r="C152" s="3" t="s">
        <v>120</v>
      </c>
      <c r="D152" s="5">
        <v>16462.45</v>
      </c>
      <c r="E152">
        <v>1.646245164624516E-3</v>
      </c>
    </row>
    <row r="153" spans="1:5" x14ac:dyDescent="0.35">
      <c r="A153" s="1">
        <v>332</v>
      </c>
      <c r="B153" t="s">
        <v>3</v>
      </c>
      <c r="C153" s="3" t="s">
        <v>121</v>
      </c>
      <c r="D153" s="5">
        <v>19829.690269999999</v>
      </c>
      <c r="E153">
        <v>1.982969225296922E-3</v>
      </c>
    </row>
    <row r="154" spans="1:5" x14ac:dyDescent="0.35">
      <c r="A154" s="1">
        <v>135</v>
      </c>
      <c r="B154" t="s">
        <v>3</v>
      </c>
      <c r="C154" s="3" t="s">
        <v>78</v>
      </c>
      <c r="D154" s="5">
        <v>504093.15183371812</v>
      </c>
      <c r="E154">
        <v>5.0409320224303833E-2</v>
      </c>
    </row>
    <row r="155" spans="1:5" x14ac:dyDescent="0.35">
      <c r="A155" s="1">
        <v>276</v>
      </c>
      <c r="B155" t="s">
        <v>3</v>
      </c>
      <c r="C155" s="3" t="s">
        <v>333</v>
      </c>
      <c r="D155">
        <v>0</v>
      </c>
      <c r="E155">
        <v>0</v>
      </c>
    </row>
    <row r="156" spans="1:5" x14ac:dyDescent="0.35">
      <c r="A156" s="1">
        <v>172</v>
      </c>
      <c r="B156" t="s">
        <v>3</v>
      </c>
      <c r="C156" s="3" t="s">
        <v>89</v>
      </c>
      <c r="D156" s="5">
        <v>339902.24394525401</v>
      </c>
      <c r="E156">
        <v>3.3990227793548183E-2</v>
      </c>
    </row>
    <row r="157" spans="1:5" x14ac:dyDescent="0.35">
      <c r="A157" s="1">
        <v>189</v>
      </c>
      <c r="B157" t="s">
        <v>3</v>
      </c>
      <c r="C157" s="3" t="s">
        <v>253</v>
      </c>
      <c r="D157">
        <v>0</v>
      </c>
      <c r="E157">
        <v>0</v>
      </c>
    </row>
    <row r="158" spans="1:5" x14ac:dyDescent="0.35">
      <c r="A158" s="1">
        <v>214</v>
      </c>
      <c r="B158" t="s">
        <v>3</v>
      </c>
      <c r="C158" s="3" t="s">
        <v>276</v>
      </c>
      <c r="D158">
        <v>0</v>
      </c>
      <c r="E158">
        <v>0</v>
      </c>
    </row>
    <row r="159" spans="1:5" x14ac:dyDescent="0.35">
      <c r="A159" s="1">
        <v>160</v>
      </c>
      <c r="B159" t="s">
        <v>3</v>
      </c>
      <c r="C159" s="3" t="s">
        <v>229</v>
      </c>
      <c r="D159">
        <v>0</v>
      </c>
      <c r="E159">
        <v>0</v>
      </c>
    </row>
    <row r="160" spans="1:5" x14ac:dyDescent="0.35">
      <c r="A160" s="1">
        <v>271</v>
      </c>
      <c r="B160" t="s">
        <v>3</v>
      </c>
      <c r="C160" s="3" t="s">
        <v>328</v>
      </c>
      <c r="D160">
        <v>0</v>
      </c>
      <c r="E160">
        <v>0</v>
      </c>
    </row>
    <row r="161" spans="1:5" x14ac:dyDescent="0.35">
      <c r="A161" s="1">
        <v>254</v>
      </c>
      <c r="B161" t="s">
        <v>3</v>
      </c>
      <c r="C161" s="3" t="s">
        <v>312</v>
      </c>
      <c r="D161">
        <v>0</v>
      </c>
      <c r="E161">
        <v>0</v>
      </c>
    </row>
    <row r="162" spans="1:5" x14ac:dyDescent="0.35">
      <c r="A162" s="1">
        <v>275</v>
      </c>
      <c r="B162" t="s">
        <v>3</v>
      </c>
      <c r="C162" s="3" t="s">
        <v>332</v>
      </c>
      <c r="D162">
        <v>0</v>
      </c>
      <c r="E162">
        <v>0</v>
      </c>
    </row>
    <row r="163" spans="1:5" x14ac:dyDescent="0.35">
      <c r="A163" s="1">
        <v>210</v>
      </c>
      <c r="B163" t="s">
        <v>3</v>
      </c>
      <c r="C163" s="3" t="s">
        <v>272</v>
      </c>
      <c r="D163">
        <v>0</v>
      </c>
      <c r="E163">
        <v>0</v>
      </c>
    </row>
    <row r="164" spans="1:5" x14ac:dyDescent="0.35">
      <c r="A164" s="1">
        <v>230</v>
      </c>
      <c r="B164" t="s">
        <v>3</v>
      </c>
      <c r="C164" s="3" t="s">
        <v>97</v>
      </c>
      <c r="D164" s="5">
        <v>164190.90788846399</v>
      </c>
      <c r="E164">
        <v>1.641909243075565E-2</v>
      </c>
    </row>
    <row r="165" spans="1:5" x14ac:dyDescent="0.35">
      <c r="A165" s="1">
        <v>212</v>
      </c>
      <c r="B165" t="s">
        <v>3</v>
      </c>
      <c r="C165" s="3" t="s">
        <v>274</v>
      </c>
      <c r="D165">
        <v>0</v>
      </c>
      <c r="E165">
        <v>0</v>
      </c>
    </row>
    <row r="166" spans="1:5" x14ac:dyDescent="0.35">
      <c r="A166" s="1">
        <v>190</v>
      </c>
      <c r="B166" t="s">
        <v>3</v>
      </c>
      <c r="C166" s="3" t="s">
        <v>254</v>
      </c>
      <c r="D166">
        <v>0</v>
      </c>
      <c r="E166">
        <v>0</v>
      </c>
    </row>
    <row r="167" spans="1:5" x14ac:dyDescent="0.35">
      <c r="A167" s="1">
        <v>270</v>
      </c>
      <c r="B167" t="s">
        <v>3</v>
      </c>
      <c r="C167" s="3" t="s">
        <v>327</v>
      </c>
      <c r="D167">
        <v>0</v>
      </c>
      <c r="E167">
        <v>0</v>
      </c>
    </row>
    <row r="168" spans="1:5" x14ac:dyDescent="0.35">
      <c r="A168" s="1">
        <v>238</v>
      </c>
      <c r="B168" t="s">
        <v>3</v>
      </c>
      <c r="C168" s="3" t="s">
        <v>298</v>
      </c>
      <c r="D168">
        <v>0</v>
      </c>
      <c r="E168">
        <v>0</v>
      </c>
    </row>
    <row r="169" spans="1:5" x14ac:dyDescent="0.35">
      <c r="A169" s="1">
        <v>298</v>
      </c>
      <c r="B169" t="s">
        <v>3</v>
      </c>
      <c r="C169" s="3" t="s">
        <v>351</v>
      </c>
      <c r="D169">
        <v>0</v>
      </c>
      <c r="E169">
        <v>0</v>
      </c>
    </row>
    <row r="170" spans="1:5" x14ac:dyDescent="0.35">
      <c r="A170" s="1">
        <v>256</v>
      </c>
      <c r="B170" t="s">
        <v>3</v>
      </c>
      <c r="C170" s="3" t="s">
        <v>314</v>
      </c>
      <c r="D170">
        <v>0</v>
      </c>
      <c r="E170">
        <v>0</v>
      </c>
    </row>
    <row r="171" spans="1:5" x14ac:dyDescent="0.35">
      <c r="A171" s="1">
        <v>186</v>
      </c>
      <c r="B171" t="s">
        <v>3</v>
      </c>
      <c r="C171" s="3" t="s">
        <v>250</v>
      </c>
      <c r="D171">
        <v>0</v>
      </c>
      <c r="E171">
        <v>0</v>
      </c>
    </row>
    <row r="172" spans="1:5" x14ac:dyDescent="0.35">
      <c r="A172" s="1">
        <v>231</v>
      </c>
      <c r="B172" t="s">
        <v>3</v>
      </c>
      <c r="C172" s="3" t="s">
        <v>291</v>
      </c>
      <c r="D172">
        <v>0</v>
      </c>
      <c r="E172">
        <v>0</v>
      </c>
    </row>
    <row r="173" spans="1:5" x14ac:dyDescent="0.35">
      <c r="A173" s="1">
        <v>278</v>
      </c>
      <c r="B173" t="s">
        <v>3</v>
      </c>
      <c r="C173" s="3" t="s">
        <v>335</v>
      </c>
      <c r="D173">
        <v>0</v>
      </c>
      <c r="E173">
        <v>0</v>
      </c>
    </row>
    <row r="174" spans="1:5" x14ac:dyDescent="0.35">
      <c r="A174" s="1">
        <v>370</v>
      </c>
      <c r="B174" t="s">
        <v>3</v>
      </c>
      <c r="C174" s="3" t="s">
        <v>151</v>
      </c>
      <c r="D174" s="5">
        <v>1346210.438308913</v>
      </c>
      <c r="E174">
        <v>0.134621057292997</v>
      </c>
    </row>
    <row r="175" spans="1:5" x14ac:dyDescent="0.35">
      <c r="A175" s="1">
        <v>120</v>
      </c>
      <c r="B175" t="s">
        <v>3</v>
      </c>
      <c r="C175" s="3" t="s">
        <v>66</v>
      </c>
      <c r="D175" s="5">
        <v>357577.06388608873</v>
      </c>
      <c r="E175">
        <v>3.5757709964379873E-2</v>
      </c>
    </row>
    <row r="176" spans="1:5" x14ac:dyDescent="0.35">
      <c r="A176" s="1">
        <v>366</v>
      </c>
      <c r="B176" t="s">
        <v>3</v>
      </c>
      <c r="C176" s="3" t="s">
        <v>147</v>
      </c>
      <c r="D176" s="5">
        <v>232141.3214433222</v>
      </c>
      <c r="E176">
        <v>2.3214134465745669E-2</v>
      </c>
    </row>
    <row r="177" spans="1:5" x14ac:dyDescent="0.35">
      <c r="A177" s="1">
        <v>27</v>
      </c>
      <c r="B177" t="s">
        <v>3</v>
      </c>
      <c r="C177" s="3" t="s">
        <v>18</v>
      </c>
      <c r="D177" s="5">
        <v>2327.771732828784</v>
      </c>
      <c r="E177">
        <v>3.2958433086669972E-2</v>
      </c>
    </row>
    <row r="178" spans="1:5" x14ac:dyDescent="0.35">
      <c r="A178" s="1">
        <v>31</v>
      </c>
      <c r="B178" t="s">
        <v>3</v>
      </c>
      <c r="C178" s="3" t="s">
        <v>169</v>
      </c>
      <c r="D178">
        <v>0</v>
      </c>
      <c r="E178">
        <v>0</v>
      </c>
    </row>
    <row r="179" spans="1:5" x14ac:dyDescent="0.35">
      <c r="A179" s="1">
        <v>58</v>
      </c>
      <c r="B179" t="s">
        <v>3</v>
      </c>
      <c r="C179" s="3" t="s">
        <v>31</v>
      </c>
      <c r="D179" s="5">
        <v>8302.8058205838261</v>
      </c>
      <c r="E179">
        <v>0.79815484937119208</v>
      </c>
    </row>
    <row r="180" spans="1:5" x14ac:dyDescent="0.35">
      <c r="A180" s="1">
        <v>109</v>
      </c>
      <c r="B180" t="s">
        <v>3</v>
      </c>
      <c r="C180" s="3" t="s">
        <v>55</v>
      </c>
      <c r="D180" s="5">
        <v>155831.5</v>
      </c>
      <c r="E180">
        <v>1</v>
      </c>
    </row>
    <row r="181" spans="1:5" x14ac:dyDescent="0.35">
      <c r="A181" s="1">
        <v>333</v>
      </c>
      <c r="B181" t="s">
        <v>3</v>
      </c>
      <c r="C181" s="3" t="s">
        <v>122</v>
      </c>
      <c r="D181" s="5">
        <v>38415.64</v>
      </c>
      <c r="E181">
        <v>3.841564384156438E-3</v>
      </c>
    </row>
    <row r="182" spans="1:5" x14ac:dyDescent="0.35">
      <c r="A182" s="1">
        <v>125</v>
      </c>
      <c r="B182" t="s">
        <v>3</v>
      </c>
      <c r="C182" s="3" t="s">
        <v>70</v>
      </c>
      <c r="D182" s="5">
        <v>1579465.226022091</v>
      </c>
      <c r="E182">
        <v>0.1579465383968629</v>
      </c>
    </row>
    <row r="183" spans="1:5" x14ac:dyDescent="0.35">
      <c r="A183" s="1">
        <v>365</v>
      </c>
      <c r="B183" t="s">
        <v>3</v>
      </c>
      <c r="C183" s="3" t="s">
        <v>376</v>
      </c>
      <c r="D183">
        <v>0</v>
      </c>
      <c r="E183">
        <v>0</v>
      </c>
    </row>
    <row r="184" spans="1:5" x14ac:dyDescent="0.35">
      <c r="A184" s="1">
        <v>101</v>
      </c>
      <c r="B184" t="s">
        <v>3</v>
      </c>
      <c r="C184" s="3" t="s">
        <v>51</v>
      </c>
      <c r="D184" s="5">
        <v>16018.071319999999</v>
      </c>
      <c r="E184">
        <v>0.64918826781227201</v>
      </c>
    </row>
    <row r="185" spans="1:5" x14ac:dyDescent="0.35">
      <c r="A185" s="1">
        <v>46</v>
      </c>
      <c r="B185" t="s">
        <v>3</v>
      </c>
      <c r="C185" s="3" t="s">
        <v>179</v>
      </c>
      <c r="D185">
        <v>0</v>
      </c>
      <c r="E185">
        <v>0</v>
      </c>
    </row>
    <row r="186" spans="1:5" x14ac:dyDescent="0.35">
      <c r="A186" s="1">
        <v>116</v>
      </c>
      <c r="B186" t="s">
        <v>3</v>
      </c>
      <c r="C186" s="3" t="s">
        <v>62</v>
      </c>
      <c r="D186" s="5">
        <v>39080</v>
      </c>
      <c r="E186">
        <v>1</v>
      </c>
    </row>
    <row r="187" spans="1:5" x14ac:dyDescent="0.35">
      <c r="A187" s="1">
        <v>336</v>
      </c>
      <c r="B187" t="s">
        <v>3</v>
      </c>
      <c r="C187" s="3" t="s">
        <v>370</v>
      </c>
      <c r="D187">
        <v>0</v>
      </c>
      <c r="E187">
        <v>0</v>
      </c>
    </row>
    <row r="188" spans="1:5" x14ac:dyDescent="0.35">
      <c r="A188" s="1">
        <v>100</v>
      </c>
      <c r="B188" t="s">
        <v>3</v>
      </c>
      <c r="C188" s="3" t="s">
        <v>207</v>
      </c>
      <c r="D188">
        <v>0</v>
      </c>
      <c r="E188">
        <v>0</v>
      </c>
    </row>
    <row r="189" spans="1:5" x14ac:dyDescent="0.35">
      <c r="A189" s="1">
        <v>337</v>
      </c>
      <c r="B189" t="s">
        <v>3</v>
      </c>
      <c r="C189" s="3" t="s">
        <v>371</v>
      </c>
      <c r="D189">
        <v>0</v>
      </c>
      <c r="E189">
        <v>0</v>
      </c>
    </row>
    <row r="190" spans="1:5" x14ac:dyDescent="0.35">
      <c r="A190" s="1">
        <v>42</v>
      </c>
      <c r="B190" t="s">
        <v>3</v>
      </c>
      <c r="C190" s="3" t="s">
        <v>22</v>
      </c>
      <c r="D190" s="5">
        <v>5533.0294449999983</v>
      </c>
      <c r="E190">
        <v>0.22391410311406079</v>
      </c>
    </row>
    <row r="191" spans="1:5" x14ac:dyDescent="0.35">
      <c r="A191" s="1">
        <v>76</v>
      </c>
      <c r="B191" t="s">
        <v>3</v>
      </c>
      <c r="C191" s="3" t="s">
        <v>195</v>
      </c>
      <c r="D191">
        <v>0</v>
      </c>
      <c r="E191">
        <v>0</v>
      </c>
    </row>
    <row r="192" spans="1:5" x14ac:dyDescent="0.35">
      <c r="A192" s="1">
        <v>105</v>
      </c>
      <c r="B192" t="s">
        <v>3</v>
      </c>
      <c r="C192" s="3" t="s">
        <v>210</v>
      </c>
      <c r="D192">
        <v>0</v>
      </c>
      <c r="E192">
        <v>0</v>
      </c>
    </row>
    <row r="193" spans="1:5" x14ac:dyDescent="0.35">
      <c r="A193" s="1">
        <v>334</v>
      </c>
      <c r="B193" t="s">
        <v>3</v>
      </c>
      <c r="C193" s="3" t="s">
        <v>369</v>
      </c>
      <c r="D193">
        <v>0</v>
      </c>
      <c r="E193">
        <v>0</v>
      </c>
    </row>
    <row r="194" spans="1:5" x14ac:dyDescent="0.35">
      <c r="A194" s="1">
        <v>86</v>
      </c>
      <c r="B194" t="s">
        <v>3</v>
      </c>
      <c r="C194" s="3" t="s">
        <v>44</v>
      </c>
      <c r="D194" s="5">
        <v>48847.186946816502</v>
      </c>
      <c r="E194">
        <v>0.28126925061650448</v>
      </c>
    </row>
    <row r="195" spans="1:5" x14ac:dyDescent="0.35">
      <c r="A195" s="1">
        <v>335</v>
      </c>
      <c r="B195" t="s">
        <v>3</v>
      </c>
      <c r="C195" s="3" t="s">
        <v>123</v>
      </c>
      <c r="D195" s="5">
        <v>124076.1869468165</v>
      </c>
      <c r="E195">
        <v>1.2407619935443639E-2</v>
      </c>
    </row>
    <row r="196" spans="1:5" x14ac:dyDescent="0.35">
      <c r="A196" s="1">
        <v>24</v>
      </c>
      <c r="B196" t="s">
        <v>3</v>
      </c>
      <c r="C196" s="3" t="s">
        <v>165</v>
      </c>
      <c r="D196">
        <v>0</v>
      </c>
      <c r="E196">
        <v>0</v>
      </c>
    </row>
    <row r="197" spans="1:5" x14ac:dyDescent="0.35">
      <c r="A197" s="1">
        <v>362</v>
      </c>
      <c r="B197" t="s">
        <v>3</v>
      </c>
      <c r="C197" s="3" t="s">
        <v>144</v>
      </c>
      <c r="D197" s="5">
        <v>683.9</v>
      </c>
      <c r="E197">
        <v>6.839000683900068E-5</v>
      </c>
    </row>
    <row r="198" spans="1:5" x14ac:dyDescent="0.35">
      <c r="A198" s="1">
        <v>29</v>
      </c>
      <c r="B198" t="s">
        <v>3</v>
      </c>
      <c r="C198" s="3" t="s">
        <v>168</v>
      </c>
      <c r="D198">
        <v>0</v>
      </c>
      <c r="E198">
        <v>0</v>
      </c>
    </row>
    <row r="199" spans="1:5" x14ac:dyDescent="0.35">
      <c r="A199" s="1">
        <v>80</v>
      </c>
      <c r="B199" t="s">
        <v>3</v>
      </c>
      <c r="C199" s="3" t="s">
        <v>197</v>
      </c>
      <c r="D199">
        <v>0</v>
      </c>
      <c r="E199">
        <v>0</v>
      </c>
    </row>
    <row r="200" spans="1:5" x14ac:dyDescent="0.35">
      <c r="A200" s="1">
        <v>338</v>
      </c>
      <c r="B200" t="s">
        <v>3</v>
      </c>
      <c r="C200" s="3" t="s">
        <v>372</v>
      </c>
      <c r="D200">
        <v>0</v>
      </c>
      <c r="E200">
        <v>0</v>
      </c>
    </row>
    <row r="201" spans="1:5" x14ac:dyDescent="0.35">
      <c r="A201" s="1">
        <v>138</v>
      </c>
      <c r="B201" t="s">
        <v>3</v>
      </c>
      <c r="C201" s="3" t="s">
        <v>215</v>
      </c>
      <c r="D201">
        <v>0</v>
      </c>
      <c r="E201">
        <v>0</v>
      </c>
    </row>
    <row r="202" spans="1:5" x14ac:dyDescent="0.35">
      <c r="A202" s="1">
        <v>140</v>
      </c>
      <c r="B202" t="s">
        <v>3</v>
      </c>
      <c r="C202" s="3" t="s">
        <v>217</v>
      </c>
      <c r="D202">
        <v>0</v>
      </c>
      <c r="E202">
        <v>0</v>
      </c>
    </row>
    <row r="203" spans="1:5" x14ac:dyDescent="0.35">
      <c r="A203" s="1">
        <v>130</v>
      </c>
      <c r="B203" t="s">
        <v>3</v>
      </c>
      <c r="C203" s="3" t="s">
        <v>214</v>
      </c>
      <c r="D203">
        <v>0</v>
      </c>
      <c r="E203">
        <v>0</v>
      </c>
    </row>
    <row r="204" spans="1:5" x14ac:dyDescent="0.35">
      <c r="A204" s="1">
        <v>141</v>
      </c>
      <c r="B204" t="s">
        <v>3</v>
      </c>
      <c r="C204" s="3" t="s">
        <v>218</v>
      </c>
      <c r="D204">
        <v>0</v>
      </c>
      <c r="E204">
        <v>0</v>
      </c>
    </row>
    <row r="205" spans="1:5" x14ac:dyDescent="0.35">
      <c r="A205" s="1">
        <v>226</v>
      </c>
      <c r="B205" t="s">
        <v>3</v>
      </c>
      <c r="C205" s="3" t="s">
        <v>288</v>
      </c>
      <c r="D205">
        <v>0</v>
      </c>
      <c r="E205">
        <v>0</v>
      </c>
    </row>
    <row r="206" spans="1:5" x14ac:dyDescent="0.35">
      <c r="A206" s="1">
        <v>169</v>
      </c>
      <c r="B206" t="s">
        <v>3</v>
      </c>
      <c r="C206" s="3" t="s">
        <v>238</v>
      </c>
      <c r="D206">
        <v>0</v>
      </c>
      <c r="E206">
        <v>0</v>
      </c>
    </row>
    <row r="207" spans="1:5" x14ac:dyDescent="0.35">
      <c r="A207" s="1">
        <v>184</v>
      </c>
      <c r="B207" t="s">
        <v>3</v>
      </c>
      <c r="C207" s="3" t="s">
        <v>248</v>
      </c>
      <c r="D207">
        <v>0</v>
      </c>
      <c r="E207">
        <v>0</v>
      </c>
    </row>
    <row r="208" spans="1:5" x14ac:dyDescent="0.35">
      <c r="A208" s="1">
        <v>206</v>
      </c>
      <c r="B208" t="s">
        <v>3</v>
      </c>
      <c r="C208" s="3" t="s">
        <v>268</v>
      </c>
      <c r="D208">
        <v>0</v>
      </c>
      <c r="E208">
        <v>0</v>
      </c>
    </row>
    <row r="209" spans="1:5" x14ac:dyDescent="0.35">
      <c r="A209" s="1">
        <v>147</v>
      </c>
      <c r="B209" t="s">
        <v>3</v>
      </c>
      <c r="C209" s="3" t="s">
        <v>221</v>
      </c>
      <c r="D209">
        <v>0</v>
      </c>
      <c r="E209">
        <v>0</v>
      </c>
    </row>
    <row r="210" spans="1:5" x14ac:dyDescent="0.35">
      <c r="A210" s="1">
        <v>267</v>
      </c>
      <c r="B210" t="s">
        <v>3</v>
      </c>
      <c r="C210" s="3" t="s">
        <v>324</v>
      </c>
      <c r="D210">
        <v>0</v>
      </c>
      <c r="E210">
        <v>0</v>
      </c>
    </row>
    <row r="211" spans="1:5" x14ac:dyDescent="0.35">
      <c r="A211" s="1">
        <v>248</v>
      </c>
      <c r="B211" t="s">
        <v>3</v>
      </c>
      <c r="C211" s="3" t="s">
        <v>307</v>
      </c>
      <c r="D211">
        <v>0</v>
      </c>
      <c r="E211">
        <v>0</v>
      </c>
    </row>
    <row r="212" spans="1:5" x14ac:dyDescent="0.35">
      <c r="A212" s="1">
        <v>225</v>
      </c>
      <c r="B212" t="s">
        <v>3</v>
      </c>
      <c r="C212" s="3" t="s">
        <v>287</v>
      </c>
      <c r="D212">
        <v>0</v>
      </c>
      <c r="E212">
        <v>0</v>
      </c>
    </row>
    <row r="213" spans="1:5" x14ac:dyDescent="0.35">
      <c r="A213" s="1">
        <v>157</v>
      </c>
      <c r="B213" t="s">
        <v>3</v>
      </c>
      <c r="C213" s="3" t="s">
        <v>227</v>
      </c>
      <c r="D213">
        <v>0</v>
      </c>
      <c r="E213">
        <v>0</v>
      </c>
    </row>
    <row r="214" spans="1:5" x14ac:dyDescent="0.35">
      <c r="A214" s="1">
        <v>223</v>
      </c>
      <c r="B214" t="s">
        <v>3</v>
      </c>
      <c r="C214" s="3" t="s">
        <v>285</v>
      </c>
      <c r="D214">
        <v>0</v>
      </c>
      <c r="E214">
        <v>0</v>
      </c>
    </row>
    <row r="215" spans="1:5" x14ac:dyDescent="0.35">
      <c r="A215" s="1">
        <v>205</v>
      </c>
      <c r="B215" t="s">
        <v>3</v>
      </c>
      <c r="C215" s="3" t="s">
        <v>267</v>
      </c>
      <c r="D215">
        <v>0</v>
      </c>
      <c r="E215">
        <v>0</v>
      </c>
    </row>
    <row r="216" spans="1:5" x14ac:dyDescent="0.35">
      <c r="A216" s="1">
        <v>185</v>
      </c>
      <c r="B216" t="s">
        <v>3</v>
      </c>
      <c r="C216" s="3" t="s">
        <v>249</v>
      </c>
      <c r="D216">
        <v>0</v>
      </c>
      <c r="E216">
        <v>0</v>
      </c>
    </row>
    <row r="217" spans="1:5" x14ac:dyDescent="0.35">
      <c r="A217" s="1">
        <v>263</v>
      </c>
      <c r="B217" t="s">
        <v>3</v>
      </c>
      <c r="C217" s="3" t="s">
        <v>320</v>
      </c>
      <c r="D217">
        <v>0</v>
      </c>
      <c r="E217">
        <v>0</v>
      </c>
    </row>
    <row r="218" spans="1:5" x14ac:dyDescent="0.35">
      <c r="A218" s="1">
        <v>235</v>
      </c>
      <c r="B218" t="s">
        <v>3</v>
      </c>
      <c r="C218" s="3" t="s">
        <v>295</v>
      </c>
      <c r="D218">
        <v>0</v>
      </c>
      <c r="E218">
        <v>0</v>
      </c>
    </row>
    <row r="219" spans="1:5" x14ac:dyDescent="0.35">
      <c r="A219" s="1">
        <v>294</v>
      </c>
      <c r="B219" t="s">
        <v>3</v>
      </c>
      <c r="C219" s="3" t="s">
        <v>348</v>
      </c>
      <c r="D219">
        <v>0</v>
      </c>
      <c r="E219">
        <v>0</v>
      </c>
    </row>
    <row r="220" spans="1:5" x14ac:dyDescent="0.35">
      <c r="A220" s="1">
        <v>208</v>
      </c>
      <c r="B220" t="s">
        <v>3</v>
      </c>
      <c r="C220" s="3" t="s">
        <v>270</v>
      </c>
      <c r="D220">
        <v>0</v>
      </c>
      <c r="E220">
        <v>0</v>
      </c>
    </row>
    <row r="221" spans="1:5" x14ac:dyDescent="0.35">
      <c r="A221" s="1">
        <v>178</v>
      </c>
      <c r="B221" t="s">
        <v>3</v>
      </c>
      <c r="C221" s="3" t="s">
        <v>244</v>
      </c>
      <c r="D221">
        <v>0</v>
      </c>
      <c r="E221">
        <v>0</v>
      </c>
    </row>
    <row r="222" spans="1:5" x14ac:dyDescent="0.35">
      <c r="A222" s="1">
        <v>224</v>
      </c>
      <c r="B222" t="s">
        <v>3</v>
      </c>
      <c r="C222" s="3" t="s">
        <v>286</v>
      </c>
      <c r="D222">
        <v>0</v>
      </c>
      <c r="E222">
        <v>0</v>
      </c>
    </row>
    <row r="223" spans="1:5" x14ac:dyDescent="0.35">
      <c r="A223" s="1">
        <v>272</v>
      </c>
      <c r="B223" t="s">
        <v>3</v>
      </c>
      <c r="C223" s="3" t="s">
        <v>329</v>
      </c>
      <c r="D223">
        <v>0</v>
      </c>
      <c r="E223">
        <v>0</v>
      </c>
    </row>
    <row r="224" spans="1:5" x14ac:dyDescent="0.35">
      <c r="A224" s="1">
        <v>359</v>
      </c>
      <c r="B224" t="s">
        <v>3</v>
      </c>
      <c r="C224" s="3" t="s">
        <v>141</v>
      </c>
      <c r="D224" s="5">
        <v>4816654.3745027892</v>
      </c>
      <c r="E224">
        <v>0.48166548561682748</v>
      </c>
    </row>
    <row r="225" spans="1:5" x14ac:dyDescent="0.35">
      <c r="A225" s="1">
        <v>340</v>
      </c>
      <c r="B225" t="s">
        <v>3</v>
      </c>
      <c r="C225" s="3" t="s">
        <v>373</v>
      </c>
      <c r="D225">
        <v>0</v>
      </c>
      <c r="E225">
        <v>0</v>
      </c>
    </row>
    <row r="226" spans="1:5" x14ac:dyDescent="0.35">
      <c r="A226" s="1">
        <v>22</v>
      </c>
      <c r="B226" t="s">
        <v>3</v>
      </c>
      <c r="C226" s="3" t="s">
        <v>164</v>
      </c>
      <c r="D226">
        <v>0</v>
      </c>
      <c r="E226">
        <v>0</v>
      </c>
    </row>
    <row r="227" spans="1:5" x14ac:dyDescent="0.35">
      <c r="A227" s="1">
        <v>96</v>
      </c>
      <c r="B227" t="s">
        <v>3</v>
      </c>
      <c r="C227" s="3" t="s">
        <v>50</v>
      </c>
      <c r="D227" s="5">
        <v>493972.4954580277</v>
      </c>
      <c r="E227">
        <v>0.70275640100091408</v>
      </c>
    </row>
    <row r="228" spans="1:5" x14ac:dyDescent="0.35">
      <c r="A228" s="1">
        <v>33</v>
      </c>
      <c r="B228" t="s">
        <v>3</v>
      </c>
      <c r="C228" s="3" t="s">
        <v>171</v>
      </c>
      <c r="D228">
        <v>0</v>
      </c>
      <c r="E228">
        <v>0</v>
      </c>
    </row>
    <row r="229" spans="1:5" x14ac:dyDescent="0.35">
      <c r="A229" s="1">
        <v>117</v>
      </c>
      <c r="B229" t="s">
        <v>3</v>
      </c>
      <c r="C229" s="3" t="s">
        <v>63</v>
      </c>
      <c r="D229" s="5">
        <v>122125</v>
      </c>
      <c r="E229">
        <v>1</v>
      </c>
    </row>
    <row r="230" spans="1:5" x14ac:dyDescent="0.35">
      <c r="A230" s="1">
        <v>339</v>
      </c>
      <c r="B230" t="s">
        <v>3</v>
      </c>
      <c r="C230" s="3" t="s">
        <v>124</v>
      </c>
      <c r="D230" s="5">
        <v>234149.02171</v>
      </c>
      <c r="E230">
        <v>2.341490451249045E-2</v>
      </c>
    </row>
    <row r="231" spans="1:5" x14ac:dyDescent="0.35">
      <c r="A231" s="1">
        <v>70</v>
      </c>
      <c r="B231" t="s">
        <v>3</v>
      </c>
      <c r="C231" s="3" t="s">
        <v>37</v>
      </c>
      <c r="D231" s="5">
        <v>167754</v>
      </c>
      <c r="E231">
        <v>1</v>
      </c>
    </row>
    <row r="232" spans="1:5" x14ac:dyDescent="0.35">
      <c r="A232" s="1">
        <v>60</v>
      </c>
      <c r="B232" t="s">
        <v>3</v>
      </c>
      <c r="C232" s="3" t="s">
        <v>33</v>
      </c>
      <c r="D232" s="5">
        <v>455155</v>
      </c>
      <c r="E232">
        <v>1</v>
      </c>
    </row>
    <row r="233" spans="1:5" x14ac:dyDescent="0.35">
      <c r="A233" s="1">
        <v>66</v>
      </c>
      <c r="B233" t="s">
        <v>3</v>
      </c>
      <c r="C233" s="3" t="s">
        <v>36</v>
      </c>
      <c r="D233" s="5">
        <v>51943.203950019029</v>
      </c>
      <c r="E233">
        <v>0.25032567776301018</v>
      </c>
    </row>
    <row r="234" spans="1:5" x14ac:dyDescent="0.35">
      <c r="A234" s="1">
        <v>39</v>
      </c>
      <c r="B234" t="s">
        <v>3</v>
      </c>
      <c r="C234" s="3" t="s">
        <v>20</v>
      </c>
      <c r="D234" s="5">
        <v>351714</v>
      </c>
      <c r="E234">
        <v>1</v>
      </c>
    </row>
    <row r="235" spans="1:5" x14ac:dyDescent="0.35">
      <c r="A235" s="1">
        <v>78</v>
      </c>
      <c r="B235" t="s">
        <v>3</v>
      </c>
      <c r="C235" s="3" t="s">
        <v>40</v>
      </c>
      <c r="D235" s="5">
        <v>65256.623933173309</v>
      </c>
      <c r="E235">
        <v>0.12715879875518479</v>
      </c>
    </row>
    <row r="236" spans="1:5" x14ac:dyDescent="0.35">
      <c r="A236" s="1">
        <v>341</v>
      </c>
      <c r="B236" t="s">
        <v>3</v>
      </c>
      <c r="C236" s="3" t="s">
        <v>125</v>
      </c>
      <c r="D236" s="5">
        <v>1135333.76309</v>
      </c>
      <c r="E236">
        <v>0.11353338766233879</v>
      </c>
    </row>
    <row r="237" spans="1:5" x14ac:dyDescent="0.35">
      <c r="A237" s="1">
        <v>21</v>
      </c>
      <c r="B237" t="s">
        <v>3</v>
      </c>
      <c r="C237" s="3" t="s">
        <v>163</v>
      </c>
      <c r="D237">
        <v>0</v>
      </c>
      <c r="E237">
        <v>0</v>
      </c>
    </row>
    <row r="238" spans="1:5" x14ac:dyDescent="0.35">
      <c r="A238" s="1">
        <v>114</v>
      </c>
      <c r="B238" t="s">
        <v>3</v>
      </c>
      <c r="C238" s="3" t="s">
        <v>60</v>
      </c>
      <c r="D238" s="5">
        <v>60574</v>
      </c>
      <c r="E238">
        <v>1</v>
      </c>
    </row>
    <row r="239" spans="1:5" x14ac:dyDescent="0.35">
      <c r="A239" s="1">
        <v>342</v>
      </c>
      <c r="B239" t="s">
        <v>3</v>
      </c>
      <c r="C239" s="3" t="s">
        <v>126</v>
      </c>
      <c r="D239" s="5">
        <v>54642.437599999997</v>
      </c>
      <c r="E239">
        <v>5.4642443064244301E-3</v>
      </c>
    </row>
    <row r="240" spans="1:5" x14ac:dyDescent="0.35">
      <c r="A240" s="1">
        <v>63</v>
      </c>
      <c r="B240" t="s">
        <v>3</v>
      </c>
      <c r="C240" s="3" t="s">
        <v>186</v>
      </c>
      <c r="D240">
        <v>0</v>
      </c>
      <c r="E240">
        <v>0</v>
      </c>
    </row>
    <row r="241" spans="1:5" x14ac:dyDescent="0.35">
      <c r="A241" s="1">
        <v>119</v>
      </c>
      <c r="B241" t="s">
        <v>3</v>
      </c>
      <c r="C241" s="3" t="s">
        <v>65</v>
      </c>
      <c r="D241" s="5">
        <v>58978.164462623259</v>
      </c>
      <c r="E241">
        <v>0.79429731808736814</v>
      </c>
    </row>
    <row r="242" spans="1:5" x14ac:dyDescent="0.35">
      <c r="A242" s="1">
        <v>343</v>
      </c>
      <c r="B242" t="s">
        <v>3</v>
      </c>
      <c r="C242" s="3" t="s">
        <v>374</v>
      </c>
      <c r="D242">
        <v>0</v>
      </c>
      <c r="E242">
        <v>0</v>
      </c>
    </row>
    <row r="243" spans="1:5" x14ac:dyDescent="0.35">
      <c r="A243" s="1">
        <v>136</v>
      </c>
      <c r="B243" t="s">
        <v>3</v>
      </c>
      <c r="C243" s="3" t="s">
        <v>79</v>
      </c>
      <c r="D243" s="5">
        <v>209856.8969753329</v>
      </c>
      <c r="E243">
        <v>0.64893423970454245</v>
      </c>
    </row>
    <row r="244" spans="1:5" x14ac:dyDescent="0.35">
      <c r="A244" s="1">
        <v>134</v>
      </c>
      <c r="B244" t="s">
        <v>3</v>
      </c>
      <c r="C244" s="3" t="s">
        <v>77</v>
      </c>
      <c r="D244" s="5">
        <v>1123959.1653912279</v>
      </c>
      <c r="E244">
        <v>0.1123959277787156</v>
      </c>
    </row>
    <row r="245" spans="1:5" x14ac:dyDescent="0.35">
      <c r="A245" s="1">
        <v>156</v>
      </c>
      <c r="B245" t="s">
        <v>3</v>
      </c>
      <c r="C245" s="3" t="s">
        <v>226</v>
      </c>
      <c r="D245">
        <v>0</v>
      </c>
      <c r="E245">
        <v>0</v>
      </c>
    </row>
    <row r="246" spans="1:5" x14ac:dyDescent="0.35">
      <c r="A246" s="1">
        <v>273</v>
      </c>
      <c r="B246" t="s">
        <v>3</v>
      </c>
      <c r="C246" s="3" t="s">
        <v>330</v>
      </c>
      <c r="D246">
        <v>0</v>
      </c>
      <c r="E246">
        <v>0</v>
      </c>
    </row>
    <row r="247" spans="1:5" x14ac:dyDescent="0.35">
      <c r="A247" s="1">
        <v>285</v>
      </c>
      <c r="B247" t="s">
        <v>3</v>
      </c>
      <c r="C247" s="3" t="s">
        <v>342</v>
      </c>
      <c r="D247">
        <v>0</v>
      </c>
      <c r="E247">
        <v>0</v>
      </c>
    </row>
    <row r="248" spans="1:5" x14ac:dyDescent="0.35">
      <c r="A248" s="1">
        <v>302</v>
      </c>
      <c r="B248" t="s">
        <v>3</v>
      </c>
      <c r="C248" s="3" t="s">
        <v>354</v>
      </c>
      <c r="D248">
        <v>0</v>
      </c>
      <c r="E248">
        <v>0</v>
      </c>
    </row>
    <row r="249" spans="1:5" x14ac:dyDescent="0.35">
      <c r="A249" s="1">
        <v>253</v>
      </c>
      <c r="B249" t="s">
        <v>3</v>
      </c>
      <c r="C249" s="3" t="s">
        <v>311</v>
      </c>
      <c r="D249">
        <v>0</v>
      </c>
      <c r="E249">
        <v>0</v>
      </c>
    </row>
    <row r="250" spans="1:5" x14ac:dyDescent="0.35">
      <c r="A250" s="1">
        <v>193</v>
      </c>
      <c r="B250" t="s">
        <v>3</v>
      </c>
      <c r="C250" s="3" t="s">
        <v>95</v>
      </c>
      <c r="D250" s="5">
        <v>73275</v>
      </c>
      <c r="E250">
        <v>7.3275007327500731E-3</v>
      </c>
    </row>
    <row r="251" spans="1:5" x14ac:dyDescent="0.35">
      <c r="A251" s="1">
        <v>174</v>
      </c>
      <c r="B251" t="s">
        <v>3</v>
      </c>
      <c r="C251" s="3" t="s">
        <v>90</v>
      </c>
      <c r="D251" s="5">
        <v>42780.120630857768</v>
      </c>
      <c r="E251">
        <v>4.2780124908870258E-3</v>
      </c>
    </row>
    <row r="252" spans="1:5" x14ac:dyDescent="0.35">
      <c r="A252" s="1">
        <v>152</v>
      </c>
      <c r="B252" t="s">
        <v>3</v>
      </c>
      <c r="C252" s="3" t="s">
        <v>87</v>
      </c>
      <c r="D252" s="5">
        <v>320873.66473876173</v>
      </c>
      <c r="E252">
        <v>3.2087369682613137E-2</v>
      </c>
    </row>
    <row r="253" spans="1:5" x14ac:dyDescent="0.35">
      <c r="A253" s="1">
        <v>259</v>
      </c>
      <c r="B253" t="s">
        <v>3</v>
      </c>
      <c r="C253" s="3" t="s">
        <v>100</v>
      </c>
      <c r="D253" s="5">
        <v>25402</v>
      </c>
      <c r="E253">
        <v>2.5402002540200249E-3</v>
      </c>
    </row>
    <row r="254" spans="1:5" x14ac:dyDescent="0.35">
      <c r="A254" s="1">
        <v>148</v>
      </c>
      <c r="B254" t="s">
        <v>3</v>
      </c>
      <c r="C254" s="3" t="s">
        <v>84</v>
      </c>
      <c r="D254" s="5">
        <v>79824.880021608682</v>
      </c>
      <c r="E254">
        <v>7.9824888004097483E-3</v>
      </c>
    </row>
    <row r="255" spans="1:5" x14ac:dyDescent="0.35">
      <c r="A255" s="1">
        <v>301</v>
      </c>
      <c r="B255" t="s">
        <v>3</v>
      </c>
      <c r="C255" s="3" t="s">
        <v>105</v>
      </c>
      <c r="D255" s="5">
        <v>155831.5</v>
      </c>
      <c r="E255">
        <v>1.558315155831516E-2</v>
      </c>
    </row>
    <row r="256" spans="1:5" x14ac:dyDescent="0.35">
      <c r="A256" s="1">
        <v>287</v>
      </c>
      <c r="B256" t="s">
        <v>3</v>
      </c>
      <c r="C256" s="3" t="s">
        <v>343</v>
      </c>
      <c r="D256">
        <v>0</v>
      </c>
      <c r="E256">
        <v>0</v>
      </c>
    </row>
    <row r="257" spans="1:5" x14ac:dyDescent="0.35">
      <c r="A257" s="1">
        <v>187</v>
      </c>
      <c r="B257" t="s">
        <v>3</v>
      </c>
      <c r="C257" s="3" t="s">
        <v>251</v>
      </c>
      <c r="D257">
        <v>0</v>
      </c>
      <c r="E257">
        <v>0</v>
      </c>
    </row>
    <row r="258" spans="1:5" x14ac:dyDescent="0.35">
      <c r="A258" s="1">
        <v>164</v>
      </c>
      <c r="B258" t="s">
        <v>3</v>
      </c>
      <c r="C258" s="3" t="s">
        <v>233</v>
      </c>
      <c r="D258">
        <v>0</v>
      </c>
      <c r="E258">
        <v>0</v>
      </c>
    </row>
    <row r="259" spans="1:5" x14ac:dyDescent="0.35">
      <c r="A259" s="1">
        <v>232</v>
      </c>
      <c r="B259" t="s">
        <v>3</v>
      </c>
      <c r="C259" s="3" t="s">
        <v>292</v>
      </c>
      <c r="D259">
        <v>0</v>
      </c>
      <c r="E259">
        <v>0</v>
      </c>
    </row>
    <row r="260" spans="1:5" x14ac:dyDescent="0.35">
      <c r="A260" s="1">
        <v>306</v>
      </c>
      <c r="B260" t="s">
        <v>3</v>
      </c>
      <c r="C260" s="3" t="s">
        <v>357</v>
      </c>
      <c r="D260">
        <v>0</v>
      </c>
      <c r="E260">
        <v>0</v>
      </c>
    </row>
    <row r="261" spans="1:5" x14ac:dyDescent="0.35">
      <c r="A261" s="1">
        <v>283</v>
      </c>
      <c r="B261" t="s">
        <v>3</v>
      </c>
      <c r="C261" s="3" t="s">
        <v>340</v>
      </c>
      <c r="D261">
        <v>0</v>
      </c>
      <c r="E261">
        <v>0</v>
      </c>
    </row>
    <row r="262" spans="1:5" x14ac:dyDescent="0.35">
      <c r="A262" s="1">
        <v>149</v>
      </c>
      <c r="B262" t="s">
        <v>3</v>
      </c>
      <c r="C262" s="3" t="s">
        <v>85</v>
      </c>
      <c r="D262" s="5">
        <v>425972</v>
      </c>
      <c r="E262">
        <v>4.2597204259720432E-2</v>
      </c>
    </row>
    <row r="263" spans="1:5" x14ac:dyDescent="0.35">
      <c r="A263" s="1">
        <v>202</v>
      </c>
      <c r="B263" t="s">
        <v>3</v>
      </c>
      <c r="C263" s="3" t="s">
        <v>264</v>
      </c>
      <c r="D263">
        <v>0</v>
      </c>
      <c r="E263">
        <v>0</v>
      </c>
    </row>
    <row r="264" spans="1:5" x14ac:dyDescent="0.35">
      <c r="A264" s="1">
        <v>360</v>
      </c>
      <c r="B264" t="s">
        <v>3</v>
      </c>
      <c r="C264" s="3" t="s">
        <v>142</v>
      </c>
      <c r="D264" s="5">
        <v>1709113.3654740441</v>
      </c>
      <c r="E264">
        <v>0.17091135363853979</v>
      </c>
    </row>
    <row r="265" spans="1:5" x14ac:dyDescent="0.35">
      <c r="A265" s="1">
        <v>47</v>
      </c>
      <c r="B265" t="s">
        <v>3</v>
      </c>
      <c r="C265" s="3" t="s">
        <v>180</v>
      </c>
      <c r="D265">
        <v>0</v>
      </c>
      <c r="E265">
        <v>0</v>
      </c>
    </row>
    <row r="266" spans="1:5" x14ac:dyDescent="0.35">
      <c r="A266" s="1">
        <v>44</v>
      </c>
      <c r="B266" t="s">
        <v>3</v>
      </c>
      <c r="C266" s="3" t="s">
        <v>23</v>
      </c>
      <c r="D266" s="5">
        <v>5945.3134687746133</v>
      </c>
      <c r="E266">
        <v>0.32382763521744129</v>
      </c>
    </row>
    <row r="267" spans="1:5" x14ac:dyDescent="0.35">
      <c r="A267" s="1">
        <v>55</v>
      </c>
      <c r="B267" t="s">
        <v>3</v>
      </c>
      <c r="C267" s="3" t="s">
        <v>29</v>
      </c>
      <c r="D267" s="5">
        <v>5876.5</v>
      </c>
      <c r="E267">
        <v>0.99999999999999989</v>
      </c>
    </row>
    <row r="268" spans="1:5" x14ac:dyDescent="0.35">
      <c r="A268" s="1">
        <v>77</v>
      </c>
      <c r="B268" t="s">
        <v>3</v>
      </c>
      <c r="C268" s="3" t="s">
        <v>39</v>
      </c>
      <c r="D268" s="5">
        <v>20313.88399261429</v>
      </c>
      <c r="E268">
        <v>0.45543761613824829</v>
      </c>
    </row>
    <row r="269" spans="1:5" x14ac:dyDescent="0.35">
      <c r="A269" s="1">
        <v>344</v>
      </c>
      <c r="B269" t="s">
        <v>3</v>
      </c>
      <c r="C269" s="3" t="s">
        <v>127</v>
      </c>
      <c r="D269" s="5">
        <v>88096.09</v>
      </c>
      <c r="E269">
        <v>8.8096098809609877E-3</v>
      </c>
    </row>
    <row r="270" spans="1:5" x14ac:dyDescent="0.35">
      <c r="A270" s="1">
        <v>89</v>
      </c>
      <c r="B270" t="s">
        <v>3</v>
      </c>
      <c r="C270" s="3" t="s">
        <v>47</v>
      </c>
      <c r="D270" s="5">
        <v>6562.7</v>
      </c>
      <c r="E270">
        <v>1</v>
      </c>
    </row>
    <row r="271" spans="1:5" x14ac:dyDescent="0.35">
      <c r="A271" s="1">
        <v>36</v>
      </c>
      <c r="B271" t="s">
        <v>3</v>
      </c>
      <c r="C271" s="3" t="s">
        <v>174</v>
      </c>
      <c r="D271">
        <v>0</v>
      </c>
      <c r="E271">
        <v>0</v>
      </c>
    </row>
    <row r="272" spans="1:5" x14ac:dyDescent="0.35">
      <c r="A272" s="1">
        <v>4</v>
      </c>
      <c r="B272" t="s">
        <v>3</v>
      </c>
      <c r="C272" s="3" t="s">
        <v>8</v>
      </c>
      <c r="D272" s="5">
        <v>89717</v>
      </c>
      <c r="E272">
        <v>1</v>
      </c>
    </row>
    <row r="273" spans="1:5" x14ac:dyDescent="0.35">
      <c r="A273" s="1">
        <v>346</v>
      </c>
      <c r="B273" t="s">
        <v>3</v>
      </c>
      <c r="C273" s="3" t="s">
        <v>129</v>
      </c>
      <c r="D273" s="5">
        <v>3995.9299999999989</v>
      </c>
      <c r="E273">
        <v>3.9959303995930389E-4</v>
      </c>
    </row>
    <row r="274" spans="1:5" x14ac:dyDescent="0.35">
      <c r="A274" s="1">
        <v>7</v>
      </c>
      <c r="B274" t="s">
        <v>3</v>
      </c>
      <c r="C274" s="3" t="s">
        <v>9</v>
      </c>
      <c r="D274" s="5">
        <v>173427.35646017679</v>
      </c>
      <c r="E274">
        <v>0.39480136465031063</v>
      </c>
    </row>
    <row r="275" spans="1:5" x14ac:dyDescent="0.35">
      <c r="A275" s="1">
        <v>145</v>
      </c>
      <c r="B275" t="s">
        <v>3</v>
      </c>
      <c r="C275" s="3" t="s">
        <v>82</v>
      </c>
      <c r="D275" s="5">
        <v>371260</v>
      </c>
      <c r="E275">
        <v>1</v>
      </c>
    </row>
    <row r="276" spans="1:5" x14ac:dyDescent="0.35">
      <c r="A276" s="1">
        <v>143</v>
      </c>
      <c r="B276" t="s">
        <v>3</v>
      </c>
      <c r="C276" s="3" t="s">
        <v>219</v>
      </c>
      <c r="D276">
        <v>0</v>
      </c>
      <c r="E276">
        <v>0</v>
      </c>
    </row>
    <row r="277" spans="1:5" x14ac:dyDescent="0.35">
      <c r="A277" s="1">
        <v>71</v>
      </c>
      <c r="B277" t="s">
        <v>3</v>
      </c>
      <c r="C277" s="3" t="s">
        <v>191</v>
      </c>
      <c r="D277">
        <v>0</v>
      </c>
      <c r="E277">
        <v>0</v>
      </c>
    </row>
    <row r="278" spans="1:5" x14ac:dyDescent="0.35">
      <c r="A278" s="1">
        <v>13</v>
      </c>
      <c r="B278" t="s">
        <v>3</v>
      </c>
      <c r="C278" s="3" t="s">
        <v>11</v>
      </c>
      <c r="D278" s="5">
        <v>18910.09933277778</v>
      </c>
      <c r="E278">
        <v>0.23549314237581301</v>
      </c>
    </row>
    <row r="279" spans="1:5" x14ac:dyDescent="0.35">
      <c r="A279" s="1">
        <v>94</v>
      </c>
      <c r="B279" t="s">
        <v>3</v>
      </c>
      <c r="C279" s="3" t="s">
        <v>203</v>
      </c>
      <c r="D279">
        <v>0</v>
      </c>
      <c r="E279">
        <v>0</v>
      </c>
    </row>
    <row r="280" spans="1:5" x14ac:dyDescent="0.35">
      <c r="A280" s="1">
        <v>128</v>
      </c>
      <c r="B280" t="s">
        <v>3</v>
      </c>
      <c r="C280" s="3" t="s">
        <v>72</v>
      </c>
      <c r="D280" s="5">
        <v>1459821.8183171791</v>
      </c>
      <c r="E280">
        <v>0.14598219642993759</v>
      </c>
    </row>
    <row r="281" spans="1:5" x14ac:dyDescent="0.35">
      <c r="A281" s="1">
        <v>72</v>
      </c>
      <c r="B281" t="s">
        <v>3</v>
      </c>
      <c r="C281" s="3" t="s">
        <v>192</v>
      </c>
      <c r="D281">
        <v>0</v>
      </c>
      <c r="E281">
        <v>0</v>
      </c>
    </row>
    <row r="282" spans="1:5" x14ac:dyDescent="0.35">
      <c r="A282" s="1">
        <v>83</v>
      </c>
      <c r="B282" t="s">
        <v>3</v>
      </c>
      <c r="C282" s="3" t="s">
        <v>42</v>
      </c>
      <c r="D282" s="5">
        <v>76771.66815874548</v>
      </c>
      <c r="E282">
        <v>0.1576711674821743</v>
      </c>
    </row>
    <row r="283" spans="1:5" x14ac:dyDescent="0.35">
      <c r="A283" s="1">
        <v>266</v>
      </c>
      <c r="B283" t="s">
        <v>3</v>
      </c>
      <c r="C283" s="3" t="s">
        <v>323</v>
      </c>
      <c r="D283">
        <v>0</v>
      </c>
      <c r="E283">
        <v>0</v>
      </c>
    </row>
    <row r="284" spans="1:5" x14ac:dyDescent="0.35">
      <c r="A284" s="1">
        <v>162</v>
      </c>
      <c r="B284" t="s">
        <v>3</v>
      </c>
      <c r="C284" s="3" t="s">
        <v>231</v>
      </c>
      <c r="D284">
        <v>0</v>
      </c>
      <c r="E284">
        <v>0</v>
      </c>
    </row>
    <row r="285" spans="1:5" x14ac:dyDescent="0.35">
      <c r="A285" s="1">
        <v>173</v>
      </c>
      <c r="B285" t="s">
        <v>3</v>
      </c>
      <c r="C285" s="3" t="s">
        <v>241</v>
      </c>
      <c r="D285">
        <v>0</v>
      </c>
      <c r="E285">
        <v>0</v>
      </c>
    </row>
    <row r="286" spans="1:5" x14ac:dyDescent="0.35">
      <c r="A286" s="1">
        <v>196</v>
      </c>
      <c r="B286" t="s">
        <v>3</v>
      </c>
      <c r="C286" s="3" t="s">
        <v>258</v>
      </c>
      <c r="D286">
        <v>0</v>
      </c>
      <c r="E286">
        <v>0</v>
      </c>
    </row>
    <row r="287" spans="1:5" x14ac:dyDescent="0.35">
      <c r="A287" s="1">
        <v>309</v>
      </c>
      <c r="B287" t="s">
        <v>3</v>
      </c>
      <c r="C287" s="3" t="s">
        <v>360</v>
      </c>
      <c r="D287">
        <v>0</v>
      </c>
      <c r="E287">
        <v>0</v>
      </c>
    </row>
    <row r="288" spans="1:5" x14ac:dyDescent="0.35">
      <c r="A288" s="1">
        <v>257</v>
      </c>
      <c r="B288" t="s">
        <v>3</v>
      </c>
      <c r="C288" s="3" t="s">
        <v>315</v>
      </c>
      <c r="D288">
        <v>0</v>
      </c>
      <c r="E288">
        <v>0</v>
      </c>
    </row>
    <row r="289" spans="1:5" x14ac:dyDescent="0.35">
      <c r="A289" s="1">
        <v>244</v>
      </c>
      <c r="B289" t="s">
        <v>3</v>
      </c>
      <c r="C289" s="3" t="s">
        <v>303</v>
      </c>
      <c r="D289">
        <v>0</v>
      </c>
      <c r="E289">
        <v>0</v>
      </c>
    </row>
    <row r="290" spans="1:5" x14ac:dyDescent="0.35">
      <c r="A290" s="1">
        <v>264</v>
      </c>
      <c r="B290" t="s">
        <v>3</v>
      </c>
      <c r="C290" s="3" t="s">
        <v>321</v>
      </c>
      <c r="D290">
        <v>0</v>
      </c>
      <c r="E290">
        <v>0</v>
      </c>
    </row>
    <row r="291" spans="1:5" x14ac:dyDescent="0.35">
      <c r="A291" s="1">
        <v>192</v>
      </c>
      <c r="B291" t="s">
        <v>3</v>
      </c>
      <c r="C291" s="3" t="s">
        <v>255</v>
      </c>
      <c r="D291">
        <v>0</v>
      </c>
      <c r="E291">
        <v>0</v>
      </c>
    </row>
    <row r="292" spans="1:5" x14ac:dyDescent="0.35">
      <c r="A292" s="1">
        <v>218</v>
      </c>
      <c r="B292" t="s">
        <v>3</v>
      </c>
      <c r="C292" s="3" t="s">
        <v>280</v>
      </c>
      <c r="D292">
        <v>0</v>
      </c>
      <c r="E292">
        <v>0</v>
      </c>
    </row>
    <row r="293" spans="1:5" x14ac:dyDescent="0.35">
      <c r="A293" s="1">
        <v>195</v>
      </c>
      <c r="B293" t="s">
        <v>3</v>
      </c>
      <c r="C293" s="3" t="s">
        <v>257</v>
      </c>
      <c r="D293">
        <v>0</v>
      </c>
      <c r="E293">
        <v>0</v>
      </c>
    </row>
    <row r="294" spans="1:5" x14ac:dyDescent="0.35">
      <c r="A294" s="1">
        <v>175</v>
      </c>
      <c r="B294" t="s">
        <v>3</v>
      </c>
      <c r="C294" s="3" t="s">
        <v>91</v>
      </c>
      <c r="D294" s="5">
        <v>1459821.8183171791</v>
      </c>
      <c r="E294">
        <v>0.14598219642993759</v>
      </c>
    </row>
    <row r="295" spans="1:5" x14ac:dyDescent="0.35">
      <c r="A295" s="1">
        <v>252</v>
      </c>
      <c r="B295" t="s">
        <v>3</v>
      </c>
      <c r="C295" s="3" t="s">
        <v>310</v>
      </c>
      <c r="D295">
        <v>0</v>
      </c>
      <c r="E295">
        <v>0</v>
      </c>
    </row>
    <row r="296" spans="1:5" x14ac:dyDescent="0.35">
      <c r="A296" s="1">
        <v>227</v>
      </c>
      <c r="B296" t="s">
        <v>3</v>
      </c>
      <c r="C296" s="3" t="s">
        <v>289</v>
      </c>
      <c r="D296">
        <v>0</v>
      </c>
      <c r="E296">
        <v>0</v>
      </c>
    </row>
    <row r="297" spans="1:5" x14ac:dyDescent="0.35">
      <c r="A297" s="1">
        <v>291</v>
      </c>
      <c r="B297" t="s">
        <v>3</v>
      </c>
      <c r="C297" s="3" t="s">
        <v>346</v>
      </c>
      <c r="D297">
        <v>0</v>
      </c>
      <c r="E297">
        <v>0</v>
      </c>
    </row>
    <row r="298" spans="1:5" x14ac:dyDescent="0.35">
      <c r="A298" s="1">
        <v>200</v>
      </c>
      <c r="B298" t="s">
        <v>3</v>
      </c>
      <c r="C298" s="3" t="s">
        <v>262</v>
      </c>
      <c r="D298">
        <v>0</v>
      </c>
      <c r="E298">
        <v>0</v>
      </c>
    </row>
    <row r="299" spans="1:5" x14ac:dyDescent="0.35">
      <c r="A299" s="1">
        <v>171</v>
      </c>
      <c r="B299" t="s">
        <v>3</v>
      </c>
      <c r="C299" s="3" t="s">
        <v>240</v>
      </c>
      <c r="D299">
        <v>0</v>
      </c>
      <c r="E299">
        <v>0</v>
      </c>
    </row>
    <row r="300" spans="1:5" x14ac:dyDescent="0.35">
      <c r="A300" s="1">
        <v>222</v>
      </c>
      <c r="B300" t="s">
        <v>3</v>
      </c>
      <c r="C300" s="3" t="s">
        <v>284</v>
      </c>
      <c r="D300">
        <v>0</v>
      </c>
      <c r="E300">
        <v>0</v>
      </c>
    </row>
    <row r="301" spans="1:5" x14ac:dyDescent="0.35">
      <c r="A301" s="1">
        <v>268</v>
      </c>
      <c r="B301" t="s">
        <v>3</v>
      </c>
      <c r="C301" s="3" t="s">
        <v>325</v>
      </c>
      <c r="D301">
        <v>0</v>
      </c>
      <c r="E301">
        <v>0</v>
      </c>
    </row>
    <row r="302" spans="1:5" x14ac:dyDescent="0.35">
      <c r="A302" s="1">
        <v>345</v>
      </c>
      <c r="B302" t="s">
        <v>3</v>
      </c>
      <c r="C302" s="3" t="s">
        <v>128</v>
      </c>
      <c r="D302" s="5">
        <v>6237623.8294370202</v>
      </c>
      <c r="E302">
        <v>0.62376244531994651</v>
      </c>
    </row>
    <row r="303" spans="1:5" x14ac:dyDescent="0.35">
      <c r="A303" s="1">
        <v>124</v>
      </c>
      <c r="B303" t="s">
        <v>3</v>
      </c>
      <c r="C303" s="3" t="s">
        <v>69</v>
      </c>
      <c r="D303" s="5">
        <v>60872.292899230029</v>
      </c>
      <c r="E303">
        <v>6.0872298986459931E-3</v>
      </c>
    </row>
    <row r="304" spans="1:5" x14ac:dyDescent="0.35">
      <c r="A304" s="1">
        <v>357</v>
      </c>
      <c r="B304" t="s">
        <v>3</v>
      </c>
      <c r="C304" s="3" t="s">
        <v>139</v>
      </c>
      <c r="D304" s="5">
        <v>1242293.4195982451</v>
      </c>
      <c r="E304">
        <v>0.12422935438275989</v>
      </c>
    </row>
    <row r="305" spans="1:5" x14ac:dyDescent="0.35">
      <c r="A305" s="1">
        <v>51</v>
      </c>
      <c r="B305" t="s">
        <v>3</v>
      </c>
      <c r="C305" s="3" t="s">
        <v>183</v>
      </c>
      <c r="D305">
        <v>0</v>
      </c>
      <c r="E305">
        <v>0</v>
      </c>
    </row>
    <row r="306" spans="1:5" x14ac:dyDescent="0.35">
      <c r="A306" s="1">
        <v>98</v>
      </c>
      <c r="B306" t="s">
        <v>3</v>
      </c>
      <c r="C306" s="3" t="s">
        <v>205</v>
      </c>
      <c r="D306">
        <v>0</v>
      </c>
      <c r="E306">
        <v>0</v>
      </c>
    </row>
    <row r="307" spans="1:5" x14ac:dyDescent="0.35">
      <c r="A307" s="1">
        <v>348</v>
      </c>
      <c r="B307" t="s">
        <v>3</v>
      </c>
      <c r="C307" s="3" t="s">
        <v>131</v>
      </c>
      <c r="D307" s="5">
        <v>52.11318</v>
      </c>
      <c r="E307">
        <v>5.2113185211318518E-6</v>
      </c>
    </row>
    <row r="308" spans="1:5" x14ac:dyDescent="0.35">
      <c r="A308" s="1">
        <v>6</v>
      </c>
      <c r="B308" t="s">
        <v>3</v>
      </c>
      <c r="C308" s="3" t="s">
        <v>155</v>
      </c>
      <c r="D308">
        <v>0</v>
      </c>
      <c r="E308">
        <v>0</v>
      </c>
    </row>
    <row r="309" spans="1:5" x14ac:dyDescent="0.35">
      <c r="A309" s="1">
        <v>34</v>
      </c>
      <c r="B309" t="s">
        <v>3</v>
      </c>
      <c r="C309" s="3" t="s">
        <v>172</v>
      </c>
      <c r="D309">
        <v>0</v>
      </c>
      <c r="E309">
        <v>0</v>
      </c>
    </row>
    <row r="310" spans="1:5" x14ac:dyDescent="0.35">
      <c r="A310" s="1">
        <v>37</v>
      </c>
      <c r="B310" t="s">
        <v>3</v>
      </c>
      <c r="C310" s="3" t="s">
        <v>175</v>
      </c>
      <c r="D310">
        <v>0</v>
      </c>
      <c r="E310">
        <v>0</v>
      </c>
    </row>
    <row r="311" spans="1:5" x14ac:dyDescent="0.35">
      <c r="A311" s="1">
        <v>69</v>
      </c>
      <c r="B311" t="s">
        <v>3</v>
      </c>
      <c r="C311" s="3" t="s">
        <v>190</v>
      </c>
      <c r="D311">
        <v>0</v>
      </c>
      <c r="E311">
        <v>0</v>
      </c>
    </row>
    <row r="312" spans="1:5" x14ac:dyDescent="0.35">
      <c r="A312" s="1">
        <v>347</v>
      </c>
      <c r="B312" t="s">
        <v>3</v>
      </c>
      <c r="C312" s="3" t="s">
        <v>130</v>
      </c>
      <c r="D312" s="5">
        <v>651.66876999999988</v>
      </c>
      <c r="E312">
        <v>6.5166883516688337E-5</v>
      </c>
    </row>
    <row r="313" spans="1:5" x14ac:dyDescent="0.35">
      <c r="A313" s="1">
        <v>85</v>
      </c>
      <c r="B313" t="s">
        <v>3</v>
      </c>
      <c r="C313" s="3" t="s">
        <v>43</v>
      </c>
      <c r="D313" s="5">
        <v>348471.08943452901</v>
      </c>
      <c r="E313">
        <v>0.83886768607262796</v>
      </c>
    </row>
    <row r="314" spans="1:5" x14ac:dyDescent="0.35">
      <c r="A314" s="1">
        <v>350</v>
      </c>
      <c r="B314" t="s">
        <v>3</v>
      </c>
      <c r="C314" s="3" t="s">
        <v>132</v>
      </c>
      <c r="D314" s="5">
        <v>18563</v>
      </c>
      <c r="E314">
        <v>1.856300185630018E-3</v>
      </c>
    </row>
    <row r="315" spans="1:5" x14ac:dyDescent="0.35">
      <c r="A315" s="1">
        <v>23</v>
      </c>
      <c r="B315" t="s">
        <v>3</v>
      </c>
      <c r="C315" s="3" t="s">
        <v>16</v>
      </c>
      <c r="D315" s="5">
        <v>196321.18058278711</v>
      </c>
      <c r="E315">
        <v>0.93374693709011558</v>
      </c>
    </row>
    <row r="316" spans="1:5" x14ac:dyDescent="0.35">
      <c r="A316" s="1">
        <v>56</v>
      </c>
      <c r="B316" t="s">
        <v>3</v>
      </c>
      <c r="C316" s="3" t="s">
        <v>30</v>
      </c>
      <c r="D316" s="5">
        <v>75554.49584221284</v>
      </c>
      <c r="E316">
        <v>0.52404713606528763</v>
      </c>
    </row>
    <row r="317" spans="1:5" x14ac:dyDescent="0.35">
      <c r="A317" s="1">
        <v>111</v>
      </c>
      <c r="B317" t="s">
        <v>3</v>
      </c>
      <c r="C317" s="3" t="s">
        <v>57</v>
      </c>
      <c r="D317" s="5">
        <v>425972</v>
      </c>
      <c r="E317">
        <v>1</v>
      </c>
    </row>
    <row r="318" spans="1:5" x14ac:dyDescent="0.35">
      <c r="A318" s="1">
        <v>351</v>
      </c>
      <c r="B318" t="s">
        <v>3</v>
      </c>
      <c r="C318" s="3" t="s">
        <v>133</v>
      </c>
      <c r="D318" s="5">
        <v>4274.4726999999993</v>
      </c>
      <c r="E318">
        <v>4.2744731274473122E-4</v>
      </c>
    </row>
    <row r="319" spans="1:5" x14ac:dyDescent="0.35">
      <c r="A319" s="1">
        <v>127</v>
      </c>
      <c r="B319" t="s">
        <v>3</v>
      </c>
      <c r="C319" s="3" t="s">
        <v>71</v>
      </c>
      <c r="D319" s="5">
        <v>139511.8579414433</v>
      </c>
      <c r="E319">
        <v>1.395118718926305E-2</v>
      </c>
    </row>
    <row r="320" spans="1:5" x14ac:dyDescent="0.35">
      <c r="A320" s="1">
        <v>217</v>
      </c>
      <c r="B320" t="s">
        <v>3</v>
      </c>
      <c r="C320" s="3" t="s">
        <v>279</v>
      </c>
      <c r="D320">
        <v>0</v>
      </c>
      <c r="E320">
        <v>0</v>
      </c>
    </row>
    <row r="321" spans="1:5" x14ac:dyDescent="0.35">
      <c r="A321" s="1">
        <v>282</v>
      </c>
      <c r="B321" t="s">
        <v>3</v>
      </c>
      <c r="C321" s="3" t="s">
        <v>339</v>
      </c>
      <c r="D321">
        <v>0</v>
      </c>
      <c r="E321">
        <v>0</v>
      </c>
    </row>
    <row r="322" spans="1:5" x14ac:dyDescent="0.35">
      <c r="A322" s="1">
        <v>295</v>
      </c>
      <c r="B322" t="s">
        <v>3</v>
      </c>
      <c r="C322" s="3" t="s">
        <v>104</v>
      </c>
      <c r="D322" s="5">
        <v>24754.98766700632</v>
      </c>
      <c r="E322">
        <v>2.4754990142505338E-3</v>
      </c>
    </row>
    <row r="323" spans="1:5" x14ac:dyDescent="0.35">
      <c r="A323" s="1">
        <v>312</v>
      </c>
      <c r="B323" t="s">
        <v>3</v>
      </c>
      <c r="C323" s="3" t="s">
        <v>362</v>
      </c>
      <c r="D323">
        <v>0</v>
      </c>
      <c r="E323">
        <v>0</v>
      </c>
    </row>
    <row r="324" spans="1:5" x14ac:dyDescent="0.35">
      <c r="A324" s="1">
        <v>269</v>
      </c>
      <c r="B324" t="s">
        <v>3</v>
      </c>
      <c r="C324" s="3" t="s">
        <v>326</v>
      </c>
      <c r="D324">
        <v>0</v>
      </c>
      <c r="E324">
        <v>0</v>
      </c>
    </row>
    <row r="325" spans="1:5" x14ac:dyDescent="0.35">
      <c r="A325" s="1">
        <v>209</v>
      </c>
      <c r="B325" t="s">
        <v>3</v>
      </c>
      <c r="C325" s="3" t="s">
        <v>271</v>
      </c>
      <c r="D325">
        <v>0</v>
      </c>
      <c r="E325">
        <v>0</v>
      </c>
    </row>
    <row r="326" spans="1:5" x14ac:dyDescent="0.35">
      <c r="A326" s="1">
        <v>188</v>
      </c>
      <c r="B326" t="s">
        <v>3</v>
      </c>
      <c r="C326" s="3" t="s">
        <v>252</v>
      </c>
      <c r="D326">
        <v>0</v>
      </c>
      <c r="E326">
        <v>0</v>
      </c>
    </row>
    <row r="327" spans="1:5" x14ac:dyDescent="0.35">
      <c r="A327" s="1">
        <v>216</v>
      </c>
      <c r="B327" t="s">
        <v>3</v>
      </c>
      <c r="C327" s="3" t="s">
        <v>278</v>
      </c>
      <c r="D327">
        <v>0</v>
      </c>
      <c r="E327">
        <v>0</v>
      </c>
    </row>
    <row r="328" spans="1:5" x14ac:dyDescent="0.35">
      <c r="A328" s="1">
        <v>308</v>
      </c>
      <c r="B328" t="s">
        <v>3</v>
      </c>
      <c r="C328" s="3" t="s">
        <v>359</v>
      </c>
      <c r="D328">
        <v>0</v>
      </c>
      <c r="E328">
        <v>0</v>
      </c>
    </row>
    <row r="329" spans="1:5" x14ac:dyDescent="0.35">
      <c r="A329" s="1">
        <v>165</v>
      </c>
      <c r="B329" t="s">
        <v>3</v>
      </c>
      <c r="C329" s="3" t="s">
        <v>234</v>
      </c>
      <c r="D329">
        <v>0</v>
      </c>
      <c r="E329">
        <v>0</v>
      </c>
    </row>
    <row r="330" spans="1:5" x14ac:dyDescent="0.35">
      <c r="A330" s="1">
        <v>311</v>
      </c>
      <c r="B330" t="s">
        <v>3</v>
      </c>
      <c r="C330" s="3" t="s">
        <v>361</v>
      </c>
      <c r="D330">
        <v>0</v>
      </c>
      <c r="E330">
        <v>0</v>
      </c>
    </row>
    <row r="331" spans="1:5" x14ac:dyDescent="0.35">
      <c r="A331" s="1">
        <v>297</v>
      </c>
      <c r="B331" t="s">
        <v>3</v>
      </c>
      <c r="C331" s="3" t="s">
        <v>350</v>
      </c>
      <c r="D331">
        <v>0</v>
      </c>
      <c r="E331">
        <v>0</v>
      </c>
    </row>
    <row r="332" spans="1:5" x14ac:dyDescent="0.35">
      <c r="A332" s="1">
        <v>203</v>
      </c>
      <c r="B332" t="s">
        <v>3</v>
      </c>
      <c r="C332" s="3" t="s">
        <v>265</v>
      </c>
      <c r="D332">
        <v>0</v>
      </c>
      <c r="E332">
        <v>0</v>
      </c>
    </row>
    <row r="333" spans="1:5" x14ac:dyDescent="0.35">
      <c r="A333" s="1">
        <v>170</v>
      </c>
      <c r="B333" t="s">
        <v>3</v>
      </c>
      <c r="C333" s="3" t="s">
        <v>239</v>
      </c>
      <c r="D333">
        <v>0</v>
      </c>
      <c r="E333">
        <v>0</v>
      </c>
    </row>
    <row r="334" spans="1:5" x14ac:dyDescent="0.35">
      <c r="A334" s="1">
        <v>240</v>
      </c>
      <c r="B334" t="s">
        <v>3</v>
      </c>
      <c r="C334" s="3" t="s">
        <v>300</v>
      </c>
      <c r="D334">
        <v>0</v>
      </c>
      <c r="E334">
        <v>0</v>
      </c>
    </row>
    <row r="335" spans="1:5" x14ac:dyDescent="0.35">
      <c r="A335" s="1">
        <v>191</v>
      </c>
      <c r="B335" t="s">
        <v>3</v>
      </c>
      <c r="C335" s="3" t="s">
        <v>94</v>
      </c>
      <c r="D335" s="5">
        <v>53884.577375206951</v>
      </c>
      <c r="E335">
        <v>5.388458276366523E-3</v>
      </c>
    </row>
    <row r="336" spans="1:5" x14ac:dyDescent="0.35">
      <c r="A336" s="1">
        <v>292</v>
      </c>
      <c r="B336" t="s">
        <v>3</v>
      </c>
      <c r="C336" s="3" t="s">
        <v>103</v>
      </c>
      <c r="D336" s="5">
        <v>60872.292899230029</v>
      </c>
      <c r="E336">
        <v>6.0872298986459931E-3</v>
      </c>
    </row>
    <row r="337" spans="1:5" x14ac:dyDescent="0.35">
      <c r="A337" s="1">
        <v>166</v>
      </c>
      <c r="B337" t="s">
        <v>3</v>
      </c>
      <c r="C337" s="3" t="s">
        <v>235</v>
      </c>
      <c r="D337">
        <v>0</v>
      </c>
      <c r="E337">
        <v>0</v>
      </c>
    </row>
    <row r="338" spans="1:5" x14ac:dyDescent="0.35">
      <c r="A338" s="1">
        <v>220</v>
      </c>
      <c r="B338" t="s">
        <v>3</v>
      </c>
      <c r="C338" s="3" t="s">
        <v>282</v>
      </c>
      <c r="D338">
        <v>0</v>
      </c>
      <c r="E338">
        <v>0</v>
      </c>
    </row>
    <row r="339" spans="1:5" x14ac:dyDescent="0.35">
      <c r="A339" s="1">
        <v>358</v>
      </c>
      <c r="B339" t="s">
        <v>3</v>
      </c>
      <c r="C339" s="3" t="s">
        <v>140</v>
      </c>
      <c r="D339" s="5">
        <v>287875.63085858681</v>
      </c>
      <c r="E339">
        <v>2.8787565964615281E-2</v>
      </c>
    </row>
    <row r="340" spans="1:5" x14ac:dyDescent="0.35">
      <c r="A340" s="1">
        <v>67</v>
      </c>
      <c r="B340" t="s">
        <v>3</v>
      </c>
      <c r="C340" s="3" t="s">
        <v>188</v>
      </c>
      <c r="D340">
        <v>0</v>
      </c>
      <c r="E340">
        <v>0</v>
      </c>
    </row>
    <row r="341" spans="1:5" x14ac:dyDescent="0.35">
      <c r="A341" s="1">
        <v>103</v>
      </c>
      <c r="B341" t="s">
        <v>3</v>
      </c>
      <c r="C341" s="3" t="s">
        <v>52</v>
      </c>
      <c r="D341" s="5">
        <v>1117.368709865174</v>
      </c>
      <c r="E341">
        <v>1.198339642314117E-2</v>
      </c>
    </row>
    <row r="342" spans="1:5" x14ac:dyDescent="0.35">
      <c r="A342" s="1">
        <v>75</v>
      </c>
      <c r="B342" t="s">
        <v>3</v>
      </c>
      <c r="C342" s="3" t="s">
        <v>194</v>
      </c>
      <c r="D342">
        <v>0</v>
      </c>
      <c r="E342">
        <v>0</v>
      </c>
    </row>
    <row r="343" spans="1:5" x14ac:dyDescent="0.35">
      <c r="A343" s="1">
        <v>49</v>
      </c>
      <c r="B343" t="s">
        <v>3</v>
      </c>
      <c r="C343" s="3" t="s">
        <v>181</v>
      </c>
      <c r="D343">
        <v>0</v>
      </c>
      <c r="E343">
        <v>0</v>
      </c>
    </row>
    <row r="344" spans="1:5" x14ac:dyDescent="0.35">
      <c r="A344" s="1">
        <v>97</v>
      </c>
      <c r="B344" t="s">
        <v>3</v>
      </c>
      <c r="C344" s="3" t="s">
        <v>204</v>
      </c>
      <c r="D344">
        <v>0</v>
      </c>
      <c r="E344">
        <v>0</v>
      </c>
    </row>
    <row r="345" spans="1:5" x14ac:dyDescent="0.35">
      <c r="A345" s="1">
        <v>353</v>
      </c>
      <c r="B345" t="s">
        <v>3</v>
      </c>
      <c r="C345" s="3" t="s">
        <v>135</v>
      </c>
      <c r="D345" s="5">
        <v>190671.32</v>
      </c>
      <c r="E345">
        <v>1.9067133906713388E-2</v>
      </c>
    </row>
    <row r="346" spans="1:5" x14ac:dyDescent="0.35">
      <c r="A346" s="1">
        <v>74</v>
      </c>
      <c r="B346" t="s">
        <v>3</v>
      </c>
      <c r="C346" s="3" t="s">
        <v>38</v>
      </c>
      <c r="D346" s="5">
        <v>82928</v>
      </c>
      <c r="E346">
        <v>1</v>
      </c>
    </row>
    <row r="347" spans="1:5" x14ac:dyDescent="0.35">
      <c r="A347" s="1">
        <v>41</v>
      </c>
      <c r="B347" t="s">
        <v>3</v>
      </c>
      <c r="C347" s="3" t="s">
        <v>21</v>
      </c>
      <c r="D347" s="5">
        <v>32030.281558173359</v>
      </c>
      <c r="E347">
        <v>0.22793297675270141</v>
      </c>
    </row>
    <row r="348" spans="1:5" x14ac:dyDescent="0.35">
      <c r="A348" s="1">
        <v>14</v>
      </c>
      <c r="B348" t="s">
        <v>3</v>
      </c>
      <c r="C348" s="3" t="s">
        <v>12</v>
      </c>
      <c r="D348" s="5">
        <v>67452</v>
      </c>
      <c r="E348">
        <v>1</v>
      </c>
    </row>
    <row r="349" spans="1:5" x14ac:dyDescent="0.35">
      <c r="A349" s="1">
        <v>115</v>
      </c>
      <c r="B349" t="s">
        <v>3</v>
      </c>
      <c r="C349" s="3" t="s">
        <v>61</v>
      </c>
      <c r="D349" s="5">
        <v>510971</v>
      </c>
      <c r="E349">
        <v>1</v>
      </c>
    </row>
    <row r="350" spans="1:5" x14ac:dyDescent="0.35">
      <c r="A350" s="1">
        <v>352</v>
      </c>
      <c r="B350" t="s">
        <v>3</v>
      </c>
      <c r="C350" s="3" t="s">
        <v>134</v>
      </c>
      <c r="D350" s="5">
        <v>320813.11304000003</v>
      </c>
      <c r="E350">
        <v>3.2081314512131448E-2</v>
      </c>
    </row>
    <row r="351" spans="1:5" x14ac:dyDescent="0.35">
      <c r="A351" s="1">
        <v>142</v>
      </c>
      <c r="B351" t="s">
        <v>3</v>
      </c>
      <c r="C351" s="3" t="s">
        <v>81</v>
      </c>
      <c r="D351" s="5">
        <v>62499.417575951898</v>
      </c>
      <c r="E351">
        <v>1.2794148940829459E-2</v>
      </c>
    </row>
    <row r="352" spans="1:5" x14ac:dyDescent="0.35">
      <c r="A352" s="1">
        <v>132</v>
      </c>
      <c r="B352" t="s">
        <v>3</v>
      </c>
      <c r="C352" s="3" t="s">
        <v>75</v>
      </c>
      <c r="D352" s="5">
        <v>819373.01233299333</v>
      </c>
      <c r="E352">
        <v>8.1937309427030272E-2</v>
      </c>
    </row>
    <row r="353" spans="1:5" x14ac:dyDescent="0.35">
      <c r="A353" s="1">
        <v>154</v>
      </c>
      <c r="B353" t="s">
        <v>3</v>
      </c>
      <c r="C353" s="3" t="s">
        <v>224</v>
      </c>
      <c r="D353">
        <v>0</v>
      </c>
      <c r="E353">
        <v>0</v>
      </c>
    </row>
    <row r="354" spans="1:5" x14ac:dyDescent="0.35">
      <c r="A354" s="1">
        <v>228</v>
      </c>
      <c r="B354" t="s">
        <v>3</v>
      </c>
      <c r="C354" s="3" t="s">
        <v>290</v>
      </c>
      <c r="D354">
        <v>0</v>
      </c>
      <c r="E354">
        <v>0</v>
      </c>
    </row>
    <row r="355" spans="1:5" x14ac:dyDescent="0.35">
      <c r="A355" s="1">
        <v>242</v>
      </c>
      <c r="B355" t="s">
        <v>3</v>
      </c>
      <c r="C355" s="3" t="s">
        <v>98</v>
      </c>
      <c r="D355" s="5">
        <v>86623.012332993676</v>
      </c>
      <c r="E355">
        <v>8.6623020995295775E-3</v>
      </c>
    </row>
    <row r="356" spans="1:5" x14ac:dyDescent="0.35">
      <c r="A356" s="1">
        <v>262</v>
      </c>
      <c r="B356" t="s">
        <v>3</v>
      </c>
      <c r="C356" s="3" t="s">
        <v>319</v>
      </c>
      <c r="D356">
        <v>0</v>
      </c>
      <c r="E356">
        <v>0</v>
      </c>
    </row>
    <row r="357" spans="1:5" x14ac:dyDescent="0.35">
      <c r="A357" s="1">
        <v>211</v>
      </c>
      <c r="B357" t="s">
        <v>3</v>
      </c>
      <c r="C357" s="3" t="s">
        <v>273</v>
      </c>
      <c r="D357">
        <v>0</v>
      </c>
      <c r="E357">
        <v>0</v>
      </c>
    </row>
    <row r="358" spans="1:5" x14ac:dyDescent="0.35">
      <c r="A358" s="1">
        <v>315</v>
      </c>
      <c r="B358" t="s">
        <v>3</v>
      </c>
      <c r="C358" s="3" t="s">
        <v>365</v>
      </c>
      <c r="D358">
        <v>0</v>
      </c>
      <c r="E358">
        <v>0</v>
      </c>
    </row>
    <row r="359" spans="1:5" x14ac:dyDescent="0.35">
      <c r="A359" s="1">
        <v>300</v>
      </c>
      <c r="B359" t="s">
        <v>3</v>
      </c>
      <c r="C359" s="3" t="s">
        <v>353</v>
      </c>
      <c r="D359">
        <v>0</v>
      </c>
      <c r="E359">
        <v>0</v>
      </c>
    </row>
    <row r="360" spans="1:5" x14ac:dyDescent="0.35">
      <c r="A360" s="1">
        <v>151</v>
      </c>
      <c r="B360" t="s">
        <v>3</v>
      </c>
      <c r="C360" s="3" t="s">
        <v>222</v>
      </c>
      <c r="D360">
        <v>0</v>
      </c>
      <c r="E360">
        <v>0</v>
      </c>
    </row>
    <row r="361" spans="1:5" x14ac:dyDescent="0.35">
      <c r="A361" s="1">
        <v>258</v>
      </c>
      <c r="B361" t="s">
        <v>3</v>
      </c>
      <c r="C361" s="3" t="s">
        <v>316</v>
      </c>
      <c r="D361">
        <v>0</v>
      </c>
      <c r="E361">
        <v>0</v>
      </c>
    </row>
    <row r="362" spans="1:5" x14ac:dyDescent="0.35">
      <c r="A362" s="1">
        <v>279</v>
      </c>
      <c r="B362" t="s">
        <v>3</v>
      </c>
      <c r="C362" s="3" t="s">
        <v>336</v>
      </c>
      <c r="D362">
        <v>0</v>
      </c>
      <c r="E362">
        <v>0</v>
      </c>
    </row>
    <row r="363" spans="1:5" x14ac:dyDescent="0.35">
      <c r="A363" s="1">
        <v>261</v>
      </c>
      <c r="B363" t="s">
        <v>3</v>
      </c>
      <c r="C363" s="3" t="s">
        <v>318</v>
      </c>
      <c r="D363">
        <v>0</v>
      </c>
      <c r="E363">
        <v>0</v>
      </c>
    </row>
    <row r="364" spans="1:5" x14ac:dyDescent="0.35">
      <c r="A364" s="1">
        <v>246</v>
      </c>
      <c r="B364" t="s">
        <v>3</v>
      </c>
      <c r="C364" s="3" t="s">
        <v>305</v>
      </c>
      <c r="D364">
        <v>0</v>
      </c>
      <c r="E364">
        <v>0</v>
      </c>
    </row>
    <row r="365" spans="1:5" x14ac:dyDescent="0.35">
      <c r="A365" s="1">
        <v>310</v>
      </c>
      <c r="B365" t="s">
        <v>3</v>
      </c>
      <c r="C365" s="3" t="s">
        <v>107</v>
      </c>
      <c r="D365" s="5">
        <v>39080</v>
      </c>
      <c r="E365">
        <v>3.908000390800039E-3</v>
      </c>
    </row>
    <row r="366" spans="1:5" x14ac:dyDescent="0.35">
      <c r="A366" s="1">
        <v>286</v>
      </c>
      <c r="B366" t="s">
        <v>3</v>
      </c>
      <c r="C366" s="3" t="s">
        <v>101</v>
      </c>
      <c r="D366" s="5">
        <v>122125</v>
      </c>
      <c r="E366">
        <v>1.221250122125012E-2</v>
      </c>
    </row>
    <row r="367" spans="1:5" x14ac:dyDescent="0.35">
      <c r="A367" s="1">
        <v>180</v>
      </c>
      <c r="B367" t="s">
        <v>3</v>
      </c>
      <c r="C367" s="3" t="s">
        <v>93</v>
      </c>
      <c r="D367" s="5">
        <v>60574</v>
      </c>
      <c r="E367">
        <v>6.0574006057400607E-3</v>
      </c>
    </row>
    <row r="368" spans="1:5" x14ac:dyDescent="0.35">
      <c r="A368" s="1">
        <v>305</v>
      </c>
      <c r="B368" t="s">
        <v>3</v>
      </c>
      <c r="C368" s="3" t="s">
        <v>356</v>
      </c>
      <c r="D368">
        <v>0</v>
      </c>
      <c r="E368">
        <v>0</v>
      </c>
    </row>
    <row r="369" spans="1:5" x14ac:dyDescent="0.35">
      <c r="A369" s="1">
        <v>239</v>
      </c>
      <c r="B369" t="s">
        <v>3</v>
      </c>
      <c r="C369" s="3" t="s">
        <v>299</v>
      </c>
      <c r="D369">
        <v>0</v>
      </c>
      <c r="E369">
        <v>0</v>
      </c>
    </row>
    <row r="370" spans="1:5" x14ac:dyDescent="0.35">
      <c r="A370" s="1">
        <v>280</v>
      </c>
      <c r="B370" t="s">
        <v>3</v>
      </c>
      <c r="C370" s="3" t="s">
        <v>337</v>
      </c>
      <c r="D370">
        <v>0</v>
      </c>
      <c r="E370">
        <v>0</v>
      </c>
    </row>
    <row r="371" spans="1:5" x14ac:dyDescent="0.35">
      <c r="A371" s="1">
        <v>159</v>
      </c>
      <c r="B371" t="s">
        <v>3</v>
      </c>
      <c r="C371" s="3" t="s">
        <v>88</v>
      </c>
      <c r="D371" s="5">
        <v>510971</v>
      </c>
      <c r="E371">
        <v>5.1097105109710508E-2</v>
      </c>
    </row>
    <row r="372" spans="1:5" x14ac:dyDescent="0.35">
      <c r="A372" s="1">
        <v>355</v>
      </c>
      <c r="B372" t="s">
        <v>3</v>
      </c>
      <c r="C372" s="3" t="s">
        <v>137</v>
      </c>
      <c r="D372" s="5">
        <v>9035422.2937216479</v>
      </c>
      <c r="E372">
        <v>0.90354231972639676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8"/>
  <sheetViews>
    <sheetView topLeftCell="A13" workbookViewId="0">
      <selection activeCell="E7" sqref="E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</v>
      </c>
      <c r="B2" s="5">
        <v>117811.05</v>
      </c>
      <c r="C2">
        <v>1</v>
      </c>
    </row>
    <row r="3" spans="1:3" x14ac:dyDescent="0.35">
      <c r="A3" t="s">
        <v>56</v>
      </c>
      <c r="B3" s="5">
        <v>111378</v>
      </c>
      <c r="C3">
        <v>1</v>
      </c>
    </row>
    <row r="4" spans="1:3" x14ac:dyDescent="0.35">
      <c r="A4" t="s">
        <v>27</v>
      </c>
      <c r="B4" s="5">
        <v>54074.75</v>
      </c>
      <c r="C4">
        <v>1</v>
      </c>
    </row>
    <row r="5" spans="1:3" x14ac:dyDescent="0.35">
      <c r="A5" t="s">
        <v>83</v>
      </c>
      <c r="B5" s="5">
        <v>293099.99999999988</v>
      </c>
      <c r="C5">
        <v>1</v>
      </c>
    </row>
    <row r="6" spans="1:3" x14ac:dyDescent="0.35">
      <c r="A6" t="s">
        <v>34</v>
      </c>
      <c r="B6" s="5">
        <v>85227.5</v>
      </c>
      <c r="C6">
        <v>1</v>
      </c>
    </row>
    <row r="7" spans="1:3" x14ac:dyDescent="0.35">
      <c r="A7" t="s">
        <v>54</v>
      </c>
      <c r="B7" s="5">
        <v>73275</v>
      </c>
      <c r="C7">
        <v>1</v>
      </c>
    </row>
    <row r="8" spans="1:3" x14ac:dyDescent="0.35">
      <c r="A8" t="s">
        <v>25</v>
      </c>
      <c r="B8" s="5">
        <v>81906</v>
      </c>
      <c r="C8">
        <v>1</v>
      </c>
    </row>
    <row r="9" spans="1:3" x14ac:dyDescent="0.35">
      <c r="A9" t="s">
        <v>64</v>
      </c>
      <c r="B9" s="5">
        <v>322409.99999999988</v>
      </c>
      <c r="C9">
        <v>1</v>
      </c>
    </row>
    <row r="10" spans="1:3" x14ac:dyDescent="0.35">
      <c r="A10" t="s">
        <v>59</v>
      </c>
      <c r="B10" s="5">
        <v>25402</v>
      </c>
      <c r="C10">
        <v>1</v>
      </c>
    </row>
    <row r="11" spans="1:3" x14ac:dyDescent="0.35">
      <c r="A11" t="s">
        <v>55</v>
      </c>
      <c r="B11" s="5">
        <v>155831.5</v>
      </c>
      <c r="C11">
        <v>1</v>
      </c>
    </row>
    <row r="12" spans="1:3" x14ac:dyDescent="0.35">
      <c r="A12" t="s">
        <v>62</v>
      </c>
      <c r="B12" s="5">
        <v>39080</v>
      </c>
      <c r="C12">
        <v>1</v>
      </c>
    </row>
    <row r="13" spans="1:3" x14ac:dyDescent="0.35">
      <c r="A13" t="s">
        <v>63</v>
      </c>
      <c r="B13" s="5">
        <v>122125</v>
      </c>
      <c r="C13">
        <v>1</v>
      </c>
    </row>
    <row r="14" spans="1:3" x14ac:dyDescent="0.35">
      <c r="A14" t="s">
        <v>37</v>
      </c>
      <c r="B14" s="5">
        <v>167754</v>
      </c>
      <c r="C14">
        <v>1</v>
      </c>
    </row>
    <row r="15" spans="1:3" x14ac:dyDescent="0.35">
      <c r="A15" t="s">
        <v>33</v>
      </c>
      <c r="B15" s="5">
        <v>455155</v>
      </c>
      <c r="C15">
        <v>1</v>
      </c>
    </row>
    <row r="16" spans="1:3" x14ac:dyDescent="0.35">
      <c r="A16" t="s">
        <v>20</v>
      </c>
      <c r="B16" s="5">
        <v>351714</v>
      </c>
      <c r="C16">
        <v>1</v>
      </c>
    </row>
    <row r="17" spans="1:3" x14ac:dyDescent="0.35">
      <c r="A17" t="s">
        <v>60</v>
      </c>
      <c r="B17" s="5">
        <v>60574</v>
      </c>
      <c r="C17">
        <v>1</v>
      </c>
    </row>
    <row r="18" spans="1:3" x14ac:dyDescent="0.35">
      <c r="A18" t="s">
        <v>47</v>
      </c>
      <c r="B18" s="5">
        <v>6562.7</v>
      </c>
      <c r="C18">
        <v>1</v>
      </c>
    </row>
    <row r="19" spans="1:3" x14ac:dyDescent="0.35">
      <c r="A19" t="s">
        <v>8</v>
      </c>
      <c r="B19" s="5">
        <v>89717</v>
      </c>
      <c r="C19">
        <v>1</v>
      </c>
    </row>
    <row r="20" spans="1:3" x14ac:dyDescent="0.35">
      <c r="A20" t="s">
        <v>82</v>
      </c>
      <c r="B20" s="5">
        <v>371260</v>
      </c>
      <c r="C20">
        <v>1</v>
      </c>
    </row>
    <row r="21" spans="1:3" x14ac:dyDescent="0.35">
      <c r="A21" t="s">
        <v>57</v>
      </c>
      <c r="B21" s="5">
        <v>425972</v>
      </c>
      <c r="C21">
        <v>1</v>
      </c>
    </row>
    <row r="22" spans="1:3" x14ac:dyDescent="0.35">
      <c r="A22" t="s">
        <v>38</v>
      </c>
      <c r="B22" s="5">
        <v>82928</v>
      </c>
      <c r="C22">
        <v>1</v>
      </c>
    </row>
    <row r="23" spans="1:3" x14ac:dyDescent="0.35">
      <c r="A23" t="s">
        <v>12</v>
      </c>
      <c r="B23" s="5">
        <v>67452</v>
      </c>
      <c r="C23">
        <v>1</v>
      </c>
    </row>
    <row r="24" spans="1:3" x14ac:dyDescent="0.35">
      <c r="A24" t="s">
        <v>61</v>
      </c>
      <c r="B24" s="5">
        <v>510971</v>
      </c>
      <c r="C24">
        <v>1</v>
      </c>
    </row>
    <row r="25" spans="1:3" x14ac:dyDescent="0.35">
      <c r="A25" t="s">
        <v>29</v>
      </c>
      <c r="B25" s="5">
        <v>5876.5</v>
      </c>
      <c r="C25">
        <v>0.99999999999999989</v>
      </c>
    </row>
    <row r="26" spans="1:3" x14ac:dyDescent="0.35">
      <c r="A26" t="s">
        <v>10</v>
      </c>
      <c r="B26" s="5">
        <v>17928.318302703268</v>
      </c>
      <c r="C26">
        <v>0.96532594936184646</v>
      </c>
    </row>
    <row r="27" spans="1:3" x14ac:dyDescent="0.35">
      <c r="A27" t="s">
        <v>16</v>
      </c>
      <c r="B27" s="5">
        <v>196321.18058278711</v>
      </c>
      <c r="C27">
        <v>0.93374693709011558</v>
      </c>
    </row>
    <row r="28" spans="1:3" x14ac:dyDescent="0.35">
      <c r="A28" t="s">
        <v>137</v>
      </c>
      <c r="B28" s="5">
        <v>9035422.2937216479</v>
      </c>
      <c r="C28">
        <v>0.90354231972639676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4"/>
  <sheetViews>
    <sheetView workbookViewId="0">
      <selection activeCell="B2" sqref="B2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54</v>
      </c>
      <c r="B2" s="5">
        <f>VLOOKUP(LNG_Import_use!$A2,Raw!$C$3:$E$372,2,FALSE)</f>
        <v>73275</v>
      </c>
      <c r="C2" s="5">
        <f>VLOOKUP(LNG_Import_use!$A2,Raw!$C$3:$E$372,3,FALSE)</f>
        <v>1</v>
      </c>
    </row>
    <row r="3" spans="1:3" x14ac:dyDescent="0.35">
      <c r="A3" t="s">
        <v>55</v>
      </c>
      <c r="B3" s="5">
        <f>VLOOKUP(LNG_Import_use!$A3,Raw!$C$3:$E$372,2,FALSE)</f>
        <v>155831.5</v>
      </c>
      <c r="C3" s="5">
        <f>VLOOKUP(LNG_Import_use!$A3,Raw!$C$3:$E$372,3,FALSE)</f>
        <v>1</v>
      </c>
    </row>
    <row r="4" spans="1:3" x14ac:dyDescent="0.35">
      <c r="A4" t="s">
        <v>56</v>
      </c>
      <c r="B4" s="5">
        <f>VLOOKUP(LNG_Import_use!$A4,Raw!$C$3:$E$372,2,FALSE)</f>
        <v>111378</v>
      </c>
      <c r="C4" s="5">
        <f>VLOOKUP(LNG_Import_use!$A4,Raw!$C$3:$E$372,3,FALSE)</f>
        <v>1</v>
      </c>
    </row>
    <row r="5" spans="1:3" x14ac:dyDescent="0.35">
      <c r="A5" t="s">
        <v>57</v>
      </c>
      <c r="B5" s="5">
        <f>VLOOKUP(LNG_Import_use!$A5,Raw!$C$3:$E$372,2,FALSE)</f>
        <v>425972</v>
      </c>
      <c r="C5" s="5">
        <f>VLOOKUP(LNG_Import_use!$A5,Raw!$C$3:$E$372,3,FALSE)</f>
        <v>1</v>
      </c>
    </row>
    <row r="6" spans="1:3" x14ac:dyDescent="0.35">
      <c r="A6" t="s">
        <v>58</v>
      </c>
      <c r="B6" s="5">
        <f>VLOOKUP(LNG_Import_use!$A6,Raw!$C$3:$E$372,2,FALSE)</f>
        <v>398886.1359907001</v>
      </c>
      <c r="C6" s="5">
        <f>VLOOKUP(LNG_Import_use!$A6,Raw!$C$3:$E$372,3,FALSE)</f>
        <v>0.60845975467145264</v>
      </c>
    </row>
    <row r="7" spans="1:3" x14ac:dyDescent="0.35">
      <c r="A7" t="s">
        <v>59</v>
      </c>
      <c r="B7" s="5">
        <f>VLOOKUP(LNG_Import_use!$A7,Raw!$C$3:$E$372,2,FALSE)</f>
        <v>25402</v>
      </c>
      <c r="C7" s="5">
        <f>VLOOKUP(LNG_Import_use!$A7,Raw!$C$3:$E$372,3,FALSE)</f>
        <v>1</v>
      </c>
    </row>
    <row r="8" spans="1:3" x14ac:dyDescent="0.35">
      <c r="A8" t="s">
        <v>60</v>
      </c>
      <c r="B8" s="5">
        <f>VLOOKUP(LNG_Import_use!$A8,Raw!$C$3:$E$372,2,FALSE)</f>
        <v>60574</v>
      </c>
      <c r="C8" s="5">
        <f>VLOOKUP(LNG_Import_use!$A8,Raw!$C$3:$E$372,3,FALSE)</f>
        <v>1</v>
      </c>
    </row>
    <row r="9" spans="1:3" x14ac:dyDescent="0.35">
      <c r="A9" t="s">
        <v>61</v>
      </c>
      <c r="B9" s="5">
        <f>VLOOKUP(LNG_Import_use!$A9,Raw!$C$3:$E$372,2,FALSE)</f>
        <v>510971</v>
      </c>
      <c r="C9" s="5">
        <f>VLOOKUP(LNG_Import_use!$A9,Raw!$C$3:$E$372,3,FALSE)</f>
        <v>1</v>
      </c>
    </row>
    <row r="10" spans="1:3" x14ac:dyDescent="0.35">
      <c r="A10" t="s">
        <v>62</v>
      </c>
      <c r="B10" s="5">
        <f>VLOOKUP(LNG_Import_use!$A10,Raw!$C$3:$E$372,2,FALSE)</f>
        <v>39080</v>
      </c>
      <c r="C10" s="5">
        <f>VLOOKUP(LNG_Import_use!$A10,Raw!$C$3:$E$372,3,FALSE)</f>
        <v>1</v>
      </c>
    </row>
    <row r="11" spans="1:3" x14ac:dyDescent="0.35">
      <c r="A11" t="s">
        <v>63</v>
      </c>
      <c r="B11" s="5">
        <f>VLOOKUP(LNG_Import_use!$A11,Raw!$C$3:$E$372,2,FALSE)</f>
        <v>122125</v>
      </c>
      <c r="C11" s="5">
        <f>VLOOKUP(LNG_Import_use!$A11,Raw!$C$3:$E$372,3,FALSE)</f>
        <v>1</v>
      </c>
    </row>
    <row r="12" spans="1:3" x14ac:dyDescent="0.35">
      <c r="A12" t="s">
        <v>64</v>
      </c>
      <c r="B12" s="5">
        <f>VLOOKUP(LNG_Import_use!$A12,Raw!$C$3:$E$372,2,FALSE)</f>
        <v>322409.99999999988</v>
      </c>
      <c r="C12" s="5">
        <f>VLOOKUP(LNG_Import_use!$A12,Raw!$C$3:$E$372,3,FALSE)</f>
        <v>1</v>
      </c>
    </row>
    <row r="13" spans="1:3" x14ac:dyDescent="0.35">
      <c r="A13" t="s">
        <v>65</v>
      </c>
      <c r="B13" s="5">
        <f>VLOOKUP(LNG_Import_use!$A13,Raw!$C$3:$E$372,2,FALSE)</f>
        <v>58978.164462623259</v>
      </c>
      <c r="C13" s="5">
        <f>VLOOKUP(LNG_Import_use!$A13,Raw!$C$3:$E$372,3,FALSE)</f>
        <v>0.79429731808736814</v>
      </c>
    </row>
    <row r="14" spans="1:3" x14ac:dyDescent="0.35">
      <c r="A14" t="s">
        <v>57</v>
      </c>
      <c r="B14" s="5">
        <f>VLOOKUP(LNG_Import_use!$A14,Raw!$C$3:$E$372,2,FALSE)</f>
        <v>425972</v>
      </c>
      <c r="C14" s="5">
        <f>VLOOKUP(LNG_Import_use!$A14,Raw!$C$3:$E$372,3,FALSE)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E17"/>
  <sheetViews>
    <sheetView tabSelected="1" workbookViewId="0">
      <selection activeCell="E10" sqref="E10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5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5" ht="15" thickTop="1" x14ac:dyDescent="0.35">
      <c r="A2" s="3" t="s">
        <v>96</v>
      </c>
      <c r="B2" s="5">
        <f>SUMIFS(Raw!$D$2:$D$371,Raw!$C$2:$C$371,"*"&amp;LNG_Sources!$A2&amp;"*")</f>
        <v>356106.01535984228</v>
      </c>
      <c r="D2" t="s">
        <v>378</v>
      </c>
      <c r="E2" s="5">
        <f>SUMIF(Table6[Edge],"*AF*",Table6[Flow (GWh)])</f>
        <v>361199.6024472586</v>
      </c>
    </row>
    <row r="3" spans="1:5" x14ac:dyDescent="0.35">
      <c r="A3" s="3" t="s">
        <v>92</v>
      </c>
      <c r="B3" s="5">
        <f>SUMIFS(Raw!$D$2:$D$371,Raw!$C$2:$C$371,"*"&amp;LNG_Sources!$A3&amp;"*")</f>
        <v>5093.5870874163083</v>
      </c>
      <c r="D3" t="s">
        <v>379</v>
      </c>
      <c r="E3" s="5">
        <f>SUMIF(Table6[Edge],"*EG*",Table6[Flow (GWh)])</f>
        <v>1536.335261238157</v>
      </c>
    </row>
    <row r="4" spans="1:5" x14ac:dyDescent="0.35">
      <c r="A4" t="s">
        <v>99</v>
      </c>
      <c r="B4" s="5">
        <f>SUMIFS(Raw!$D$2:$D$371,Raw!$C$2:$C$371,"*"&amp;LNG_Sources!$A4&amp;"*")</f>
        <v>1536.335261238157</v>
      </c>
      <c r="D4" t="s">
        <v>380</v>
      </c>
      <c r="E4" s="5">
        <f>SUMIF(Table6[Edge],"*QA*",Table6[Flow (GWh)])</f>
        <v>1044134.2853696195</v>
      </c>
    </row>
    <row r="5" spans="1:5" x14ac:dyDescent="0.35">
      <c r="A5" t="s">
        <v>95</v>
      </c>
      <c r="B5" s="5">
        <f>SUMIFS(Raw!$D$2:$D$371,Raw!$C$2:$C$371,"*"&amp;LNG_Sources!$A5&amp;"*")</f>
        <v>73275</v>
      </c>
      <c r="D5" t="s">
        <v>381</v>
      </c>
      <c r="E5" s="5">
        <f>SUMIF(Table6[Edge],"*TT*",Table6[Flow (GWh)])</f>
        <v>78639.565042213275</v>
      </c>
    </row>
    <row r="6" spans="1:5" x14ac:dyDescent="0.35">
      <c r="A6" t="s">
        <v>90</v>
      </c>
      <c r="B6" s="5">
        <f>SUMIFS(Raw!$D$2:$D$371,Raw!$C$2:$C$371,"*"&amp;LNG_Sources!$A6&amp;"*")</f>
        <v>42780.120630857768</v>
      </c>
      <c r="D6" t="s">
        <v>382</v>
      </c>
      <c r="E6" s="5">
        <f>SUMIF(Table6[Edge],"*USA*",Table6[Flow (GWh)])</f>
        <v>819373.01233299368</v>
      </c>
    </row>
    <row r="7" spans="1:5" x14ac:dyDescent="0.35">
      <c r="A7" t="s">
        <v>87</v>
      </c>
      <c r="B7" s="5">
        <f>SUMIFS(Raw!$D$2:$D$371,Raw!$C$2:$C$371,"*"&amp;LNG_Sources!$A7&amp;"*")</f>
        <v>320873.66473876173</v>
      </c>
    </row>
    <row r="8" spans="1:5" x14ac:dyDescent="0.35">
      <c r="A8" t="s">
        <v>100</v>
      </c>
      <c r="B8" s="5">
        <f>SUMIFS(Raw!$D$2:$D$371,Raw!$C$2:$C$371,"*"&amp;LNG_Sources!$A8&amp;"*")</f>
        <v>25402</v>
      </c>
    </row>
    <row r="9" spans="1:5" x14ac:dyDescent="0.35">
      <c r="A9" t="s">
        <v>105</v>
      </c>
      <c r="B9" s="5">
        <f>SUMIFS(Raw!$D$2:$D$371,Raw!$C$2:$C$371,"*"&amp;LNG_Sources!$A9&amp;"*")</f>
        <v>155831.5</v>
      </c>
    </row>
    <row r="10" spans="1:5" x14ac:dyDescent="0.35">
      <c r="A10" t="s">
        <v>85</v>
      </c>
      <c r="B10" s="5">
        <f>SUMIFS(Raw!$D$2:$D$371,Raw!$C$2:$C$371,"*"&amp;LNG_Sources!$A10&amp;"*")</f>
        <v>425972</v>
      </c>
    </row>
    <row r="11" spans="1:5" x14ac:dyDescent="0.35">
      <c r="A11" t="s">
        <v>104</v>
      </c>
      <c r="B11" s="5">
        <f>SUMIFS(Raw!$D$2:$D$371,Raw!$C$2:$C$371,"*"&amp;LNG_Sources!$A11&amp;"*")</f>
        <v>24754.98766700632</v>
      </c>
    </row>
    <row r="12" spans="1:5" x14ac:dyDescent="0.35">
      <c r="A12" t="s">
        <v>94</v>
      </c>
      <c r="B12" s="5">
        <f>SUMIFS(Raw!$D$2:$D$371,Raw!$C$2:$C$371,"*"&amp;LNG_Sources!$A12&amp;"*")</f>
        <v>53884.577375206951</v>
      </c>
    </row>
    <row r="13" spans="1:5" x14ac:dyDescent="0.35">
      <c r="A13" t="s">
        <v>98</v>
      </c>
      <c r="B13" s="5">
        <f>SUMIFS(Raw!$D$2:$D$371,Raw!$C$2:$C$371,"*"&amp;LNG_Sources!$A13&amp;"*")</f>
        <v>86623.012332993676</v>
      </c>
    </row>
    <row r="14" spans="1:5" x14ac:dyDescent="0.35">
      <c r="A14" t="s">
        <v>107</v>
      </c>
      <c r="B14" s="5">
        <f>SUMIFS(Raw!$D$2:$D$371,Raw!$C$2:$C$371,"*"&amp;LNG_Sources!$A14&amp;"*")</f>
        <v>39080</v>
      </c>
    </row>
    <row r="15" spans="1:5" x14ac:dyDescent="0.35">
      <c r="A15" t="s">
        <v>101</v>
      </c>
      <c r="B15" s="5">
        <f>SUMIFS(Raw!$D$2:$D$371,Raw!$C$2:$C$371,"*"&amp;LNG_Sources!$A15&amp;"*")</f>
        <v>122125</v>
      </c>
    </row>
    <row r="16" spans="1:5" x14ac:dyDescent="0.35">
      <c r="A16" t="s">
        <v>93</v>
      </c>
      <c r="B16" s="5">
        <f>SUMIFS(Raw!$D$2:$D$371,Raw!$C$2:$C$371,"*"&amp;LNG_Sources!$A16&amp;"*")</f>
        <v>60574</v>
      </c>
    </row>
    <row r="17" spans="1:2" x14ac:dyDescent="0.35">
      <c r="A17" t="s">
        <v>88</v>
      </c>
      <c r="B17" s="5">
        <f>SUMIFS(Raw!$D$2:$D$371,Raw!$C$2:$C$371,"*"&amp;LNG_Sources!$A17&amp;"*")</f>
        <v>510971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3"/>
  <sheetViews>
    <sheetView workbookViewId="0">
      <selection activeCell="F8" sqref="F8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 s="5">
        <f>VLOOKUP($A2,Raw!$C$3:$E$372,2,FALSE)</f>
        <v>173427.35646017679</v>
      </c>
    </row>
    <row r="3" spans="1:2" x14ac:dyDescent="0.35">
      <c r="A3" t="s">
        <v>82</v>
      </c>
      <c r="B3" s="5">
        <f>VLOOKUP($A3,Raw!$C$3:$E$372,2,FALSE)</f>
        <v>371260</v>
      </c>
    </row>
    <row r="4" spans="1:2" x14ac:dyDescent="0.35">
      <c r="A4" t="s">
        <v>219</v>
      </c>
      <c r="B4" s="5">
        <f>VLOOKUP($A4,Raw!$C$3:$E$372,2,FALSE)</f>
        <v>0</v>
      </c>
    </row>
    <row r="5" spans="1:2" x14ac:dyDescent="0.35">
      <c r="A5" t="s">
        <v>191</v>
      </c>
      <c r="B5" s="5">
        <f>VLOOKUP($A5,Raw!$C$3:$E$372,2,FALSE)</f>
        <v>0</v>
      </c>
    </row>
    <row r="6" spans="1:2" x14ac:dyDescent="0.35">
      <c r="A6" t="s">
        <v>11</v>
      </c>
      <c r="B6" s="5">
        <f>VLOOKUP($A6,Raw!$C$3:$E$372,2,FALSE)</f>
        <v>18910.09933277778</v>
      </c>
    </row>
    <row r="7" spans="1:2" x14ac:dyDescent="0.35">
      <c r="A7" t="s">
        <v>203</v>
      </c>
      <c r="B7" s="5">
        <f>VLOOKUP($A7,Raw!$C$3:$E$372,2,FALSE)</f>
        <v>0</v>
      </c>
    </row>
    <row r="8" spans="1:2" x14ac:dyDescent="0.35">
      <c r="A8" t="s">
        <v>72</v>
      </c>
      <c r="B8" s="5">
        <f>VLOOKUP($A8,Raw!$C$3:$E$372,2,FALSE)</f>
        <v>1459821.8183171791</v>
      </c>
    </row>
    <row r="9" spans="1:2" x14ac:dyDescent="0.35">
      <c r="A9" t="s">
        <v>192</v>
      </c>
      <c r="B9" s="5">
        <f>VLOOKUP($A9,Raw!$C$3:$E$372,2,FALSE)</f>
        <v>0</v>
      </c>
    </row>
    <row r="10" spans="1:2" x14ac:dyDescent="0.35">
      <c r="A10" t="s">
        <v>42</v>
      </c>
      <c r="B10" s="5">
        <f>VLOOKUP($A10,Raw!$C$3:$E$372,2,FALSE)</f>
        <v>76771.66815874548</v>
      </c>
    </row>
    <row r="11" spans="1:2" x14ac:dyDescent="0.35">
      <c r="A11" t="s">
        <v>323</v>
      </c>
      <c r="B11" s="5">
        <f>VLOOKUP($A11,Raw!$C$3:$E$372,2,FALSE)</f>
        <v>0</v>
      </c>
    </row>
    <row r="12" spans="1:2" x14ac:dyDescent="0.35">
      <c r="A12" t="s">
        <v>231</v>
      </c>
      <c r="B12" s="5">
        <f>VLOOKUP($A12,Raw!$C$3:$E$372,2,FALSE)</f>
        <v>0</v>
      </c>
    </row>
    <row r="13" spans="1:2" x14ac:dyDescent="0.35">
      <c r="A13" t="s">
        <v>241</v>
      </c>
      <c r="B13" s="5">
        <f>VLOOKUP($A13,Raw!$C$3:$E$372,2,FALSE)</f>
        <v>0</v>
      </c>
    </row>
    <row r="14" spans="1:2" x14ac:dyDescent="0.35">
      <c r="A14" t="s">
        <v>258</v>
      </c>
      <c r="B14" s="5">
        <f>VLOOKUP($A14,Raw!$C$3:$E$372,2,FALSE)</f>
        <v>0</v>
      </c>
    </row>
    <row r="15" spans="1:2" x14ac:dyDescent="0.35">
      <c r="A15" t="s">
        <v>360</v>
      </c>
      <c r="B15" s="5">
        <f>VLOOKUP($A15,Raw!$C$3:$E$372,2,FALSE)</f>
        <v>0</v>
      </c>
    </row>
    <row r="16" spans="1:2" x14ac:dyDescent="0.35">
      <c r="A16" t="s">
        <v>315</v>
      </c>
      <c r="B16" s="5">
        <f>VLOOKUP($A16,Raw!$C$3:$E$372,2,FALSE)</f>
        <v>0</v>
      </c>
    </row>
    <row r="17" spans="1:2" x14ac:dyDescent="0.35">
      <c r="A17" t="s">
        <v>303</v>
      </c>
      <c r="B17" s="5">
        <f>VLOOKUP($A17,Raw!$C$3:$E$372,2,FALSE)</f>
        <v>0</v>
      </c>
    </row>
    <row r="18" spans="1:2" x14ac:dyDescent="0.35">
      <c r="A18" t="s">
        <v>321</v>
      </c>
      <c r="B18" s="5">
        <f>VLOOKUP($A18,Raw!$C$3:$E$372,2,FALSE)</f>
        <v>0</v>
      </c>
    </row>
    <row r="19" spans="1:2" x14ac:dyDescent="0.35">
      <c r="A19" t="s">
        <v>255</v>
      </c>
      <c r="B19" s="5">
        <f>VLOOKUP($A19,Raw!$C$3:$E$372,2,FALSE)</f>
        <v>0</v>
      </c>
    </row>
    <row r="20" spans="1:2" x14ac:dyDescent="0.35">
      <c r="A20" t="s">
        <v>280</v>
      </c>
      <c r="B20" s="5">
        <f>VLOOKUP($A20,Raw!$C$3:$E$372,2,FALSE)</f>
        <v>0</v>
      </c>
    </row>
    <row r="21" spans="1:2" x14ac:dyDescent="0.35">
      <c r="A21" t="s">
        <v>257</v>
      </c>
      <c r="B21" s="5">
        <f>VLOOKUP($A21,Raw!$C$3:$E$372,2,FALSE)</f>
        <v>0</v>
      </c>
    </row>
    <row r="22" spans="1:2" x14ac:dyDescent="0.35">
      <c r="A22" t="s">
        <v>91</v>
      </c>
      <c r="B22" s="5">
        <f>VLOOKUP($A22,Raw!$C$3:$E$372,2,FALSE)</f>
        <v>1459821.8183171791</v>
      </c>
    </row>
    <row r="23" spans="1:2" x14ac:dyDescent="0.35">
      <c r="A23" t="s">
        <v>310</v>
      </c>
      <c r="B23" s="5">
        <f>VLOOKUP($A23,Raw!$C$3:$E$372,2,FALSE)</f>
        <v>0</v>
      </c>
    </row>
    <row r="24" spans="1:2" x14ac:dyDescent="0.35">
      <c r="A24" t="s">
        <v>289</v>
      </c>
      <c r="B24" s="5">
        <f>VLOOKUP($A24,Raw!$C$3:$E$372,2,FALSE)</f>
        <v>0</v>
      </c>
    </row>
    <row r="25" spans="1:2" x14ac:dyDescent="0.35">
      <c r="A25" t="s">
        <v>346</v>
      </c>
      <c r="B25" s="5">
        <f>VLOOKUP($A25,Raw!$C$3:$E$372,2,FALSE)</f>
        <v>0</v>
      </c>
    </row>
    <row r="26" spans="1:2" x14ac:dyDescent="0.35">
      <c r="A26" t="s">
        <v>262</v>
      </c>
      <c r="B26" s="5">
        <f>VLOOKUP($A26,Raw!$C$3:$E$372,2,FALSE)</f>
        <v>0</v>
      </c>
    </row>
    <row r="27" spans="1:2" x14ac:dyDescent="0.35">
      <c r="A27" t="s">
        <v>240</v>
      </c>
      <c r="B27" s="5">
        <f>VLOOKUP($A27,Raw!$C$3:$E$372,2,FALSE)</f>
        <v>0</v>
      </c>
    </row>
    <row r="28" spans="1:2" x14ac:dyDescent="0.35">
      <c r="A28" t="s">
        <v>284</v>
      </c>
      <c r="B28" s="5">
        <f>VLOOKUP($A28,Raw!$C$3:$E$372,2,FALSE)</f>
        <v>0</v>
      </c>
    </row>
    <row r="29" spans="1:2" x14ac:dyDescent="0.35">
      <c r="A29" t="s">
        <v>325</v>
      </c>
      <c r="B29" s="5">
        <f>VLOOKUP($A29,Raw!$C$3:$E$372,2,FALSE)</f>
        <v>0</v>
      </c>
    </row>
    <row r="30" spans="1:2" x14ac:dyDescent="0.35">
      <c r="A30" t="s">
        <v>52</v>
      </c>
      <c r="B30" s="5">
        <f>VLOOKUP($A30,Raw!$C$3:$E$372,2,FALSE)</f>
        <v>1117.368709865174</v>
      </c>
    </row>
    <row r="31" spans="1:2" x14ac:dyDescent="0.35">
      <c r="A31" t="s">
        <v>160</v>
      </c>
      <c r="B31" s="5">
        <f>VLOOKUP($A31,Raw!$C$3:$E$372,2,FALSE)</f>
        <v>0</v>
      </c>
    </row>
    <row r="32" spans="1:2" x14ac:dyDescent="0.35">
      <c r="A32" t="s">
        <v>173</v>
      </c>
      <c r="B32" s="5">
        <f>VLOOKUP($A32,Raw!$C$3:$E$372,2,FALSE)</f>
        <v>0</v>
      </c>
    </row>
    <row r="33" spans="1:2" x14ac:dyDescent="0.35">
      <c r="A33" t="s">
        <v>176</v>
      </c>
      <c r="B33" s="5">
        <f>VLOOKUP($A33,Raw!$C$3:$E$372,2,FALSE)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2025-03-31T17:19:30Z</dcterms:modified>
</cp:coreProperties>
</file>