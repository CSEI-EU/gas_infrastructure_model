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mar_eco_cbs_dk/Documents/Desktop/hydrogen_grid/01_data/02_output_data/02_unidirectional_results/01_paper_IAEE/02_prepared_results/"/>
    </mc:Choice>
  </mc:AlternateContent>
  <xr:revisionPtr revIDLastSave="4" documentId="8_{582356F6-DDAC-4D56-BFEF-9D697B88CFEB}" xr6:coauthVersionLast="47" xr6:coauthVersionMax="47" xr10:uidLastSave="{921217C5-CC98-4C2C-8F55-4EC54A825F0A}"/>
  <bookViews>
    <workbookView xWindow="-110" yWindow="-110" windowWidth="19420" windowHeight="10420" activeTab="3" xr2:uid="{00000000-000D-0000-FFFF-FFFF00000000}"/>
  </bookViews>
  <sheets>
    <sheet name="Raw" sheetId="1" r:id="rId1"/>
    <sheet name="Network_use_over_90%" sheetId="4" r:id="rId2"/>
    <sheet name="LNG_Import_use" sheetId="2" r:id="rId3"/>
    <sheet name="LNG_Sources" sheetId="5" r:id="rId4"/>
    <sheet name="Russian_Supply_Europe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C15" i="2"/>
  <c r="C16" i="2"/>
  <c r="C17" i="2"/>
  <c r="B2" i="2"/>
  <c r="B3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B4" i="2"/>
  <c r="B5" i="2"/>
  <c r="B6" i="2"/>
  <c r="B7" i="2"/>
  <c r="B8" i="2"/>
  <c r="B9" i="2"/>
  <c r="B10" i="2"/>
  <c r="B11" i="2"/>
  <c r="B12" i="2"/>
  <c r="B13" i="2"/>
  <c r="B14" i="2"/>
  <c r="E3" i="5"/>
  <c r="E2" i="5" l="1"/>
  <c r="E6" i="5"/>
  <c r="E5" i="5"/>
  <c r="E4" i="5"/>
</calcChain>
</file>

<file path=xl/sharedStrings.xml><?xml version="1.0" encoding="utf-8"?>
<sst xmlns="http://schemas.openxmlformats.org/spreadsheetml/2006/main" count="967" uniqueCount="441">
  <si>
    <t>Commodity</t>
  </si>
  <si>
    <t>Edge</t>
  </si>
  <si>
    <t>Share</t>
  </si>
  <si>
    <t>Methane</t>
  </si>
  <si>
    <t>Column1</t>
  </si>
  <si>
    <t>BE', 'DE'</t>
  </si>
  <si>
    <t>BE', 'LU'</t>
  </si>
  <si>
    <t>HR', 'HU'</t>
  </si>
  <si>
    <t>RS', 'HU'</t>
  </si>
  <si>
    <t>RU', 'BY'</t>
  </si>
  <si>
    <t>HU', 'SK'</t>
  </si>
  <si>
    <t>RU', 'FI'</t>
  </si>
  <si>
    <t>UK', 'NL'</t>
  </si>
  <si>
    <t>CZ', 'SK'</t>
  </si>
  <si>
    <t>DZ', 'MA'</t>
  </si>
  <si>
    <t>AL', 'IT'</t>
  </si>
  <si>
    <t>TR', 'BG'</t>
  </si>
  <si>
    <t>DE', 'AT'</t>
  </si>
  <si>
    <t>IT', 'AT'</t>
  </si>
  <si>
    <t>BG', 'MK'</t>
  </si>
  <si>
    <t>NO', 'NL'</t>
  </si>
  <si>
    <t>UK', 'IE'</t>
  </si>
  <si>
    <t>LV', 'EE'</t>
  </si>
  <si>
    <t>RO', 'HU'</t>
  </si>
  <si>
    <t>BG', 'RS'</t>
  </si>
  <si>
    <t>ES', 'FR'</t>
  </si>
  <si>
    <t>EL', 'AL'</t>
  </si>
  <si>
    <t>BG', 'RO'</t>
  </si>
  <si>
    <t>DE', 'CZ'</t>
  </si>
  <si>
    <t>RO', 'MD'</t>
  </si>
  <si>
    <t>TR', 'EL'</t>
  </si>
  <si>
    <t>IT', 'SI'</t>
  </si>
  <si>
    <t>EE', 'FI'</t>
  </si>
  <si>
    <t>NO', 'DE'</t>
  </si>
  <si>
    <t>DE', 'PL'</t>
  </si>
  <si>
    <t>CH', 'DE'</t>
  </si>
  <si>
    <t>NO', 'FR'</t>
  </si>
  <si>
    <t>NO', 'BE'</t>
  </si>
  <si>
    <t>UK', 'BE'</t>
  </si>
  <si>
    <t>RO', 'UA'</t>
  </si>
  <si>
    <t>NO', 'UK'</t>
  </si>
  <si>
    <t>DK', 'SE'</t>
  </si>
  <si>
    <t>RU', 'UA'</t>
  </si>
  <si>
    <t>TN', 'IT'</t>
  </si>
  <si>
    <t>LY', 'IT'</t>
  </si>
  <si>
    <t>DE', 'DK'</t>
  </si>
  <si>
    <t>DZ', 'TN'</t>
  </si>
  <si>
    <t>RS', 'BA'</t>
  </si>
  <si>
    <t>BE', 'NL'</t>
  </si>
  <si>
    <t>FR', 'CH'</t>
  </si>
  <si>
    <t>NL', 'DE'</t>
  </si>
  <si>
    <t>LT', 'LV'</t>
  </si>
  <si>
    <t>UA', 'MD'</t>
  </si>
  <si>
    <t>CZ', 'PL'</t>
  </si>
  <si>
    <t>EL_LNG_imp', 'EL'</t>
  </si>
  <si>
    <t>IT_LNG_imp', 'IT'</t>
  </si>
  <si>
    <t>BE_LNG_imp', 'BE'</t>
  </si>
  <si>
    <t>TR_LNG_imp', 'TR'</t>
  </si>
  <si>
    <t>ES_LNG_imp', 'ES'</t>
  </si>
  <si>
    <t>HR_LNG_imp', 'HR'</t>
  </si>
  <si>
    <t>PL_LNG_imp', 'PL'</t>
  </si>
  <si>
    <t>UK_LNG_imp', 'UK'</t>
  </si>
  <si>
    <t>LT_LNG_imp', 'LT'</t>
  </si>
  <si>
    <t>NL_LNG_imp', 'NL'</t>
  </si>
  <si>
    <t>FR_LNG_imp', 'FR'</t>
  </si>
  <si>
    <t>PT_LNG_imp', 'PT'</t>
  </si>
  <si>
    <t>IN_LNG_imp', 'IN'</t>
  </si>
  <si>
    <t>AS_LNG_imp', 'AS'</t>
  </si>
  <si>
    <t>CN_LNG_imp', 'CN'</t>
  </si>
  <si>
    <t>SA_LNG_imp', 'SA'</t>
  </si>
  <si>
    <t>JS_LNG_imp', 'JS'</t>
  </si>
  <si>
    <t>TT', 'TT_LNG_exp'</t>
  </si>
  <si>
    <t>RU', 'RU_LNG_exp'</t>
  </si>
  <si>
    <t>AF', 'AF_LNG_exp'</t>
  </si>
  <si>
    <t>EG', 'EG_LNG_exp'</t>
  </si>
  <si>
    <t>USA', 'USA_LNG_exp'</t>
  </si>
  <si>
    <t>AU', 'AU_LNG_exp'</t>
  </si>
  <si>
    <t>QA', 'QA_LNG_exp'</t>
  </si>
  <si>
    <t>IM', 'IM_LNG_exp'</t>
  </si>
  <si>
    <t>QA', 'ME'</t>
  </si>
  <si>
    <t>CR', 'CN'</t>
  </si>
  <si>
    <t>USA', 'CM'</t>
  </si>
  <si>
    <t>RU', 'CN'</t>
  </si>
  <si>
    <t>CR', 'TR'</t>
  </si>
  <si>
    <t>QA_LNG_exp', 'IN_LNG_imp'</t>
  </si>
  <si>
    <t>QA_LNG_exp', 'TR_LNG_imp'</t>
  </si>
  <si>
    <t>AU_LNG_exp', 'IN_LNG_imp'</t>
  </si>
  <si>
    <t>QA_LNG_exp', 'FR_LNG_imp'</t>
  </si>
  <si>
    <t>USA_LNG_exp', 'UK_LNG_imp'</t>
  </si>
  <si>
    <t>IM_LNG_exp', 'AS_LNG_imp'</t>
  </si>
  <si>
    <t>QA_LNG_exp', 'ES_LNG_imp'</t>
  </si>
  <si>
    <t>RU_LNG_exp', 'JS_LNG_imp'</t>
  </si>
  <si>
    <t>AF_LNG_exp', 'PT_LNG_imp'</t>
  </si>
  <si>
    <t>USA_LNG_exp', 'PL_LNG_imp'</t>
  </si>
  <si>
    <t>TT_LNG_exp', 'PT_LNG_imp'</t>
  </si>
  <si>
    <t>QA_LNG_exp', 'EL_LNG_imp'</t>
  </si>
  <si>
    <t>AF_LNG_exp', 'ES_LNG_imp'</t>
  </si>
  <si>
    <t>IM_LNG_exp', 'IN_LNG_imp'</t>
  </si>
  <si>
    <t>USA_LNG_exp', 'BE_LNG_imp'</t>
  </si>
  <si>
    <t>EG_LNG_exp', 'FR_LNG_imp'</t>
  </si>
  <si>
    <t>QA_LNG_exp', 'HR_LNG_imp'</t>
  </si>
  <si>
    <t>USA_LNG_exp', 'NL_LNG_imp'</t>
  </si>
  <si>
    <t>AU_LNG_exp', 'JS_LNG_imp'</t>
  </si>
  <si>
    <t>TT_LNG_exp', 'SA_LNG_imp'</t>
  </si>
  <si>
    <t>TT_LNG_exp', 'BE_LNG_imp'</t>
  </si>
  <si>
    <t>QA_LNG_exp', 'IT_LNG_imp'</t>
  </si>
  <si>
    <t>AU_LNG_exp', 'CN_LNG_imp'</t>
  </si>
  <si>
    <t>USA_LNG_exp', 'LT_LNG_imp'</t>
  </si>
  <si>
    <t>AL_Prod', 'AL'</t>
  </si>
  <si>
    <t>DZ_Prod', 'DZ'</t>
  </si>
  <si>
    <t>AT_Prod', 'AT'</t>
  </si>
  <si>
    <t>BE_Prod', 'BE'</t>
  </si>
  <si>
    <t>BA_Prod', 'BA'</t>
  </si>
  <si>
    <t>BG_Prod', 'BG'</t>
  </si>
  <si>
    <t>HR_Prod', 'HR'</t>
  </si>
  <si>
    <t>CZ_Prod', 'CZ'</t>
  </si>
  <si>
    <t>DK_Prod', 'DK'</t>
  </si>
  <si>
    <t>FR_Prod', 'FR'</t>
  </si>
  <si>
    <t>DE_Prod', 'DE'</t>
  </si>
  <si>
    <t>EL_Prod', 'EL'</t>
  </si>
  <si>
    <t>HU_Prod', 'HU'</t>
  </si>
  <si>
    <t>IE_Prod', 'IE'</t>
  </si>
  <si>
    <t>IT_Prod', 'IT'</t>
  </si>
  <si>
    <t>LY_Prod', 'LY'</t>
  </si>
  <si>
    <t>NL_Prod', 'NL'</t>
  </si>
  <si>
    <t>NO_Prod', 'NO'</t>
  </si>
  <si>
    <t>PL_Prod', 'PL'</t>
  </si>
  <si>
    <t>RO_Prod', 'RO'</t>
  </si>
  <si>
    <t>RU_Prod', 'RU'</t>
  </si>
  <si>
    <t>RS_Prod', 'RS'</t>
  </si>
  <si>
    <t>SK_Prod', 'SK'</t>
  </si>
  <si>
    <t>SI_Prod', 'SI'</t>
  </si>
  <si>
    <t>TN_Prod', 'TN'</t>
  </si>
  <si>
    <t>TR_Prod', 'TR'</t>
  </si>
  <si>
    <t>UK_Prod', 'UK'</t>
  </si>
  <si>
    <t>UA_Prod', 'UA'</t>
  </si>
  <si>
    <t>ES_Prod', 'ES'</t>
  </si>
  <si>
    <t>USA_Prod', 'USA'</t>
  </si>
  <si>
    <t>CM_Prod', 'CM'</t>
  </si>
  <si>
    <t>SA_Prod', 'SA'</t>
  </si>
  <si>
    <t>TT_Prod', 'TT'</t>
  </si>
  <si>
    <t>ME_Prod', 'ME'</t>
  </si>
  <si>
    <t>QA_Prod', 'QA'</t>
  </si>
  <si>
    <t>AF_Prod', 'AF'</t>
  </si>
  <si>
    <t>MA_Prod', 'MA'</t>
  </si>
  <si>
    <t>AU_Prod', 'AU'</t>
  </si>
  <si>
    <t>CN_Prod', 'CN'</t>
  </si>
  <si>
    <t>IN_Prod', 'IN'</t>
  </si>
  <si>
    <t>AS_Prod', 'AS'</t>
  </si>
  <si>
    <t>CR_Prod', 'CR'</t>
  </si>
  <si>
    <t>EG_Prod', 'EG'</t>
  </si>
  <si>
    <t>IM_Prod', 'IM'</t>
  </si>
  <si>
    <t>Flow (GWh)</t>
  </si>
  <si>
    <t>DE', 'BE'</t>
  </si>
  <si>
    <t>HR', 'SI'</t>
  </si>
  <si>
    <t>SK', 'AT'</t>
  </si>
  <si>
    <t>AT', 'IT'</t>
  </si>
  <si>
    <t>BE', 'FR'</t>
  </si>
  <si>
    <t>BG', 'TR'</t>
  </si>
  <si>
    <t>CZ', 'DE'</t>
  </si>
  <si>
    <t>FI', 'EE'</t>
  </si>
  <si>
    <t>AT', 'DE'</t>
  </si>
  <si>
    <t>BE', 'UK'</t>
  </si>
  <si>
    <t>PL', 'DE'</t>
  </si>
  <si>
    <t>NL', 'BE'</t>
  </si>
  <si>
    <t>MA', 'ES'</t>
  </si>
  <si>
    <t>AT', 'SK'</t>
  </si>
  <si>
    <t>DE', 'CH'</t>
  </si>
  <si>
    <t>MD', 'RO'</t>
  </si>
  <si>
    <t>IT', 'CH'</t>
  </si>
  <si>
    <t>EE', 'LV'</t>
  </si>
  <si>
    <t>NL', 'UK'</t>
  </si>
  <si>
    <t>SK', 'CZ'</t>
  </si>
  <si>
    <t>BY', 'PL'</t>
  </si>
  <si>
    <t>RS', 'BG'</t>
  </si>
  <si>
    <t>SK', 'HU'</t>
  </si>
  <si>
    <t>BY', 'LT'</t>
  </si>
  <si>
    <t>FR', 'BE'</t>
  </si>
  <si>
    <t>AT', 'SI'</t>
  </si>
  <si>
    <t>LT', 'RU'</t>
  </si>
  <si>
    <t>RO', 'BG'</t>
  </si>
  <si>
    <t>UA', 'RO'</t>
  </si>
  <si>
    <t>DE', 'NL'</t>
  </si>
  <si>
    <t>SI', 'HR'</t>
  </si>
  <si>
    <t>DK', 'DE'</t>
  </si>
  <si>
    <t>HU', 'RS'</t>
  </si>
  <si>
    <t>PT', 'ES'</t>
  </si>
  <si>
    <t>EL', 'BG'</t>
  </si>
  <si>
    <t>UA', 'HU'</t>
  </si>
  <si>
    <t>HU', 'RO'</t>
  </si>
  <si>
    <t>SK', 'UA'</t>
  </si>
  <si>
    <t>RU', 'DE'</t>
  </si>
  <si>
    <t>RU', 'TR'</t>
  </si>
  <si>
    <t>CH', 'FR'</t>
  </si>
  <si>
    <t>UA', 'PL'</t>
  </si>
  <si>
    <t>LV', 'LT'</t>
  </si>
  <si>
    <t>ES', 'PT'</t>
  </si>
  <si>
    <t>MD', 'UA'</t>
  </si>
  <si>
    <t>HU', 'HR'</t>
  </si>
  <si>
    <t>DZ', 'ES'</t>
  </si>
  <si>
    <t>BY', 'UA'</t>
  </si>
  <si>
    <t>CH', 'IT'</t>
  </si>
  <si>
    <t>FR', 'ES'</t>
  </si>
  <si>
    <t>RU', 'LV'</t>
  </si>
  <si>
    <t>UA', 'SK'</t>
  </si>
  <si>
    <t>SI', 'IT'</t>
  </si>
  <si>
    <t>DE', 'LU'</t>
  </si>
  <si>
    <t>LU', 'BE'</t>
  </si>
  <si>
    <t>AT', 'HU'</t>
  </si>
  <si>
    <t>BG', 'EL'</t>
  </si>
  <si>
    <t>LV', 'RU'</t>
  </si>
  <si>
    <t>DE', 'FR'</t>
  </si>
  <si>
    <t>EG_LNG_imp', 'EG'</t>
  </si>
  <si>
    <t>AF_LNG_imp', 'AF'</t>
  </si>
  <si>
    <t>ME', 'ME_LNG_exp'</t>
  </si>
  <si>
    <t>ME', 'AF'</t>
  </si>
  <si>
    <t>CM', 'USA'</t>
  </si>
  <si>
    <t>ME', 'CR'</t>
  </si>
  <si>
    <t>ME', 'QA'</t>
  </si>
  <si>
    <t>RU', 'CR'</t>
  </si>
  <si>
    <t>AS', 'CN'</t>
  </si>
  <si>
    <t>ME_LNG_exp', 'EG_LNG_imp'</t>
  </si>
  <si>
    <t>USA_LNG_exp', 'FR_LNG_imp'</t>
  </si>
  <si>
    <t>EG_LNG_exp', 'PL_LNG_imp'</t>
  </si>
  <si>
    <t>USA_LNG_exp', 'AF_LNG_imp'</t>
  </si>
  <si>
    <t>AU_LNG_exp', 'FR_LNG_imp'</t>
  </si>
  <si>
    <t>QA_LNG_exp', 'AF_LNG_imp'</t>
  </si>
  <si>
    <t>ME_LNG_exp', 'HR_LNG_imp'</t>
  </si>
  <si>
    <t>AU_LNG_exp', 'AF_LNG_imp'</t>
  </si>
  <si>
    <t>IM_LNG_exp', 'EG_LNG_imp'</t>
  </si>
  <si>
    <t>AF_LNG_exp', 'SA_LNG_imp'</t>
  </si>
  <si>
    <t>RU_LNG_exp', 'AS_LNG_imp'</t>
  </si>
  <si>
    <t>AF_LNG_exp', 'BE_LNG_imp'</t>
  </si>
  <si>
    <t>QA_LNG_exp', 'NL_LNG_imp'</t>
  </si>
  <si>
    <t>TT_LNG_exp', 'IN_LNG_imp'</t>
  </si>
  <si>
    <t>TT_LNG_exp', 'TR_LNG_imp'</t>
  </si>
  <si>
    <t>AF_LNG_exp', 'JS_LNG_imp'</t>
  </si>
  <si>
    <t>EG_LNG_exp', 'BE_LNG_imp'</t>
  </si>
  <si>
    <t>ME_LNG_exp', 'AS_LNG_imp'</t>
  </si>
  <si>
    <t>TT_LNG_exp', 'NL_LNG_imp'</t>
  </si>
  <si>
    <t>RU_LNG_exp', 'SA_LNG_imp'</t>
  </si>
  <si>
    <t>RU_LNG_exp', 'BE_LNG_imp'</t>
  </si>
  <si>
    <t>AF_LNG_exp', 'IT_LNG_imp'</t>
  </si>
  <si>
    <t>AF_LNG_exp', 'CN_LNG_imp'</t>
  </si>
  <si>
    <t>ME_LNG_exp', 'SA_LNG_imp'</t>
  </si>
  <si>
    <t>EG_LNG_exp', 'HR_LNG_imp'</t>
  </si>
  <si>
    <t>EG_LNG_exp', 'IT_LNG_imp'</t>
  </si>
  <si>
    <t>EG_LNG_exp', 'CN_LNG_imp'</t>
  </si>
  <si>
    <t>ME_LNG_exp', 'BE_LNG_imp'</t>
  </si>
  <si>
    <t>ME_LNG_exp', 'JS_LNG_imp'</t>
  </si>
  <si>
    <t>IM_LNG_exp', 'SA_LNG_imp'</t>
  </si>
  <si>
    <t>QA_LNG_exp', 'LT_LNG_imp'</t>
  </si>
  <si>
    <t>TT_LNG_exp', 'ES_LNG_imp'</t>
  </si>
  <si>
    <t>IM_LNG_exp', 'BE_LNG_imp'</t>
  </si>
  <si>
    <t>IM_LNG_exp', 'JS_LNG_imp'</t>
  </si>
  <si>
    <t>RU_LNG_exp', 'HR_LNG_imp'</t>
  </si>
  <si>
    <t>AU_LNG_exp', 'EL_LNG_imp'</t>
  </si>
  <si>
    <t>RU_LNG_exp', 'IT_LNG_imp'</t>
  </si>
  <si>
    <t>RU_LNG_exp', 'CN_LNG_imp'</t>
  </si>
  <si>
    <t>EG_LNG_exp', 'AS_LNG_imp'</t>
  </si>
  <si>
    <t>AF_LNG_exp', 'IN_LNG_imp'</t>
  </si>
  <si>
    <t>AF_LNG_exp', 'TR_LNG_imp'</t>
  </si>
  <si>
    <t>RU_LNG_exp', 'PT_LNG_imp'</t>
  </si>
  <si>
    <t>AF_LNG_exp', 'FR_LNG_imp'</t>
  </si>
  <si>
    <t>QA_LNG_exp', 'UK_LNG_imp'</t>
  </si>
  <si>
    <t>TT_LNG_exp', 'LT_LNG_imp'</t>
  </si>
  <si>
    <t>AU_LNG_exp', 'UK_LNG_imp'</t>
  </si>
  <si>
    <t>ME_LNG_exp', 'IT_LNG_imp'</t>
  </si>
  <si>
    <t>ME_LNG_exp', 'CN_LNG_imp'</t>
  </si>
  <si>
    <t>EG_LNG_exp', 'TR_LNG_imp'</t>
  </si>
  <si>
    <t>ME_LNG_exp', 'PT_LNG_imp'</t>
  </si>
  <si>
    <t>TT_LNG_exp', 'EL_LNG_imp'</t>
  </si>
  <si>
    <t>IM_LNG_exp', 'HR_LNG_imp'</t>
  </si>
  <si>
    <t>USA_LNG_exp', 'EG_LNG_imp'</t>
  </si>
  <si>
    <t>IM_LNG_exp', 'IT_LNG_imp'</t>
  </si>
  <si>
    <t>EG_LNG_exp', 'SA_LNG_imp'</t>
  </si>
  <si>
    <t>IM_LNG_exp', 'CN_LNG_imp'</t>
  </si>
  <si>
    <t>AF_LNG_exp', 'NL_LNG_imp'</t>
  </si>
  <si>
    <t>TT_LNG_exp', 'FR_LNG_imp'</t>
  </si>
  <si>
    <t>TT_LNG_exp', 'AF_LNG_imp'</t>
  </si>
  <si>
    <t>RU_LNG_exp', 'IN_LNG_imp'</t>
  </si>
  <si>
    <t>EG_LNG_exp', 'JS_LNG_imp'</t>
  </si>
  <si>
    <t>TT_LNG_exp', 'UK_LNG_imp'</t>
  </si>
  <si>
    <t>EG_LNG_exp', 'NL_LNG_imp'</t>
  </si>
  <si>
    <t>RU_LNG_exp', 'TR_LNG_imp'</t>
  </si>
  <si>
    <t>ME_LNG_exp', 'IN_LNG_imp'</t>
  </si>
  <si>
    <t>ME_LNG_exp', 'TR_LNG_imp'</t>
  </si>
  <si>
    <t>ME_LNG_exp', 'FR_LNG_imp'</t>
  </si>
  <si>
    <t>ME_LNG_exp', 'AF_LNG_imp'</t>
  </si>
  <si>
    <t>RU_LNG_exp', 'NL_LNG_imp'</t>
  </si>
  <si>
    <t>USA_LNG_exp', 'AS_LNG_imp'</t>
  </si>
  <si>
    <t>IM_LNG_exp', 'TR_LNG_imp'</t>
  </si>
  <si>
    <t>QA_LNG_exp', 'PL_LNG_imp'</t>
  </si>
  <si>
    <t>AU_LNG_exp', 'PL_LNG_imp'</t>
  </si>
  <si>
    <t>EG_LNG_exp', 'ES_LNG_imp'</t>
  </si>
  <si>
    <t>ME_LNG_exp', 'NL_LNG_imp'</t>
  </si>
  <si>
    <t>EG_LNG_exp', 'PT_LNG_imp'</t>
  </si>
  <si>
    <t>AF_LNG_exp', 'LT_LNG_imp'</t>
  </si>
  <si>
    <t>IM_LNG_exp', 'NL_LNG_imp'</t>
  </si>
  <si>
    <t>USA_LNG_exp', 'SA_LNG_imp'</t>
  </si>
  <si>
    <t>TT_LNG_exp', 'PL_LNG_imp'</t>
  </si>
  <si>
    <t>AF_LNG_exp', 'EL_LNG_imp'</t>
  </si>
  <si>
    <t>EG_LNG_exp', 'LT_LNG_imp'</t>
  </si>
  <si>
    <t>RU_LNG_exp', 'ES_LNG_imp'</t>
  </si>
  <si>
    <t>AU_LNG_exp', 'BE_LNG_imp'</t>
  </si>
  <si>
    <t>USA_LNG_exp', 'JS_LNG_imp'</t>
  </si>
  <si>
    <t>EG_LNG_exp', 'IN_LNG_imp'</t>
  </si>
  <si>
    <t>ME_LNG_exp', 'ES_LNG_imp'</t>
  </si>
  <si>
    <t>AF_LNG_exp', 'UK_LNG_imp'</t>
  </si>
  <si>
    <t>EG_LNG_exp', 'AF_LNG_imp'</t>
  </si>
  <si>
    <t>RU_LNG_exp', 'LT_LNG_imp'</t>
  </si>
  <si>
    <t>QA_LNG_exp', 'EG_LNG_imp'</t>
  </si>
  <si>
    <t>IM_LNG_exp', 'ES_LNG_imp'</t>
  </si>
  <si>
    <t>AU_LNG_exp', 'EG_LNG_imp'</t>
  </si>
  <si>
    <t>IM_LNG_exp', 'PT_LNG_imp'</t>
  </si>
  <si>
    <t>RU_LNG_exp', 'EL_LNG_imp'</t>
  </si>
  <si>
    <t>USA_LNG_exp', 'HR_LNG_imp'</t>
  </si>
  <si>
    <t>AU_LNG_exp', 'HR_LNG_imp'</t>
  </si>
  <si>
    <t>USA_LNG_exp', 'IT_LNG_imp'</t>
  </si>
  <si>
    <t>USA_LNG_exp', 'CN_LNG_imp'</t>
  </si>
  <si>
    <t>ME_LNG_exp', 'LT_LNG_imp'</t>
  </si>
  <si>
    <t>RU_LNG_exp', 'FR_LNG_imp'</t>
  </si>
  <si>
    <t>AU_LNG_exp', 'IT_LNG_imp'</t>
  </si>
  <si>
    <t>RU_LNG_exp', 'AF_LNG_imp'</t>
  </si>
  <si>
    <t>ME_LNG_exp', 'EL_LNG_imp'</t>
  </si>
  <si>
    <t>RU_LNG_exp', 'UK_LNG_imp'</t>
  </si>
  <si>
    <t>TT_LNG_exp', 'EG_LNG_imp'</t>
  </si>
  <si>
    <t>IM_LNG_exp', 'LT_LNG_imp'</t>
  </si>
  <si>
    <t>IM_LNG_exp', 'EL_LNG_imp'</t>
  </si>
  <si>
    <t>ME_LNG_exp', 'UK_LNG_imp'</t>
  </si>
  <si>
    <t>QA_LNG_exp', 'AS_LNG_imp'</t>
  </si>
  <si>
    <t>AU_LNG_exp', 'AS_LNG_imp'</t>
  </si>
  <si>
    <t>IM_LNG_exp', 'FR_LNG_imp'</t>
  </si>
  <si>
    <t>IM_LNG_exp', 'AF_LNG_imp'</t>
  </si>
  <si>
    <t>AF_LNG_exp', 'PL_LNG_imp'</t>
  </si>
  <si>
    <t>IM_LNG_exp', 'UK_LNG_imp'</t>
  </si>
  <si>
    <t>USA_LNG_exp', 'IN_LNG_imp'</t>
  </si>
  <si>
    <t>USA_LNG_exp', 'TR_LNG_imp'</t>
  </si>
  <si>
    <t>AU_LNG_exp', 'TR_LNG_imp'</t>
  </si>
  <si>
    <t>TT_LNG_exp', 'AS_LNG_imp'</t>
  </si>
  <si>
    <t>QA_LNG_exp', 'SA_LNG_imp'</t>
  </si>
  <si>
    <t>AU_LNG_exp', 'SA_LNG_imp'</t>
  </si>
  <si>
    <t>QA_LNG_exp', 'BE_LNG_imp'</t>
  </si>
  <si>
    <t>QA_LNG_exp', 'JS_LNG_imp'</t>
  </si>
  <si>
    <t>AU_LNG_exp', 'NL_LNG_imp'</t>
  </si>
  <si>
    <t>EG_LNG_exp', 'EL_LNG_imp'</t>
  </si>
  <si>
    <t>RU_LNG_exp', 'PL_LNG_imp'</t>
  </si>
  <si>
    <t>EG_LNG_exp', 'UK_LNG_imp'</t>
  </si>
  <si>
    <t>ME_LNG_exp', 'PL_LNG_imp'</t>
  </si>
  <si>
    <t>AF_LNG_exp', 'EG_LNG_imp'</t>
  </si>
  <si>
    <t>TT_LNG_exp', 'JS_LNG_imp'</t>
  </si>
  <si>
    <t>IM_LNG_exp', 'PL_LNG_imp'</t>
  </si>
  <si>
    <t>AF_LNG_exp', 'HR_LNG_imp'</t>
  </si>
  <si>
    <t>USA_LNG_exp', 'ES_LNG_imp'</t>
  </si>
  <si>
    <t>QA_LNG_exp', 'CN_LNG_imp'</t>
  </si>
  <si>
    <t>AU_LNG_exp', 'ES_LNG_imp'</t>
  </si>
  <si>
    <t>USA_LNG_exp', 'PT_LNG_imp'</t>
  </si>
  <si>
    <t>QA_LNG_exp', 'PT_LNG_imp'</t>
  </si>
  <si>
    <t>AU_LNG_exp', 'PT_LNG_imp'</t>
  </si>
  <si>
    <t>TT_LNG_exp', 'HR_LNG_imp'</t>
  </si>
  <si>
    <t>RU_LNG_exp', 'EG_LNG_imp'</t>
  </si>
  <si>
    <t>TT_LNG_exp', 'IT_LNG_imp'</t>
  </si>
  <si>
    <t>TT_LNG_exp', 'CN_LNG_imp'</t>
  </si>
  <si>
    <t>AU_LNG_exp', 'LT_LNG_imp'</t>
  </si>
  <si>
    <t>AF_LNG_exp', 'AS_LNG_imp'</t>
  </si>
  <si>
    <t>USA_LNG_exp', 'EL_LNG_imp'</t>
  </si>
  <si>
    <t>BY_Prod', 'BY'</t>
  </si>
  <si>
    <t>EE_Prod', 'EE'</t>
  </si>
  <si>
    <t>FI_Prod', 'FI'</t>
  </si>
  <si>
    <t>LV_Prod', 'LV'</t>
  </si>
  <si>
    <t>LT_Prod', 'LT'</t>
  </si>
  <si>
    <t>LU_Prod', 'LU'</t>
  </si>
  <si>
    <t>MD_Prod', 'MD'</t>
  </si>
  <si>
    <t>MK_Prod', 'MK'</t>
  </si>
  <si>
    <t>PT_Prod', 'PT'</t>
  </si>
  <si>
    <t>CH_Prod', 'CH'</t>
  </si>
  <si>
    <t>JS_Prod', 'JS'</t>
  </si>
  <si>
    <t>Region</t>
  </si>
  <si>
    <t>AF</t>
  </si>
  <si>
    <t>EG</t>
  </si>
  <si>
    <t>QA</t>
  </si>
  <si>
    <t>TT</t>
  </si>
  <si>
    <t>USA</t>
  </si>
  <si>
    <t>QA_LNG_exp', 'LV_LNG_imp'</t>
  </si>
  <si>
    <t>QA_LNG_exp', 'FI_LNG_imp'</t>
  </si>
  <si>
    <t>NO', 'DK'</t>
  </si>
  <si>
    <t>LT', 'PL'</t>
  </si>
  <si>
    <t>IE_LNG_imp', 'IE'</t>
  </si>
  <si>
    <t>DE_LNG_imp', 'DE'</t>
  </si>
  <si>
    <t>DK', 'PL'</t>
  </si>
  <si>
    <t>Flow (GWh</t>
  </si>
  <si>
    <t>PL', 'SK'</t>
  </si>
  <si>
    <t>LV_LNG_imp', 'LV'</t>
  </si>
  <si>
    <t>FI_LNG_imp', 'FI'</t>
  </si>
  <si>
    <t>EE_LNG_imp', 'EE'</t>
  </si>
  <si>
    <t>USA_LNG_exp', 'DE_LNG_imp'</t>
  </si>
  <si>
    <t>USA_LNG_exp', 'IE_LNG_imp'</t>
  </si>
  <si>
    <t>USA_LNG_exp', 'FI_LNG_imp'</t>
  </si>
  <si>
    <t>USA_LNG_exp', 'LV_LNG_imp'</t>
  </si>
  <si>
    <t>USA_LNG_exp', 'EE_LNG_imp'</t>
  </si>
  <si>
    <t>FR', 'DE'</t>
  </si>
  <si>
    <t>SK', 'PL'</t>
  </si>
  <si>
    <t>PL', 'DK'</t>
  </si>
  <si>
    <t>IM_LNG_exp', 'IE_LNG_imp'</t>
  </si>
  <si>
    <t>AU_LNG_exp', 'IE_LNG_imp'</t>
  </si>
  <si>
    <t>EG_LNG_exp', 'EE_LNG_imp'</t>
  </si>
  <si>
    <t>ME_LNG_exp', 'LV_LNG_imp'</t>
  </si>
  <si>
    <t>ME_LNG_exp', 'FI_LNG_imp'</t>
  </si>
  <si>
    <t>RU_LNG_exp', 'EE_LNG_imp'</t>
  </si>
  <si>
    <t>TT_LNG_exp', 'FI_LNG_imp'</t>
  </si>
  <si>
    <t>ME_LNG_exp', 'DE_LNG_imp'</t>
  </si>
  <si>
    <t>AU_LNG_exp', 'EE_LNG_imp'</t>
  </si>
  <si>
    <t>TT_LNG_exp', 'DE_LNG_imp'</t>
  </si>
  <si>
    <t>AF_LNG_exp', 'IE_LNG_imp'</t>
  </si>
  <si>
    <t>RU_LNG_exp', 'LV_LNG_imp'</t>
  </si>
  <si>
    <t>RU_LNG_exp', 'FI_LNG_imp'</t>
  </si>
  <si>
    <t>QA_LNG_exp', 'DE_LNG_imp'</t>
  </si>
  <si>
    <t>AF_LNG_exp', 'EE_LNG_imp'</t>
  </si>
  <si>
    <t>TT_LNG_exp', 'IE_LNG_imp'</t>
  </si>
  <si>
    <t>IM_LNG_exp', 'EE_LNG_imp'</t>
  </si>
  <si>
    <t>EG_LNG_exp', 'LV_LNG_imp'</t>
  </si>
  <si>
    <t>EG_LNG_exp', 'FI_LNG_imp'</t>
  </si>
  <si>
    <t>EG_LNG_exp', 'DE_LNG_imp'</t>
  </si>
  <si>
    <t>IM_LNG_exp', 'FI_LNG_imp'</t>
  </si>
  <si>
    <t>IM_LNG_exp', 'LV_LNG_imp'</t>
  </si>
  <si>
    <t>QA_LNG_exp', 'IE_LNG_imp'</t>
  </si>
  <si>
    <t>AU_LNG_exp', 'LV_LNG_imp'</t>
  </si>
  <si>
    <t>AU_LNG_exp', 'FI_LNG_imp'</t>
  </si>
  <si>
    <t>RU_LNG_exp', 'DE_LNG_imp'</t>
  </si>
  <si>
    <t>AU_LNG_exp', 'DE_LNG_imp'</t>
  </si>
  <si>
    <t>QA_LNG_exp', 'EE_LNG_imp'</t>
  </si>
  <si>
    <t>AF_LNG_exp', 'LV_LNG_imp'</t>
  </si>
  <si>
    <t>AF_LNG_exp', 'FI_LNG_imp'</t>
  </si>
  <si>
    <t>ME_LNG_exp', 'IE_LNG_imp'</t>
  </si>
  <si>
    <t>AF_LNG_exp', 'DE_LNG_imp'</t>
  </si>
  <si>
    <t>RU_LNG_exp', 'IE_LNG_imp'</t>
  </si>
  <si>
    <t>ME_LNG_exp', 'EE_LNG_imp'</t>
  </si>
  <si>
    <t>TT_LNG_exp', 'EE_LNG_imp'</t>
  </si>
  <si>
    <t>IM_LNG_exp', 'DE_LNG_imp'</t>
  </si>
  <si>
    <t>TT_LNG_exp', 'LV_LNG_imp'</t>
  </si>
  <si>
    <t>EG_LNG_exp', 'IE_LNG_imp'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</si>
</sst>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0" fontId="0" fillId="0" borderId="0" xfId="0" quotePrefix="1"/>
    <xf numFmtId="0" fontId="3" fillId="0" borderId="1" xfId="0" applyFont="1" applyBorder="1" applyAlignment="1">
      <alignment horizontal="center" vertical="top"/>
    </xf>
    <xf numFmtId="4" fontId="0" fillId="0" borderId="0" xfId="0" applyNumberFormat="1"/>
    <xf numFmtId="0" fontId="2" fillId="2" borderId="3" xfId="0" applyFont="1" applyFill="1" applyBorder="1"/>
  </cellXfs>
  <cellStyles count="1">
    <cellStyle name="Normal" xfId="0" builtinId="0"/>
  </cellStyles>
  <dxfs count="10">
    <dxf>
      <numFmt numFmtId="4" formatCode="#,##0.0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C1A0C6-C4C4-4C45-B104-B3FE75F0BAEF}" name="Table1" displayName="Table1" ref="A1:E429" totalsRowShown="0" headerRowDxfId="9">
  <autoFilter ref="A1:E429" xr:uid="{F8C1A0C6-C4C4-4C45-B104-B3FE75F0BAEF}">
    <filterColumn colId="2">
      <filters>
        <filter val="AF', 'AF_LNG_exp'"/>
        <filter val="AF_LNG_exp', 'AS_LNG_imp'"/>
        <filter val="AF_LNG_exp', 'BE_LNG_imp'"/>
        <filter val="AF_LNG_exp', 'CN_LNG_imp'"/>
        <filter val="AF_LNG_exp', 'DE_LNG_imp'"/>
        <filter val="AF_LNG_exp', 'EE_LNG_imp'"/>
        <filter val="AF_LNG_exp', 'EG_LNG_imp'"/>
        <filter val="AF_LNG_exp', 'EL_LNG_imp'"/>
        <filter val="AF_LNG_exp', 'ES_LNG_imp'"/>
        <filter val="AF_LNG_exp', 'FI_LNG_imp'"/>
        <filter val="AF_LNG_exp', 'FR_LNG_imp'"/>
        <filter val="AF_LNG_exp', 'HR_LNG_imp'"/>
        <filter val="AF_LNG_exp', 'IE_LNG_imp'"/>
        <filter val="AF_LNG_exp', 'IN_LNG_imp'"/>
        <filter val="AF_LNG_exp', 'IT_LNG_imp'"/>
        <filter val="AF_LNG_exp', 'JS_LNG_imp'"/>
        <filter val="AF_LNG_exp', 'LT_LNG_imp'"/>
        <filter val="AF_LNG_exp', 'LV_LNG_imp'"/>
        <filter val="AF_LNG_exp', 'NL_LNG_imp'"/>
        <filter val="AF_LNG_exp', 'PL_LNG_imp'"/>
        <filter val="AF_LNG_exp', 'PT_LNG_imp'"/>
        <filter val="AF_LNG_exp', 'SA_LNG_imp'"/>
        <filter val="AF_LNG_exp', 'TR_LNG_imp'"/>
        <filter val="AF_LNG_exp', 'UK_LNG_imp'"/>
        <filter val="AU', 'AU_LNG_exp'"/>
        <filter val="AU_LNG_exp', 'AF_LNG_imp'"/>
        <filter val="AU_LNG_exp', 'AS_LNG_imp'"/>
        <filter val="AU_LNG_exp', 'BE_LNG_imp'"/>
        <filter val="AU_LNG_exp', 'CN_LNG_imp'"/>
        <filter val="AU_LNG_exp', 'DE_LNG_imp'"/>
        <filter val="AU_LNG_exp', 'EE_LNG_imp'"/>
        <filter val="AU_LNG_exp', 'EG_LNG_imp'"/>
        <filter val="AU_LNG_exp', 'EL_LNG_imp'"/>
        <filter val="AU_LNG_exp', 'ES_LNG_imp'"/>
        <filter val="AU_LNG_exp', 'FI_LNG_imp'"/>
        <filter val="AU_LNG_exp', 'FR_LNG_imp'"/>
        <filter val="AU_LNG_exp', 'HR_LNG_imp'"/>
        <filter val="AU_LNG_exp', 'IE_LNG_imp'"/>
        <filter val="AU_LNG_exp', 'IN_LNG_imp'"/>
        <filter val="AU_LNG_exp', 'IT_LNG_imp'"/>
        <filter val="AU_LNG_exp', 'JS_LNG_imp'"/>
        <filter val="AU_LNG_exp', 'LT_LNG_imp'"/>
        <filter val="AU_LNG_exp', 'LV_LNG_imp'"/>
        <filter val="AU_LNG_exp', 'NL_LNG_imp'"/>
        <filter val="AU_LNG_exp', 'PL_LNG_imp'"/>
        <filter val="AU_LNG_exp', 'PT_LNG_imp'"/>
        <filter val="AU_LNG_exp', 'SA_LNG_imp'"/>
        <filter val="AU_LNG_exp', 'TR_LNG_imp'"/>
        <filter val="AU_LNG_exp', 'UK_LNG_imp'"/>
        <filter val="EG', 'EG_LNG_exp'"/>
        <filter val="EG_LNG_exp', 'AF_LNG_imp'"/>
        <filter val="EG_LNG_exp', 'AS_LNG_imp'"/>
        <filter val="EG_LNG_exp', 'BE_LNG_imp'"/>
        <filter val="EG_LNG_exp', 'CN_LNG_imp'"/>
        <filter val="EG_LNG_exp', 'DE_LNG_imp'"/>
        <filter val="EG_LNG_exp', 'EE_LNG_imp'"/>
        <filter val="EG_LNG_exp', 'EL_LNG_imp'"/>
        <filter val="EG_LNG_exp', 'ES_LNG_imp'"/>
        <filter val="EG_LNG_exp', 'FI_LNG_imp'"/>
        <filter val="EG_LNG_exp', 'FR_LNG_imp'"/>
        <filter val="EG_LNG_exp', 'HR_LNG_imp'"/>
        <filter val="EG_LNG_exp', 'IE_LNG_imp'"/>
        <filter val="EG_LNG_exp', 'IN_LNG_imp'"/>
        <filter val="EG_LNG_exp', 'IT_LNG_imp'"/>
        <filter val="EG_LNG_exp', 'JS_LNG_imp'"/>
        <filter val="EG_LNG_exp', 'LT_LNG_imp'"/>
        <filter val="EG_LNG_exp', 'LV_LNG_imp'"/>
        <filter val="EG_LNG_exp', 'NL_LNG_imp'"/>
        <filter val="EG_LNG_exp', 'PL_LNG_imp'"/>
        <filter val="EG_LNG_exp', 'PT_LNG_imp'"/>
        <filter val="EG_LNG_exp', 'SA_LNG_imp'"/>
        <filter val="EG_LNG_exp', 'TR_LNG_imp'"/>
        <filter val="EG_LNG_exp', 'UK_LNG_imp'"/>
        <filter val="IM', 'IM_LNG_exp'"/>
        <filter val="IM_LNG_exp', 'AF_LNG_imp'"/>
        <filter val="IM_LNG_exp', 'AS_LNG_imp'"/>
        <filter val="IM_LNG_exp', 'BE_LNG_imp'"/>
        <filter val="IM_LNG_exp', 'CN_LNG_imp'"/>
        <filter val="IM_LNG_exp', 'DE_LNG_imp'"/>
        <filter val="IM_LNG_exp', 'EE_LNG_imp'"/>
        <filter val="IM_LNG_exp', 'EG_LNG_imp'"/>
        <filter val="IM_LNG_exp', 'EL_LNG_imp'"/>
        <filter val="IM_LNG_exp', 'ES_LNG_imp'"/>
        <filter val="IM_LNG_exp', 'FI_LNG_imp'"/>
        <filter val="IM_LNG_exp', 'FR_LNG_imp'"/>
        <filter val="IM_LNG_exp', 'HR_LNG_imp'"/>
        <filter val="IM_LNG_exp', 'IE_LNG_imp'"/>
        <filter val="IM_LNG_exp', 'IN_LNG_imp'"/>
        <filter val="IM_LNG_exp', 'IT_LNG_imp'"/>
        <filter val="IM_LNG_exp', 'JS_LNG_imp'"/>
        <filter val="IM_LNG_exp', 'LT_LNG_imp'"/>
        <filter val="IM_LNG_exp', 'LV_LNG_imp'"/>
        <filter val="IM_LNG_exp', 'NL_LNG_imp'"/>
        <filter val="IM_LNG_exp', 'PL_LNG_imp'"/>
        <filter val="IM_LNG_exp', 'PT_LNG_imp'"/>
        <filter val="IM_LNG_exp', 'SA_LNG_imp'"/>
        <filter val="IM_LNG_exp', 'TR_LNG_imp'"/>
        <filter val="IM_LNG_exp', 'UK_LNG_imp'"/>
        <filter val="ME', 'ME_LNG_exp'"/>
        <filter val="ME_LNG_exp', 'AF_LNG_imp'"/>
        <filter val="ME_LNG_exp', 'AS_LNG_imp'"/>
        <filter val="ME_LNG_exp', 'BE_LNG_imp'"/>
        <filter val="ME_LNG_exp', 'CN_LNG_imp'"/>
        <filter val="ME_LNG_exp', 'DE_LNG_imp'"/>
        <filter val="ME_LNG_exp', 'EE_LNG_imp'"/>
        <filter val="ME_LNG_exp', 'EG_LNG_imp'"/>
        <filter val="ME_LNG_exp', 'EL_LNG_imp'"/>
        <filter val="ME_LNG_exp', 'ES_LNG_imp'"/>
        <filter val="ME_LNG_exp', 'FI_LNG_imp'"/>
        <filter val="ME_LNG_exp', 'FR_LNG_imp'"/>
        <filter val="ME_LNG_exp', 'HR_LNG_imp'"/>
        <filter val="ME_LNG_exp', 'IE_LNG_imp'"/>
        <filter val="ME_LNG_exp', 'IN_LNG_imp'"/>
        <filter val="ME_LNG_exp', 'IT_LNG_imp'"/>
        <filter val="ME_LNG_exp', 'JS_LNG_imp'"/>
        <filter val="ME_LNG_exp', 'LT_LNG_imp'"/>
        <filter val="ME_LNG_exp', 'LV_LNG_imp'"/>
        <filter val="ME_LNG_exp', 'NL_LNG_imp'"/>
        <filter val="ME_LNG_exp', 'PL_LNG_imp'"/>
        <filter val="ME_LNG_exp', 'PT_LNG_imp'"/>
        <filter val="ME_LNG_exp', 'SA_LNG_imp'"/>
        <filter val="ME_LNG_exp', 'TR_LNG_imp'"/>
        <filter val="ME_LNG_exp', 'UK_LNG_imp'"/>
        <filter val="QA', 'QA_LNG_exp'"/>
        <filter val="QA_LNG_exp', 'AF_LNG_imp'"/>
        <filter val="QA_LNG_exp', 'AS_LNG_imp'"/>
        <filter val="QA_LNG_exp', 'BE_LNG_imp'"/>
        <filter val="QA_LNG_exp', 'CN_LNG_imp'"/>
        <filter val="QA_LNG_exp', 'DE_LNG_imp'"/>
        <filter val="QA_LNG_exp', 'EE_LNG_imp'"/>
        <filter val="QA_LNG_exp', 'EG_LNG_imp'"/>
        <filter val="QA_LNG_exp', 'EL_LNG_imp'"/>
        <filter val="QA_LNG_exp', 'ES_LNG_imp'"/>
        <filter val="QA_LNG_exp', 'FI_LNG_imp'"/>
        <filter val="QA_LNG_exp', 'FR_LNG_imp'"/>
        <filter val="QA_LNG_exp', 'HR_LNG_imp'"/>
        <filter val="QA_LNG_exp', 'IE_LNG_imp'"/>
        <filter val="QA_LNG_exp', 'IN_LNG_imp'"/>
        <filter val="QA_LNG_exp', 'IT_LNG_imp'"/>
        <filter val="QA_LNG_exp', 'JS_LNG_imp'"/>
        <filter val="QA_LNG_exp', 'LT_LNG_imp'"/>
        <filter val="QA_LNG_exp', 'LV_LNG_imp'"/>
        <filter val="QA_LNG_exp', 'NL_LNG_imp'"/>
        <filter val="QA_LNG_exp', 'PL_LNG_imp'"/>
        <filter val="QA_LNG_exp', 'PT_LNG_imp'"/>
        <filter val="QA_LNG_exp', 'SA_LNG_imp'"/>
        <filter val="QA_LNG_exp', 'TR_LNG_imp'"/>
        <filter val="QA_LNG_exp', 'UK_LNG_imp'"/>
        <filter val="RU', 'RU_LNG_exp'"/>
        <filter val="RU_LNG_exp', 'AF_LNG_imp'"/>
        <filter val="RU_LNG_exp', 'AS_LNG_imp'"/>
        <filter val="RU_LNG_exp', 'BE_LNG_imp'"/>
        <filter val="RU_LNG_exp', 'CN_LNG_imp'"/>
        <filter val="RU_LNG_exp', 'DE_LNG_imp'"/>
        <filter val="RU_LNG_exp', 'EE_LNG_imp'"/>
        <filter val="RU_LNG_exp', 'EG_LNG_imp'"/>
        <filter val="RU_LNG_exp', 'EL_LNG_imp'"/>
        <filter val="RU_LNG_exp', 'ES_LNG_imp'"/>
        <filter val="RU_LNG_exp', 'FI_LNG_imp'"/>
        <filter val="RU_LNG_exp', 'FR_LNG_imp'"/>
        <filter val="RU_LNG_exp', 'HR_LNG_imp'"/>
        <filter val="RU_LNG_exp', 'IE_LNG_imp'"/>
        <filter val="RU_LNG_exp', 'IN_LNG_imp'"/>
        <filter val="RU_LNG_exp', 'IT_LNG_imp'"/>
        <filter val="RU_LNG_exp', 'JS_LNG_imp'"/>
        <filter val="RU_LNG_exp', 'LT_LNG_imp'"/>
        <filter val="RU_LNG_exp', 'LV_LNG_imp'"/>
        <filter val="RU_LNG_exp', 'NL_LNG_imp'"/>
        <filter val="RU_LNG_exp', 'PL_LNG_imp'"/>
        <filter val="RU_LNG_exp', 'PT_LNG_imp'"/>
        <filter val="RU_LNG_exp', 'SA_LNG_imp'"/>
        <filter val="RU_LNG_exp', 'TR_LNG_imp'"/>
        <filter val="RU_LNG_exp', 'UK_LNG_imp'"/>
        <filter val="TT', 'TT_LNG_exp'"/>
        <filter val="TT_LNG_exp', 'AF_LNG_imp'"/>
        <filter val="TT_LNG_exp', 'AS_LNG_imp'"/>
        <filter val="TT_LNG_exp', 'BE_LNG_imp'"/>
        <filter val="TT_LNG_exp', 'CN_LNG_imp'"/>
        <filter val="TT_LNG_exp', 'DE_LNG_imp'"/>
        <filter val="TT_LNG_exp', 'EE_LNG_imp'"/>
        <filter val="TT_LNG_exp', 'EG_LNG_imp'"/>
        <filter val="TT_LNG_exp', 'EL_LNG_imp'"/>
        <filter val="TT_LNG_exp', 'ES_LNG_imp'"/>
        <filter val="TT_LNG_exp', 'FI_LNG_imp'"/>
        <filter val="TT_LNG_exp', 'FR_LNG_imp'"/>
        <filter val="TT_LNG_exp', 'HR_LNG_imp'"/>
        <filter val="TT_LNG_exp', 'IE_LNG_imp'"/>
        <filter val="TT_LNG_exp', 'IN_LNG_imp'"/>
        <filter val="TT_LNG_exp', 'IT_LNG_imp'"/>
        <filter val="TT_LNG_exp', 'JS_LNG_imp'"/>
        <filter val="TT_LNG_exp', 'LT_LNG_imp'"/>
        <filter val="TT_LNG_exp', 'LV_LNG_imp'"/>
        <filter val="TT_LNG_exp', 'NL_LNG_imp'"/>
        <filter val="TT_LNG_exp', 'PL_LNG_imp'"/>
        <filter val="TT_LNG_exp', 'PT_LNG_imp'"/>
        <filter val="TT_LNG_exp', 'SA_LNG_imp'"/>
        <filter val="TT_LNG_exp', 'TR_LNG_imp'"/>
        <filter val="TT_LNG_exp', 'UK_LNG_imp'"/>
        <filter val="USA', 'USA_LNG_exp'"/>
        <filter val="USA_LNG_exp', 'AF_LNG_imp'"/>
        <filter val="USA_LNG_exp', 'AS_LNG_imp'"/>
        <filter val="USA_LNG_exp', 'BE_LNG_imp'"/>
        <filter val="USA_LNG_exp', 'CN_LNG_imp'"/>
        <filter val="USA_LNG_exp', 'DE_LNG_imp'"/>
        <filter val="USA_LNG_exp', 'EE_LNG_imp'"/>
        <filter val="USA_LNG_exp', 'EG_LNG_imp'"/>
        <filter val="USA_LNG_exp', 'EL_LNG_imp'"/>
        <filter val="USA_LNG_exp', 'ES_LNG_imp'"/>
        <filter val="USA_LNG_exp', 'FI_LNG_imp'"/>
        <filter val="USA_LNG_exp', 'FR_LNG_imp'"/>
        <filter val="USA_LNG_exp', 'HR_LNG_imp'"/>
        <filter val="USA_LNG_exp', 'IE_LNG_imp'"/>
        <filter val="USA_LNG_exp', 'IN_LNG_imp'"/>
        <filter val="USA_LNG_exp', 'IT_LNG_imp'"/>
        <filter val="USA_LNG_exp', 'JS_LNG_imp'"/>
        <filter val="USA_LNG_exp', 'LT_LNG_imp'"/>
        <filter val="USA_LNG_exp', 'LV_LNG_imp'"/>
        <filter val="USA_LNG_exp', 'NL_LNG_imp'"/>
        <filter val="USA_LNG_exp', 'PL_LNG_imp'"/>
        <filter val="USA_LNG_exp', 'PT_LNG_imp'"/>
        <filter val="USA_LNG_exp', 'SA_LNG_imp'"/>
        <filter val="USA_LNG_exp', 'TR_LNG_imp'"/>
        <filter val="USA_LNG_exp', 'UK_LNG_imp'"/>
      </filters>
    </filterColumn>
  </autoFilter>
  <sortState xmlns:xlrd2="http://schemas.microsoft.com/office/spreadsheetml/2017/richdata2" ref="A2:E429">
    <sortCondition descending="1" ref="E1:E429"/>
  </sortState>
  <tableColumns count="5">
    <tableColumn id="1" xr3:uid="{EDC06B4A-496B-4E5E-ADDB-C8366DA2F7CA}" name="Column1" dataDxfId="8"/>
    <tableColumn id="2" xr3:uid="{CCDC4B9D-ABBF-404F-B073-562B735615DA}" name="Commodity"/>
    <tableColumn id="3" xr3:uid="{AA66E3A0-18A3-4298-A944-9648AEFDC782}" name="Edge"/>
    <tableColumn id="4" xr3:uid="{2B54A453-DE4A-459E-9A0B-D43757EE9861}" name="Flow (GWh"/>
    <tableColumn id="5" xr3:uid="{119519B3-6352-4397-AAC6-AEDCCEBC723C}" name="Shar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39A84A-377F-4921-AB1E-F9821BDD1C2B}" name="Table5" displayName="Table5" ref="A1:C20" totalsRowShown="0">
  <autoFilter ref="A1:C20" xr:uid="{6D39A84A-377F-4921-AB1E-F9821BDD1C2B}"/>
  <sortState xmlns:xlrd2="http://schemas.microsoft.com/office/spreadsheetml/2017/richdata2" ref="A2:C20">
    <sortCondition descending="1" ref="C1:C20"/>
  </sortState>
  <tableColumns count="3">
    <tableColumn id="1" xr3:uid="{0E30B145-4D3F-4FAD-BD41-21ABAB04B6EC}" name="Edge"/>
    <tableColumn id="2" xr3:uid="{757D861D-FB27-46FF-B0C9-F12A4872D22A}" name="Flow (GWh)" dataDxfId="7"/>
    <tableColumn id="3" xr3:uid="{B42BA0CA-AAF3-4240-B01E-874DB68E1F64}" name="Shar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17075B-B51B-429B-8BA8-43E190BF8519}" name="Table2" displayName="Table2" ref="A1:C17" totalsRowShown="0">
  <autoFilter ref="A1:C17" xr:uid="{3417075B-B51B-429B-8BA8-43E190BF8519}"/>
  <tableColumns count="3">
    <tableColumn id="1" xr3:uid="{A239A1DC-0210-4956-ABE7-EF6CDA5A30E2}" name="Edge"/>
    <tableColumn id="2" xr3:uid="{322E7DE0-B95E-46AC-9403-C71D0E63B73A}" name="Flow (GWh)" dataDxfId="6">
      <calculatedColumnFormula>VLOOKUP(LNG_Import_use!$A2,Raw!$C$3:$E$429,2,FALSE)</calculatedColumnFormula>
    </tableColumn>
    <tableColumn id="3" xr3:uid="{E19B88D8-3893-4610-AB1D-CF00C32B1D5C}" name="Share" dataDxfId="5">
      <calculatedColumnFormula>VLOOKUP(LNG_Import_use!$A2,Raw!$C$3:$E$429,3,FALSE)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8372A6F-EB83-42B1-A6B1-D9A865C31E2A}" name="Table6" displayName="Table6" ref="A1:B19" totalsRowShown="0">
  <autoFilter ref="A1:B19" xr:uid="{A8372A6F-EB83-42B1-A6B1-D9A865C31E2A}"/>
  <tableColumns count="2">
    <tableColumn id="1" xr3:uid="{D3B0A0F4-AE4B-4C05-803A-8265FB2E0BEC}" name="Edge"/>
    <tableColumn id="2" xr3:uid="{3D272239-DFA1-4C23-990B-17340DB0F202}" name="Flow (GWh)" dataDxfId="4">
      <calculatedColumnFormula>SUMIFS(Raw!$D$2:$D$371,Raw!$C$2:$C$371,"*"&amp;LNG_Sources!$A2&amp;"*")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22FFF2-C470-41D5-B466-2B2A16A0702F}" name="Table7" displayName="Table7" ref="D1:E6" totalsRowShown="0" headerRowDxfId="2" headerRowBorderDxfId="1">
  <autoFilter ref="D1:E6" xr:uid="{1122FFF2-C470-41D5-B466-2B2A16A0702F}"/>
  <tableColumns count="2">
    <tableColumn id="1" xr3:uid="{4B792274-18C2-4C26-B54A-695915F3118E}" name="Region"/>
    <tableColumn id="2" xr3:uid="{46C98E86-4B19-4A99-BF1A-17F24AC916F1}" name="Flow (GWh)" dataDxfId="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21B5DA-0937-487A-A3DF-77ACBB8999F9}" name="Table3" displayName="Table3" ref="A1:B37" totalsRowShown="0">
  <autoFilter ref="A1:B37" xr:uid="{8121B5DA-0937-487A-A3DF-77ACBB8999F9}"/>
  <tableColumns count="2">
    <tableColumn id="1" xr3:uid="{03B06CF4-5F36-4B7E-8CC9-8D06BB4532D5}" name="Edge"/>
    <tableColumn id="2" xr3:uid="{1AD1E774-B856-4665-89D5-9C7DC08BC3A8}" name="Flow (GWh)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9"/>
  <sheetViews>
    <sheetView topLeftCell="A405" workbookViewId="0">
      <selection activeCell="C116" sqref="C116"/>
    </sheetView>
  </sheetViews>
  <sheetFormatPr defaultRowHeight="14.5" x14ac:dyDescent="0.35"/>
  <cols>
    <col min="1" max="1" width="10.26953125" customWidth="1"/>
    <col min="2" max="2" width="12.54296875" customWidth="1"/>
    <col min="3" max="3" width="26.08984375" customWidth="1"/>
    <col min="4" max="4" width="13.36328125" customWidth="1"/>
  </cols>
  <sheetData>
    <row r="1" spans="1:5" x14ac:dyDescent="0.35">
      <c r="A1" t="s">
        <v>4</v>
      </c>
      <c r="B1" s="1" t="s">
        <v>0</v>
      </c>
      <c r="C1" s="1" t="s">
        <v>1</v>
      </c>
      <c r="D1" s="4" t="s">
        <v>390</v>
      </c>
      <c r="E1" s="1" t="s">
        <v>2</v>
      </c>
    </row>
    <row r="2" spans="1:5" hidden="1" x14ac:dyDescent="0.35">
      <c r="A2" s="1">
        <v>3</v>
      </c>
      <c r="B2" t="s">
        <v>3</v>
      </c>
      <c r="C2" s="3" t="s">
        <v>33</v>
      </c>
      <c r="D2" s="5">
        <v>447490</v>
      </c>
      <c r="E2">
        <v>1</v>
      </c>
    </row>
    <row r="3" spans="1:5" hidden="1" x14ac:dyDescent="0.35">
      <c r="A3" s="1">
        <v>8</v>
      </c>
      <c r="B3" t="s">
        <v>3</v>
      </c>
      <c r="C3" s="3" t="s">
        <v>47</v>
      </c>
      <c r="D3" s="5">
        <v>5110</v>
      </c>
      <c r="E3">
        <v>1</v>
      </c>
    </row>
    <row r="4" spans="1:5" hidden="1" x14ac:dyDescent="0.35">
      <c r="A4" s="1">
        <v>42</v>
      </c>
      <c r="B4" t="s">
        <v>3</v>
      </c>
      <c r="C4" s="3" t="s">
        <v>199</v>
      </c>
      <c r="D4" s="5">
        <v>123041.5</v>
      </c>
      <c r="E4">
        <v>1</v>
      </c>
    </row>
    <row r="5" spans="1:5" hidden="1" x14ac:dyDescent="0.35">
      <c r="A5" s="1">
        <v>66</v>
      </c>
      <c r="B5" t="s">
        <v>3</v>
      </c>
      <c r="C5" s="3" t="s">
        <v>31</v>
      </c>
      <c r="D5" s="5">
        <v>14231.35</v>
      </c>
      <c r="E5">
        <v>1</v>
      </c>
    </row>
    <row r="6" spans="1:5" hidden="1" x14ac:dyDescent="0.35">
      <c r="A6" s="1">
        <v>83</v>
      </c>
      <c r="B6" t="s">
        <v>3</v>
      </c>
      <c r="C6" s="3" t="s">
        <v>385</v>
      </c>
      <c r="D6" s="5">
        <v>117384</v>
      </c>
      <c r="E6">
        <v>1</v>
      </c>
    </row>
    <row r="7" spans="1:5" hidden="1" x14ac:dyDescent="0.35">
      <c r="A7" s="1">
        <v>104</v>
      </c>
      <c r="B7" t="s">
        <v>3</v>
      </c>
      <c r="C7" s="3" t="s">
        <v>386</v>
      </c>
      <c r="D7">
        <v>21195.258000000002</v>
      </c>
      <c r="E7">
        <v>1</v>
      </c>
    </row>
    <row r="8" spans="1:5" hidden="1" x14ac:dyDescent="0.35">
      <c r="A8" s="1">
        <v>118</v>
      </c>
      <c r="B8" t="s">
        <v>3</v>
      </c>
      <c r="C8" s="3" t="s">
        <v>55</v>
      </c>
      <c r="D8" s="5">
        <v>155831.5</v>
      </c>
      <c r="E8">
        <v>1</v>
      </c>
    </row>
    <row r="9" spans="1:5" hidden="1" x14ac:dyDescent="0.35">
      <c r="A9" s="1">
        <v>119</v>
      </c>
      <c r="B9" t="s">
        <v>3</v>
      </c>
      <c r="C9" s="3" t="s">
        <v>387</v>
      </c>
      <c r="D9" s="5">
        <v>25402</v>
      </c>
      <c r="E9">
        <v>1</v>
      </c>
    </row>
    <row r="10" spans="1:5" hidden="1" x14ac:dyDescent="0.35">
      <c r="A10" s="1">
        <v>120</v>
      </c>
      <c r="B10" t="s">
        <v>3</v>
      </c>
      <c r="C10" s="3" t="s">
        <v>56</v>
      </c>
      <c r="D10" s="5">
        <v>111378</v>
      </c>
      <c r="E10">
        <v>1</v>
      </c>
    </row>
    <row r="11" spans="1:5" hidden="1" x14ac:dyDescent="0.35">
      <c r="A11" s="1">
        <v>122</v>
      </c>
      <c r="B11" t="s">
        <v>3</v>
      </c>
      <c r="C11" s="3" t="s">
        <v>60</v>
      </c>
      <c r="D11" s="5">
        <v>60574</v>
      </c>
      <c r="E11">
        <v>1</v>
      </c>
    </row>
    <row r="12" spans="1:5" hidden="1" x14ac:dyDescent="0.35">
      <c r="A12" s="1">
        <v>124</v>
      </c>
      <c r="B12" t="s">
        <v>3</v>
      </c>
      <c r="C12" s="3" t="s">
        <v>59</v>
      </c>
      <c r="D12" s="5">
        <v>25402</v>
      </c>
      <c r="E12">
        <v>1</v>
      </c>
    </row>
    <row r="13" spans="1:5" hidden="1" x14ac:dyDescent="0.35">
      <c r="A13" s="1">
        <v>125</v>
      </c>
      <c r="B13" t="s">
        <v>3</v>
      </c>
      <c r="C13" s="3" t="s">
        <v>54</v>
      </c>
      <c r="D13" s="5">
        <v>73275</v>
      </c>
      <c r="E13">
        <v>1</v>
      </c>
    </row>
    <row r="14" spans="1:5" hidden="1" x14ac:dyDescent="0.35">
      <c r="A14" s="1">
        <v>130</v>
      </c>
      <c r="B14" t="s">
        <v>3</v>
      </c>
      <c r="C14" s="3" t="s">
        <v>64</v>
      </c>
      <c r="D14">
        <v>322409.99999999988</v>
      </c>
      <c r="E14">
        <v>1</v>
      </c>
    </row>
    <row r="15" spans="1:5" hidden="1" x14ac:dyDescent="0.35">
      <c r="A15" s="1">
        <v>131</v>
      </c>
      <c r="B15" t="s">
        <v>3</v>
      </c>
      <c r="C15" s="3" t="s">
        <v>388</v>
      </c>
      <c r="D15" s="5">
        <v>304823.99999999988</v>
      </c>
      <c r="E15">
        <v>1</v>
      </c>
    </row>
    <row r="16" spans="1:5" hidden="1" x14ac:dyDescent="0.35">
      <c r="A16" s="1">
        <v>152</v>
      </c>
      <c r="B16" t="s">
        <v>3</v>
      </c>
      <c r="C16" s="3" t="s">
        <v>83</v>
      </c>
      <c r="D16" s="5">
        <v>293099.99999999988</v>
      </c>
      <c r="E16">
        <v>1</v>
      </c>
    </row>
    <row r="17" spans="1:5" hidden="1" x14ac:dyDescent="0.35">
      <c r="A17" s="1">
        <v>153</v>
      </c>
      <c r="B17" t="s">
        <v>3</v>
      </c>
      <c r="C17" s="3" t="s">
        <v>82</v>
      </c>
      <c r="D17">
        <v>371260</v>
      </c>
      <c r="E17">
        <v>1</v>
      </c>
    </row>
    <row r="18" spans="1:5" hidden="1" x14ac:dyDescent="0.35">
      <c r="A18" s="1">
        <v>412</v>
      </c>
      <c r="B18" t="s">
        <v>3</v>
      </c>
      <c r="C18" t="s">
        <v>137</v>
      </c>
      <c r="D18">
        <v>9999999</v>
      </c>
      <c r="E18">
        <v>1</v>
      </c>
    </row>
    <row r="19" spans="1:5" hidden="1" x14ac:dyDescent="0.35">
      <c r="A19" s="1">
        <v>98</v>
      </c>
      <c r="B19" t="s">
        <v>3</v>
      </c>
      <c r="C19" s="3" t="s">
        <v>389</v>
      </c>
      <c r="D19">
        <v>112059.5436666465</v>
      </c>
      <c r="E19">
        <v>0.95464069776670146</v>
      </c>
    </row>
    <row r="20" spans="1:5" hidden="1" x14ac:dyDescent="0.35">
      <c r="A20" s="1">
        <v>129</v>
      </c>
      <c r="B20" t="s">
        <v>3</v>
      </c>
      <c r="C20" s="3" t="s">
        <v>62</v>
      </c>
      <c r="D20" s="5">
        <v>36490.417710000002</v>
      </c>
      <c r="E20">
        <v>0.93373637947799393</v>
      </c>
    </row>
    <row r="21" spans="1:5" hidden="1" x14ac:dyDescent="0.35">
      <c r="A21" s="1">
        <v>112</v>
      </c>
      <c r="B21" t="s">
        <v>3</v>
      </c>
      <c r="C21" s="3" t="s">
        <v>46</v>
      </c>
      <c r="D21" s="5">
        <v>375739.51248100732</v>
      </c>
      <c r="E21">
        <v>0.89168477471547403</v>
      </c>
    </row>
    <row r="22" spans="1:5" hidden="1" x14ac:dyDescent="0.35">
      <c r="A22" s="1">
        <v>150</v>
      </c>
      <c r="B22" t="s">
        <v>3</v>
      </c>
      <c r="C22" s="3" t="s">
        <v>80</v>
      </c>
      <c r="D22" s="5">
        <v>305882.06813020923</v>
      </c>
      <c r="E22">
        <v>0.86967493497728121</v>
      </c>
    </row>
    <row r="23" spans="1:5" hidden="1" x14ac:dyDescent="0.35">
      <c r="A23" s="1">
        <v>63</v>
      </c>
      <c r="B23" t="s">
        <v>3</v>
      </c>
      <c r="C23" s="3" t="s">
        <v>208</v>
      </c>
      <c r="D23">
        <v>48003.041250965427</v>
      </c>
      <c r="E23">
        <v>0.85912713293372323</v>
      </c>
    </row>
    <row r="24" spans="1:5" hidden="1" x14ac:dyDescent="0.35">
      <c r="A24" s="1">
        <v>22</v>
      </c>
      <c r="B24" t="s">
        <v>3</v>
      </c>
      <c r="C24" s="3" t="s">
        <v>20</v>
      </c>
      <c r="D24">
        <v>301054.53646775859</v>
      </c>
      <c r="E24">
        <v>0.85596404029341622</v>
      </c>
    </row>
    <row r="25" spans="1:5" hidden="1" x14ac:dyDescent="0.35">
      <c r="A25" s="1">
        <v>19</v>
      </c>
      <c r="B25" t="s">
        <v>3</v>
      </c>
      <c r="C25" s="3" t="s">
        <v>43</v>
      </c>
      <c r="D25" s="5">
        <v>358668.84920827998</v>
      </c>
      <c r="E25">
        <v>0.85152026117205193</v>
      </c>
    </row>
    <row r="26" spans="1:5" hidden="1" x14ac:dyDescent="0.35">
      <c r="A26" s="1">
        <v>114</v>
      </c>
      <c r="B26" t="s">
        <v>3</v>
      </c>
      <c r="C26" s="3" t="s">
        <v>7</v>
      </c>
      <c r="D26" s="5">
        <v>15121.25441570124</v>
      </c>
      <c r="E26">
        <v>0.81391147916684548</v>
      </c>
    </row>
    <row r="27" spans="1:5" hidden="1" x14ac:dyDescent="0.35">
      <c r="A27" s="1">
        <v>48</v>
      </c>
      <c r="B27" t="s">
        <v>3</v>
      </c>
      <c r="C27" s="3" t="s">
        <v>41</v>
      </c>
      <c r="D27" s="5">
        <v>6997.2659465473271</v>
      </c>
      <c r="E27">
        <v>0.63901972114587458</v>
      </c>
    </row>
    <row r="28" spans="1:5" hidden="1" x14ac:dyDescent="0.35">
      <c r="A28" s="1">
        <v>12</v>
      </c>
      <c r="B28" t="s">
        <v>3</v>
      </c>
      <c r="C28" s="3" t="s">
        <v>391</v>
      </c>
      <c r="D28">
        <v>37648.51281850152</v>
      </c>
      <c r="E28">
        <v>0.5930010949847534</v>
      </c>
    </row>
    <row r="29" spans="1:5" hidden="1" x14ac:dyDescent="0.35">
      <c r="A29" s="1">
        <v>128</v>
      </c>
      <c r="B29" t="s">
        <v>3</v>
      </c>
      <c r="C29" s="3" t="s">
        <v>65</v>
      </c>
      <c r="D29" s="5">
        <v>43774.399641264652</v>
      </c>
      <c r="E29">
        <v>0.58953832410257845</v>
      </c>
    </row>
    <row r="30" spans="1:5" hidden="1" x14ac:dyDescent="0.35">
      <c r="A30" s="1">
        <v>402</v>
      </c>
      <c r="B30" t="s">
        <v>3</v>
      </c>
      <c r="C30" t="s">
        <v>128</v>
      </c>
      <c r="D30">
        <v>5728954.0927535295</v>
      </c>
      <c r="E30">
        <v>0.57289546656489965</v>
      </c>
    </row>
    <row r="31" spans="1:5" hidden="1" x14ac:dyDescent="0.35">
      <c r="A31" s="1">
        <v>416</v>
      </c>
      <c r="B31" t="s">
        <v>3</v>
      </c>
      <c r="C31" t="s">
        <v>141</v>
      </c>
      <c r="D31">
        <v>5194976.9121760055</v>
      </c>
      <c r="E31">
        <v>0.51949774316737485</v>
      </c>
    </row>
    <row r="32" spans="1:5" hidden="1" x14ac:dyDescent="0.35">
      <c r="A32" s="1">
        <v>123</v>
      </c>
      <c r="B32" t="s">
        <v>3</v>
      </c>
      <c r="C32" s="3" t="s">
        <v>392</v>
      </c>
      <c r="D32">
        <v>7494.6891249999999</v>
      </c>
      <c r="E32">
        <v>0.51140833333333335</v>
      </c>
    </row>
    <row r="33" spans="1:5" hidden="1" x14ac:dyDescent="0.35">
      <c r="A33" s="1">
        <v>117</v>
      </c>
      <c r="B33" t="s">
        <v>3</v>
      </c>
      <c r="C33" s="3" t="s">
        <v>57</v>
      </c>
      <c r="D33" s="5">
        <v>207003.15305077279</v>
      </c>
      <c r="E33">
        <v>0.48595483517877408</v>
      </c>
    </row>
    <row r="34" spans="1:5" hidden="1" x14ac:dyDescent="0.35">
      <c r="A34" s="1">
        <v>59</v>
      </c>
      <c r="B34" t="s">
        <v>3</v>
      </c>
      <c r="C34" s="3" t="s">
        <v>29</v>
      </c>
      <c r="D34" s="5">
        <v>8931.6695877324019</v>
      </c>
      <c r="E34">
        <v>0.43932365597168788</v>
      </c>
    </row>
    <row r="35" spans="1:5" hidden="1" x14ac:dyDescent="0.35">
      <c r="A35" s="1">
        <v>2</v>
      </c>
      <c r="B35" t="s">
        <v>3</v>
      </c>
      <c r="C35" s="3" t="s">
        <v>17</v>
      </c>
      <c r="D35" s="5">
        <v>109878.46954821479</v>
      </c>
      <c r="E35">
        <v>0.42343481453823029</v>
      </c>
    </row>
    <row r="36" spans="1:5" hidden="1" x14ac:dyDescent="0.35">
      <c r="A36" s="1">
        <v>41</v>
      </c>
      <c r="B36" t="s">
        <v>3</v>
      </c>
      <c r="C36" s="3" t="s">
        <v>40</v>
      </c>
      <c r="D36" s="5">
        <v>213298.04048628421</v>
      </c>
      <c r="E36">
        <v>0.41563171629666251</v>
      </c>
    </row>
    <row r="37" spans="1:5" hidden="1" x14ac:dyDescent="0.35">
      <c r="A37" s="1">
        <v>4</v>
      </c>
      <c r="B37" t="s">
        <v>3</v>
      </c>
      <c r="C37" s="3" t="s">
        <v>9</v>
      </c>
      <c r="D37" s="5">
        <v>163980.03162800669</v>
      </c>
      <c r="E37">
        <v>0.37329485718710093</v>
      </c>
    </row>
    <row r="38" spans="1:5" hidden="1" x14ac:dyDescent="0.35">
      <c r="A38" s="1">
        <v>73</v>
      </c>
      <c r="B38" t="s">
        <v>3</v>
      </c>
      <c r="C38" s="3" t="s">
        <v>6</v>
      </c>
      <c r="D38">
        <v>5602.6756765704631</v>
      </c>
      <c r="E38">
        <v>0.36570171690932468</v>
      </c>
    </row>
    <row r="39" spans="1:5" hidden="1" x14ac:dyDescent="0.35">
      <c r="A39" s="1">
        <v>54</v>
      </c>
      <c r="B39" t="s">
        <v>3</v>
      </c>
      <c r="C39" s="3" t="s">
        <v>183</v>
      </c>
      <c r="D39" s="5">
        <v>6778.1013452471088</v>
      </c>
      <c r="E39">
        <v>0.34581267545456029</v>
      </c>
    </row>
    <row r="40" spans="1:5" hidden="1" x14ac:dyDescent="0.35">
      <c r="A40" s="1">
        <v>67</v>
      </c>
      <c r="B40" t="s">
        <v>3</v>
      </c>
      <c r="C40" s="3" t="s">
        <v>44</v>
      </c>
      <c r="D40">
        <v>60648.99492757181</v>
      </c>
      <c r="E40">
        <v>0.33656396584677523</v>
      </c>
    </row>
    <row r="41" spans="1:5" hidden="1" x14ac:dyDescent="0.35">
      <c r="A41" s="1">
        <v>77</v>
      </c>
      <c r="B41" t="s">
        <v>3</v>
      </c>
      <c r="C41" s="3" t="s">
        <v>19</v>
      </c>
      <c r="D41" s="5">
        <v>3447.5654573478319</v>
      </c>
      <c r="E41">
        <v>0.28381564947871368</v>
      </c>
    </row>
    <row r="42" spans="1:5" hidden="1" x14ac:dyDescent="0.35">
      <c r="A42" s="1">
        <v>116</v>
      </c>
      <c r="B42" t="s">
        <v>3</v>
      </c>
      <c r="C42" s="3" t="s">
        <v>58</v>
      </c>
      <c r="D42" s="5">
        <v>162993.22167908089</v>
      </c>
      <c r="E42">
        <v>0.2486293875059008</v>
      </c>
    </row>
    <row r="43" spans="1:5" hidden="1" x14ac:dyDescent="0.35">
      <c r="A43" s="1">
        <v>127</v>
      </c>
      <c r="B43" t="s">
        <v>3</v>
      </c>
      <c r="C43" s="3" t="s">
        <v>393</v>
      </c>
      <c r="D43" s="5">
        <v>11669.450833333331</v>
      </c>
      <c r="E43">
        <v>0.23888333333333331</v>
      </c>
    </row>
    <row r="44" spans="1:5" hidden="1" x14ac:dyDescent="0.35">
      <c r="A44" s="1">
        <v>74</v>
      </c>
      <c r="B44" t="s">
        <v>3</v>
      </c>
      <c r="C44" s="3" t="s">
        <v>16</v>
      </c>
      <c r="D44" s="5">
        <v>49019.922124767683</v>
      </c>
      <c r="E44">
        <v>0.23314958683786061</v>
      </c>
    </row>
    <row r="45" spans="1:5" hidden="1" x14ac:dyDescent="0.35">
      <c r="A45" s="1">
        <v>421</v>
      </c>
      <c r="B45" t="s">
        <v>3</v>
      </c>
      <c r="C45" t="s">
        <v>146</v>
      </c>
      <c r="D45">
        <v>2288704.1568338252</v>
      </c>
      <c r="E45">
        <v>0.22887043857042641</v>
      </c>
    </row>
    <row r="46" spans="1:5" hidden="1" x14ac:dyDescent="0.35">
      <c r="A46" s="1">
        <v>75</v>
      </c>
      <c r="B46" t="s">
        <v>3</v>
      </c>
      <c r="C46" s="3" t="s">
        <v>50</v>
      </c>
      <c r="D46">
        <v>145384.73756664759</v>
      </c>
      <c r="E46">
        <v>0.21540402319858551</v>
      </c>
    </row>
    <row r="47" spans="1:5" hidden="1" x14ac:dyDescent="0.35">
      <c r="A47" s="1">
        <v>413</v>
      </c>
      <c r="B47" t="s">
        <v>3</v>
      </c>
      <c r="C47" t="s">
        <v>138</v>
      </c>
      <c r="D47">
        <v>2132790.764230879</v>
      </c>
      <c r="E47">
        <v>0.21327909775099771</v>
      </c>
    </row>
    <row r="48" spans="1:5" hidden="1" x14ac:dyDescent="0.35">
      <c r="A48" s="1">
        <v>425</v>
      </c>
      <c r="B48" t="s">
        <v>3</v>
      </c>
      <c r="C48" t="s">
        <v>149</v>
      </c>
      <c r="D48">
        <v>1828659.302226193</v>
      </c>
      <c r="E48">
        <v>0.18286594850921409</v>
      </c>
    </row>
    <row r="49" spans="1:5" hidden="1" x14ac:dyDescent="0.35">
      <c r="A49" s="1">
        <v>53</v>
      </c>
      <c r="B49" t="s">
        <v>3</v>
      </c>
      <c r="C49" s="3" t="s">
        <v>187</v>
      </c>
      <c r="D49" s="5">
        <v>11381.10740254888</v>
      </c>
      <c r="E49">
        <v>0.180686771578877</v>
      </c>
    </row>
    <row r="50" spans="1:5" hidden="1" x14ac:dyDescent="0.35">
      <c r="A50" s="1">
        <v>417</v>
      </c>
      <c r="B50" t="s">
        <v>3</v>
      </c>
      <c r="C50" t="s">
        <v>142</v>
      </c>
      <c r="D50">
        <v>1768141.250753962</v>
      </c>
      <c r="E50">
        <v>0.17681414275681051</v>
      </c>
    </row>
    <row r="51" spans="1:5" hidden="1" x14ac:dyDescent="0.35">
      <c r="A51" s="1">
        <v>103</v>
      </c>
      <c r="B51" t="s">
        <v>3</v>
      </c>
      <c r="C51" s="3" t="s">
        <v>37</v>
      </c>
      <c r="D51" s="5">
        <v>27987.087214615171</v>
      </c>
      <c r="E51">
        <v>0.16919009548305</v>
      </c>
    </row>
    <row r="52" spans="1:5" hidden="1" x14ac:dyDescent="0.35">
      <c r="A52" s="1">
        <v>126</v>
      </c>
      <c r="B52" t="s">
        <v>3</v>
      </c>
      <c r="C52" s="3" t="s">
        <v>61</v>
      </c>
      <c r="D52">
        <v>81491.87295725508</v>
      </c>
      <c r="E52">
        <v>0.1594843405149316</v>
      </c>
    </row>
    <row r="53" spans="1:5" hidden="1" x14ac:dyDescent="0.35">
      <c r="A53" s="1">
        <v>37</v>
      </c>
      <c r="B53" t="s">
        <v>3</v>
      </c>
      <c r="C53" s="3" t="s">
        <v>24</v>
      </c>
      <c r="D53">
        <v>26216.60367714076</v>
      </c>
      <c r="E53">
        <v>0.15622294601673289</v>
      </c>
    </row>
    <row r="54" spans="1:5" hidden="1" x14ac:dyDescent="0.35">
      <c r="A54" s="1">
        <v>132</v>
      </c>
      <c r="B54" t="s">
        <v>3</v>
      </c>
      <c r="C54" s="3" t="s">
        <v>70</v>
      </c>
      <c r="D54" s="5">
        <v>1489880.99670054</v>
      </c>
      <c r="E54">
        <v>0.14898811456886549</v>
      </c>
    </row>
    <row r="55" spans="1:5" hidden="1" x14ac:dyDescent="0.35">
      <c r="A55" s="1">
        <v>121</v>
      </c>
      <c r="B55" t="s">
        <v>3</v>
      </c>
      <c r="C55" s="3" t="s">
        <v>394</v>
      </c>
      <c r="D55" s="5">
        <v>3613.770355847626</v>
      </c>
      <c r="E55">
        <v>0.14795375049529691</v>
      </c>
    </row>
    <row r="56" spans="1:5" hidden="1" x14ac:dyDescent="0.35">
      <c r="A56" s="1">
        <v>427</v>
      </c>
      <c r="B56" t="s">
        <v>3</v>
      </c>
      <c r="C56" t="s">
        <v>151</v>
      </c>
      <c r="D56">
        <v>1419953.943201544</v>
      </c>
      <c r="E56">
        <v>0.14199540851969519</v>
      </c>
    </row>
    <row r="57" spans="1:5" x14ac:dyDescent="0.35">
      <c r="A57" s="1">
        <v>141</v>
      </c>
      <c r="B57" t="s">
        <v>3</v>
      </c>
      <c r="C57" s="3" t="s">
        <v>75</v>
      </c>
      <c r="D57">
        <v>1339214.340100182</v>
      </c>
      <c r="E57">
        <v>0.133921447402163</v>
      </c>
    </row>
    <row r="58" spans="1:5" hidden="1" x14ac:dyDescent="0.35">
      <c r="A58" s="1">
        <v>414</v>
      </c>
      <c r="B58" t="s">
        <v>3</v>
      </c>
      <c r="C58" t="s">
        <v>139</v>
      </c>
      <c r="D58">
        <v>1338762.3107718481</v>
      </c>
      <c r="E58">
        <v>0.13387624446480931</v>
      </c>
    </row>
    <row r="59" spans="1:5" x14ac:dyDescent="0.35">
      <c r="A59" s="1">
        <v>140</v>
      </c>
      <c r="B59" t="s">
        <v>3</v>
      </c>
      <c r="C59" s="3" t="s">
        <v>77</v>
      </c>
      <c r="D59">
        <v>1318825.7609406009</v>
      </c>
      <c r="E59">
        <v>0.131882589282319</v>
      </c>
    </row>
    <row r="60" spans="1:5" hidden="1" x14ac:dyDescent="0.35">
      <c r="A60" s="1">
        <v>27</v>
      </c>
      <c r="B60" t="s">
        <v>3</v>
      </c>
      <c r="C60" s="3" t="s">
        <v>28</v>
      </c>
      <c r="D60" s="5">
        <v>76759.170119897957</v>
      </c>
      <c r="E60">
        <v>0.12917634902880751</v>
      </c>
    </row>
    <row r="61" spans="1:5" hidden="1" x14ac:dyDescent="0.35">
      <c r="A61" s="1">
        <v>18</v>
      </c>
      <c r="B61" t="s">
        <v>3</v>
      </c>
      <c r="C61" s="3" t="s">
        <v>14</v>
      </c>
      <c r="D61">
        <v>1491.8375189927231</v>
      </c>
      <c r="E61">
        <v>0.1280459298067706</v>
      </c>
    </row>
    <row r="62" spans="1:5" hidden="1" x14ac:dyDescent="0.35">
      <c r="A62" s="1">
        <v>424</v>
      </c>
      <c r="B62" t="s">
        <v>3</v>
      </c>
      <c r="C62" t="s">
        <v>148</v>
      </c>
      <c r="D62">
        <v>1259517.180291699</v>
      </c>
      <c r="E62">
        <v>0.12595173062434301</v>
      </c>
    </row>
    <row r="63" spans="1:5" hidden="1" x14ac:dyDescent="0.35">
      <c r="A63" s="1">
        <v>33</v>
      </c>
      <c r="B63" t="s">
        <v>3</v>
      </c>
      <c r="C63" s="3" t="s">
        <v>169</v>
      </c>
      <c r="D63">
        <v>17145.233185288191</v>
      </c>
      <c r="E63">
        <v>0.1211118772812409</v>
      </c>
    </row>
    <row r="64" spans="1:5" hidden="1" x14ac:dyDescent="0.35">
      <c r="A64" s="1">
        <v>398</v>
      </c>
      <c r="B64" t="s">
        <v>3</v>
      </c>
      <c r="C64" t="s">
        <v>125</v>
      </c>
      <c r="D64">
        <v>1152595.2818499999</v>
      </c>
      <c r="E64">
        <v>0.115259539710954</v>
      </c>
    </row>
    <row r="65" spans="1:5" hidden="1" x14ac:dyDescent="0.35">
      <c r="A65" s="1">
        <v>420</v>
      </c>
      <c r="B65" t="s">
        <v>3</v>
      </c>
      <c r="C65" t="s">
        <v>145</v>
      </c>
      <c r="D65">
        <v>1129419.8863680379</v>
      </c>
      <c r="E65">
        <v>0.1129419999310038</v>
      </c>
    </row>
    <row r="66" spans="1:5" hidden="1" x14ac:dyDescent="0.35">
      <c r="A66" s="1">
        <v>133</v>
      </c>
      <c r="B66" t="s">
        <v>3</v>
      </c>
      <c r="C66" s="3" t="s">
        <v>68</v>
      </c>
      <c r="D66" s="5">
        <v>1036775.174761196</v>
      </c>
      <c r="E66">
        <v>0.10367752784387239</v>
      </c>
    </row>
    <row r="67" spans="1:5" hidden="1" x14ac:dyDescent="0.35">
      <c r="A67" s="1">
        <v>102</v>
      </c>
      <c r="B67" t="s">
        <v>3</v>
      </c>
      <c r="C67" s="3" t="s">
        <v>190</v>
      </c>
      <c r="D67">
        <v>10171.07915437571</v>
      </c>
      <c r="E67">
        <v>9.9237785918663973E-2</v>
      </c>
    </row>
    <row r="68" spans="1:5" hidden="1" x14ac:dyDescent="0.35">
      <c r="A68" s="1">
        <v>374</v>
      </c>
      <c r="B68" t="s">
        <v>3</v>
      </c>
      <c r="C68" t="s">
        <v>109</v>
      </c>
      <c r="D68">
        <v>992082.4375</v>
      </c>
      <c r="E68">
        <v>9.9208253670825364E-2</v>
      </c>
    </row>
    <row r="69" spans="1:5" hidden="1" x14ac:dyDescent="0.35">
      <c r="A69" s="1">
        <v>13</v>
      </c>
      <c r="B69" t="s">
        <v>3</v>
      </c>
      <c r="C69" s="3" t="s">
        <v>21</v>
      </c>
      <c r="D69" s="5">
        <v>11163.69681353934</v>
      </c>
      <c r="E69">
        <v>7.9442781096170367E-2</v>
      </c>
    </row>
    <row r="70" spans="1:5" hidden="1" x14ac:dyDescent="0.35">
      <c r="A70" s="1">
        <v>17</v>
      </c>
      <c r="B70" t="s">
        <v>3</v>
      </c>
      <c r="C70" s="3" t="s">
        <v>27</v>
      </c>
      <c r="D70" s="5">
        <v>6137.3681928279766</v>
      </c>
      <c r="E70">
        <v>7.9414299912205374E-2</v>
      </c>
    </row>
    <row r="71" spans="1:5" x14ac:dyDescent="0.35">
      <c r="A71" s="1">
        <v>145</v>
      </c>
      <c r="B71" t="s">
        <v>3</v>
      </c>
      <c r="C71" s="3" t="s">
        <v>72</v>
      </c>
      <c r="D71" s="5">
        <v>764279.93870664702</v>
      </c>
      <c r="E71">
        <v>7.6428001513464849E-2</v>
      </c>
    </row>
    <row r="72" spans="1:5" x14ac:dyDescent="0.35">
      <c r="A72" s="1">
        <v>230</v>
      </c>
      <c r="B72" t="s">
        <v>3</v>
      </c>
      <c r="C72" s="3" t="s">
        <v>91</v>
      </c>
      <c r="D72" s="5">
        <v>764279.93870664702</v>
      </c>
      <c r="E72">
        <v>7.6428001513464849E-2</v>
      </c>
    </row>
    <row r="73" spans="1:5" hidden="1" x14ac:dyDescent="0.35">
      <c r="A73" s="1">
        <v>418</v>
      </c>
      <c r="B73" t="s">
        <v>3</v>
      </c>
      <c r="C73" t="s">
        <v>143</v>
      </c>
      <c r="D73">
        <v>750869.22871639486</v>
      </c>
      <c r="E73">
        <v>7.5086930380332526E-2</v>
      </c>
    </row>
    <row r="74" spans="1:5" hidden="1" x14ac:dyDescent="0.35">
      <c r="A74" s="1">
        <v>25</v>
      </c>
      <c r="B74" t="s">
        <v>3</v>
      </c>
      <c r="C74" s="3" t="s">
        <v>167</v>
      </c>
      <c r="D74" s="5">
        <v>9664.8465332277556</v>
      </c>
      <c r="E74">
        <v>7.4835462221643903E-2</v>
      </c>
    </row>
    <row r="75" spans="1:5" x14ac:dyDescent="0.35">
      <c r="A75" s="1">
        <v>144</v>
      </c>
      <c r="B75" t="s">
        <v>3</v>
      </c>
      <c r="C75" s="3" t="s">
        <v>76</v>
      </c>
      <c r="D75">
        <v>737432.80164676148</v>
      </c>
      <c r="E75">
        <v>7.3743287539004901E-2</v>
      </c>
    </row>
    <row r="76" spans="1:5" x14ac:dyDescent="0.35">
      <c r="A76" s="1">
        <v>173</v>
      </c>
      <c r="B76" t="s">
        <v>3</v>
      </c>
      <c r="C76" s="3" t="s">
        <v>106</v>
      </c>
      <c r="D76">
        <v>737432.80164676148</v>
      </c>
      <c r="E76">
        <v>7.3743287539004901E-2</v>
      </c>
    </row>
    <row r="77" spans="1:5" hidden="1" x14ac:dyDescent="0.35">
      <c r="A77" s="1">
        <v>426</v>
      </c>
      <c r="B77" t="s">
        <v>3</v>
      </c>
      <c r="C77" t="s">
        <v>150</v>
      </c>
      <c r="D77">
        <v>557871.03573034669</v>
      </c>
      <c r="E77">
        <v>5.5787109151745583E-2</v>
      </c>
    </row>
    <row r="78" spans="1:5" hidden="1" x14ac:dyDescent="0.35">
      <c r="A78" s="1">
        <v>148</v>
      </c>
      <c r="B78" t="s">
        <v>3</v>
      </c>
      <c r="C78" s="3" t="s">
        <v>79</v>
      </c>
      <c r="D78" s="5">
        <v>17468.613377422091</v>
      </c>
      <c r="E78">
        <v>5.4017673491581583E-2</v>
      </c>
    </row>
    <row r="79" spans="1:5" x14ac:dyDescent="0.35">
      <c r="A79" s="1">
        <v>146</v>
      </c>
      <c r="B79" t="s">
        <v>3</v>
      </c>
      <c r="C79" s="3" t="s">
        <v>78</v>
      </c>
      <c r="D79" s="5">
        <v>525837.83202316845</v>
      </c>
      <c r="E79">
        <v>5.2583788460695689E-2</v>
      </c>
    </row>
    <row r="80" spans="1:5" x14ac:dyDescent="0.35">
      <c r="A80" s="1">
        <v>292</v>
      </c>
      <c r="B80" t="s">
        <v>3</v>
      </c>
      <c r="C80" s="3" t="s">
        <v>254</v>
      </c>
      <c r="D80" s="5">
        <v>525837.83202316845</v>
      </c>
      <c r="E80">
        <v>5.2583788460695689E-2</v>
      </c>
    </row>
    <row r="81" spans="1:5" hidden="1" x14ac:dyDescent="0.35">
      <c r="A81" s="1">
        <v>108</v>
      </c>
      <c r="B81" t="s">
        <v>3</v>
      </c>
      <c r="C81" s="3" t="s">
        <v>26</v>
      </c>
      <c r="D81" s="5">
        <v>9329.2506674511114</v>
      </c>
      <c r="E81">
        <v>5.247298474590243E-2</v>
      </c>
    </row>
    <row r="82" spans="1:5" hidden="1" x14ac:dyDescent="0.35">
      <c r="A82" s="1">
        <v>137</v>
      </c>
      <c r="B82" t="s">
        <v>3</v>
      </c>
      <c r="C82" s="3" t="s">
        <v>67</v>
      </c>
      <c r="D82" s="5">
        <v>488874.32838911802</v>
      </c>
      <c r="E82">
        <v>4.8887437727655567E-2</v>
      </c>
    </row>
    <row r="83" spans="1:5" x14ac:dyDescent="0.35">
      <c r="A83" s="1">
        <v>361</v>
      </c>
      <c r="B83" t="s">
        <v>3</v>
      </c>
      <c r="C83" s="3" t="s">
        <v>330</v>
      </c>
      <c r="D83" s="5">
        <v>488874.32838911802</v>
      </c>
      <c r="E83">
        <v>4.8887437727655567E-2</v>
      </c>
    </row>
    <row r="84" spans="1:5" hidden="1" x14ac:dyDescent="0.35">
      <c r="A84" s="1">
        <v>78</v>
      </c>
      <c r="B84" t="s">
        <v>3</v>
      </c>
      <c r="C84" s="3" t="s">
        <v>36</v>
      </c>
      <c r="D84" s="5">
        <v>8321.95294038061</v>
      </c>
      <c r="E84">
        <v>4.0105314106483582E-2</v>
      </c>
    </row>
    <row r="85" spans="1:5" hidden="1" x14ac:dyDescent="0.35">
      <c r="A85" s="1">
        <v>409</v>
      </c>
      <c r="B85" t="s">
        <v>3</v>
      </c>
      <c r="C85" t="s">
        <v>134</v>
      </c>
      <c r="D85">
        <v>336803.22066599998</v>
      </c>
      <c r="E85">
        <v>3.3680325434632542E-2</v>
      </c>
    </row>
    <row r="86" spans="1:5" x14ac:dyDescent="0.35">
      <c r="A86" s="1">
        <v>187</v>
      </c>
      <c r="B86" t="s">
        <v>3</v>
      </c>
      <c r="C86" s="3" t="s">
        <v>222</v>
      </c>
      <c r="D86">
        <v>322409.99999999988</v>
      </c>
      <c r="E86">
        <v>3.2241003224100312E-2</v>
      </c>
    </row>
    <row r="87" spans="1:5" hidden="1" x14ac:dyDescent="0.35">
      <c r="A87" s="1">
        <v>423</v>
      </c>
      <c r="B87" t="s">
        <v>3</v>
      </c>
      <c r="C87" t="s">
        <v>147</v>
      </c>
      <c r="D87">
        <v>308590.22299160768</v>
      </c>
      <c r="E87">
        <v>3.0859025385063309E-2</v>
      </c>
    </row>
    <row r="88" spans="1:5" x14ac:dyDescent="0.35">
      <c r="A88" s="1">
        <v>323</v>
      </c>
      <c r="B88" t="s">
        <v>3</v>
      </c>
      <c r="C88" s="3" t="s">
        <v>395</v>
      </c>
      <c r="D88" s="5">
        <v>304823.99999999988</v>
      </c>
      <c r="E88">
        <v>3.0482403048240288E-2</v>
      </c>
    </row>
    <row r="89" spans="1:5" hidden="1" x14ac:dyDescent="0.35">
      <c r="A89" s="1">
        <v>135</v>
      </c>
      <c r="B89" t="s">
        <v>3</v>
      </c>
      <c r="C89" s="3" t="s">
        <v>66</v>
      </c>
      <c r="D89" s="5">
        <v>303112.47827525338</v>
      </c>
      <c r="E89">
        <v>3.031125085865042E-2</v>
      </c>
    </row>
    <row r="90" spans="1:5" x14ac:dyDescent="0.35">
      <c r="A90" s="1">
        <v>335</v>
      </c>
      <c r="B90" t="s">
        <v>3</v>
      </c>
      <c r="C90" s="3" t="s">
        <v>84</v>
      </c>
      <c r="D90" s="5">
        <v>303112.47827525338</v>
      </c>
      <c r="E90">
        <v>3.031125085865042E-2</v>
      </c>
    </row>
    <row r="91" spans="1:5" x14ac:dyDescent="0.35">
      <c r="A91" s="1">
        <v>278</v>
      </c>
      <c r="B91" t="s">
        <v>3</v>
      </c>
      <c r="C91" s="3" t="s">
        <v>354</v>
      </c>
      <c r="D91">
        <v>299342.373114435</v>
      </c>
      <c r="E91">
        <v>2.9934240304867531E-2</v>
      </c>
    </row>
    <row r="92" spans="1:5" x14ac:dyDescent="0.35">
      <c r="A92" s="1">
        <v>143</v>
      </c>
      <c r="B92" t="s">
        <v>3</v>
      </c>
      <c r="C92" s="3" t="s">
        <v>73</v>
      </c>
      <c r="D92">
        <v>292335.82209085289</v>
      </c>
      <c r="E92">
        <v>2.9233585132443809E-2</v>
      </c>
    </row>
    <row r="93" spans="1:5" hidden="1" x14ac:dyDescent="0.35">
      <c r="A93" s="1">
        <v>57</v>
      </c>
      <c r="B93" t="s">
        <v>3</v>
      </c>
      <c r="C93" s="3" t="s">
        <v>13</v>
      </c>
      <c r="D93">
        <v>13146.39724989796</v>
      </c>
      <c r="E93">
        <v>2.574519421876283E-2</v>
      </c>
    </row>
    <row r="94" spans="1:5" hidden="1" x14ac:dyDescent="0.35">
      <c r="A94" s="1">
        <v>415</v>
      </c>
      <c r="B94" t="s">
        <v>3</v>
      </c>
      <c r="C94" t="s">
        <v>140</v>
      </c>
      <c r="D94">
        <v>244187.53104004939</v>
      </c>
      <c r="E94">
        <v>2.441875554588049E-2</v>
      </c>
    </row>
    <row r="95" spans="1:5" x14ac:dyDescent="0.35">
      <c r="A95" s="1">
        <v>353</v>
      </c>
      <c r="B95" t="s">
        <v>3</v>
      </c>
      <c r="C95" s="3" t="s">
        <v>337</v>
      </c>
      <c r="D95" s="5">
        <v>203896.55411826479</v>
      </c>
      <c r="E95">
        <v>2.0389657450792222E-2</v>
      </c>
    </row>
    <row r="96" spans="1:5" x14ac:dyDescent="0.35">
      <c r="A96" s="1">
        <v>181</v>
      </c>
      <c r="B96" t="s">
        <v>3</v>
      </c>
      <c r="C96" s="3" t="s">
        <v>343</v>
      </c>
      <c r="D96">
        <v>198733.9401997356</v>
      </c>
      <c r="E96">
        <v>1.9873396007313159E-2</v>
      </c>
    </row>
    <row r="97" spans="1:5" hidden="1" x14ac:dyDescent="0.35">
      <c r="A97" s="1">
        <v>410</v>
      </c>
      <c r="B97" t="s">
        <v>3</v>
      </c>
      <c r="C97" t="s">
        <v>135</v>
      </c>
      <c r="D97">
        <v>172908.3456243854</v>
      </c>
      <c r="E97">
        <v>1.7290836291522171E-2</v>
      </c>
    </row>
    <row r="98" spans="1:5" hidden="1" x14ac:dyDescent="0.35">
      <c r="A98" s="1">
        <v>392</v>
      </c>
      <c r="B98" t="s">
        <v>3</v>
      </c>
      <c r="C98" t="s">
        <v>123</v>
      </c>
      <c r="D98">
        <v>159325.9949275718</v>
      </c>
      <c r="E98">
        <v>1.5932601086017292E-2</v>
      </c>
    </row>
    <row r="99" spans="1:5" x14ac:dyDescent="0.35">
      <c r="A99" s="1">
        <v>159</v>
      </c>
      <c r="B99" t="s">
        <v>3</v>
      </c>
      <c r="C99" s="3" t="s">
        <v>242</v>
      </c>
      <c r="D99" s="5">
        <v>155831.5</v>
      </c>
      <c r="E99">
        <v>1.558315155831516E-2</v>
      </c>
    </row>
    <row r="100" spans="1:5" x14ac:dyDescent="0.35">
      <c r="A100" s="1">
        <v>340</v>
      </c>
      <c r="B100" t="s">
        <v>3</v>
      </c>
      <c r="C100" s="3" t="s">
        <v>353</v>
      </c>
      <c r="D100">
        <v>125165.8995882279</v>
      </c>
      <c r="E100">
        <v>1.2516591210481921E-2</v>
      </c>
    </row>
    <row r="101" spans="1:5" x14ac:dyDescent="0.35">
      <c r="A101" s="1">
        <v>184</v>
      </c>
      <c r="B101" t="s">
        <v>3</v>
      </c>
      <c r="C101" s="3" t="s">
        <v>98</v>
      </c>
      <c r="D101">
        <v>111378</v>
      </c>
      <c r="E101">
        <v>1.113780111378011E-2</v>
      </c>
    </row>
    <row r="102" spans="1:5" x14ac:dyDescent="0.35">
      <c r="A102" s="1">
        <v>139</v>
      </c>
      <c r="B102" t="s">
        <v>3</v>
      </c>
      <c r="C102" s="3" t="s">
        <v>71</v>
      </c>
      <c r="D102">
        <v>102483.8928797409</v>
      </c>
      <c r="E102">
        <v>1.024839031281312E-2</v>
      </c>
    </row>
    <row r="103" spans="1:5" hidden="1" x14ac:dyDescent="0.35">
      <c r="A103" s="1">
        <v>138</v>
      </c>
      <c r="B103" t="s">
        <v>3</v>
      </c>
      <c r="C103" s="3" t="s">
        <v>69</v>
      </c>
      <c r="D103">
        <v>99377.293947232887</v>
      </c>
      <c r="E103">
        <v>9.9377303884963276E-3</v>
      </c>
    </row>
    <row r="104" spans="1:5" x14ac:dyDescent="0.35">
      <c r="A104" s="1">
        <v>318</v>
      </c>
      <c r="B104" t="s">
        <v>3</v>
      </c>
      <c r="C104" s="3" t="s">
        <v>103</v>
      </c>
      <c r="D104" s="5">
        <v>99377.293947232887</v>
      </c>
      <c r="E104">
        <v>9.9377303884963276E-3</v>
      </c>
    </row>
    <row r="105" spans="1:5" hidden="1" x14ac:dyDescent="0.35">
      <c r="A105" s="1">
        <v>396</v>
      </c>
      <c r="B105" t="s">
        <v>3</v>
      </c>
      <c r="C105" t="s">
        <v>124</v>
      </c>
      <c r="D105">
        <v>96124.812210000018</v>
      </c>
      <c r="E105">
        <v>9.6124821822482203E-3</v>
      </c>
    </row>
    <row r="106" spans="1:5" hidden="1" x14ac:dyDescent="0.35">
      <c r="A106" s="1">
        <v>401</v>
      </c>
      <c r="B106" t="s">
        <v>3</v>
      </c>
      <c r="C106" t="s">
        <v>127</v>
      </c>
      <c r="D106">
        <v>91564.439999999988</v>
      </c>
      <c r="E106">
        <v>9.1564449156444905E-3</v>
      </c>
    </row>
    <row r="107" spans="1:5" x14ac:dyDescent="0.35">
      <c r="A107" s="1">
        <v>198</v>
      </c>
      <c r="B107" t="s">
        <v>3</v>
      </c>
      <c r="C107" s="3" t="s">
        <v>88</v>
      </c>
      <c r="D107">
        <v>81491.87295725508</v>
      </c>
      <c r="E107">
        <v>8.1491881106443183E-3</v>
      </c>
    </row>
    <row r="108" spans="1:5" x14ac:dyDescent="0.35">
      <c r="A108" s="1">
        <v>299</v>
      </c>
      <c r="B108" t="s">
        <v>3</v>
      </c>
      <c r="C108" s="3" t="s">
        <v>301</v>
      </c>
      <c r="D108">
        <v>73275</v>
      </c>
      <c r="E108">
        <v>7.3275007327500731E-3</v>
      </c>
    </row>
    <row r="109" spans="1:5" x14ac:dyDescent="0.35">
      <c r="A109" s="1">
        <v>185</v>
      </c>
      <c r="B109" t="s">
        <v>3</v>
      </c>
      <c r="C109" s="3" t="s">
        <v>93</v>
      </c>
      <c r="D109">
        <v>60574</v>
      </c>
      <c r="E109">
        <v>6.0574006057400607E-3</v>
      </c>
    </row>
    <row r="110" spans="1:5" x14ac:dyDescent="0.35">
      <c r="A110" s="1">
        <v>338</v>
      </c>
      <c r="B110" t="s">
        <v>3</v>
      </c>
      <c r="C110" s="3" t="s">
        <v>356</v>
      </c>
      <c r="D110">
        <v>43774.399641264652</v>
      </c>
      <c r="E110">
        <v>4.3774404018705054E-3</v>
      </c>
    </row>
    <row r="111" spans="1:5" hidden="1" x14ac:dyDescent="0.35">
      <c r="A111" s="1">
        <v>386</v>
      </c>
      <c r="B111" t="s">
        <v>3</v>
      </c>
      <c r="C111" t="s">
        <v>118</v>
      </c>
      <c r="D111">
        <v>37839.21</v>
      </c>
      <c r="E111">
        <v>3.7839213783921379E-3</v>
      </c>
    </row>
    <row r="112" spans="1:5" x14ac:dyDescent="0.35">
      <c r="A112" s="1">
        <v>166</v>
      </c>
      <c r="B112" t="s">
        <v>3</v>
      </c>
      <c r="C112" s="3" t="s">
        <v>96</v>
      </c>
      <c r="D112">
        <v>37827.322090852947</v>
      </c>
      <c r="E112">
        <v>3.7827325873585529E-3</v>
      </c>
    </row>
    <row r="113" spans="1:5" x14ac:dyDescent="0.35">
      <c r="A113" s="1">
        <v>304</v>
      </c>
      <c r="B113" t="s">
        <v>3</v>
      </c>
      <c r="C113" s="3" t="s">
        <v>107</v>
      </c>
      <c r="D113" s="5">
        <v>36490.417710000002</v>
      </c>
      <c r="E113">
        <v>3.649042135904214E-3</v>
      </c>
    </row>
    <row r="114" spans="1:5" hidden="1" x14ac:dyDescent="0.35">
      <c r="A114" s="1">
        <v>399</v>
      </c>
      <c r="B114" t="s">
        <v>3</v>
      </c>
      <c r="C114" t="s">
        <v>126</v>
      </c>
      <c r="D114">
        <v>35142.816767503333</v>
      </c>
      <c r="E114">
        <v>3.514282028178536E-3</v>
      </c>
    </row>
    <row r="115" spans="1:5" hidden="1" x14ac:dyDescent="0.35">
      <c r="A115" s="1">
        <v>136</v>
      </c>
      <c r="B115" t="s">
        <v>3</v>
      </c>
      <c r="C115" s="3" t="s">
        <v>212</v>
      </c>
      <c r="D115" s="5">
        <v>28762.640962058911</v>
      </c>
      <c r="E115">
        <v>2.87626438383233E-3</v>
      </c>
    </row>
    <row r="116" spans="1:5" x14ac:dyDescent="0.35">
      <c r="A116" s="1">
        <v>213</v>
      </c>
      <c r="B116" t="s">
        <v>3</v>
      </c>
      <c r="C116" s="3" t="s">
        <v>311</v>
      </c>
      <c r="D116">
        <v>28762.640962058911</v>
      </c>
      <c r="E116">
        <v>2.87626438383233E-3</v>
      </c>
    </row>
    <row r="117" spans="1:5" hidden="1" x14ac:dyDescent="0.35">
      <c r="A117" s="1">
        <v>390</v>
      </c>
      <c r="B117" t="s">
        <v>3</v>
      </c>
      <c r="C117" t="s">
        <v>122</v>
      </c>
      <c r="D117">
        <v>28726.18388</v>
      </c>
      <c r="E117">
        <v>2.8726186752618681E-3</v>
      </c>
    </row>
    <row r="118" spans="1:5" x14ac:dyDescent="0.35">
      <c r="A118" s="1">
        <v>215</v>
      </c>
      <c r="B118" t="s">
        <v>3</v>
      </c>
      <c r="C118" s="3" t="s">
        <v>396</v>
      </c>
      <c r="D118">
        <v>25402</v>
      </c>
      <c r="E118">
        <v>2.5402002540200249E-3</v>
      </c>
    </row>
    <row r="119" spans="1:5" x14ac:dyDescent="0.35">
      <c r="A119" s="1">
        <v>320</v>
      </c>
      <c r="B119" t="s">
        <v>3</v>
      </c>
      <c r="C119" s="3" t="s">
        <v>352</v>
      </c>
      <c r="D119" s="5">
        <v>25402</v>
      </c>
      <c r="E119">
        <v>2.5402002540200249E-3</v>
      </c>
    </row>
    <row r="120" spans="1:5" hidden="1" x14ac:dyDescent="0.35">
      <c r="A120" s="1">
        <v>408</v>
      </c>
      <c r="B120" t="s">
        <v>3</v>
      </c>
      <c r="C120" t="s">
        <v>133</v>
      </c>
      <c r="D120">
        <v>22071.504700000001</v>
      </c>
      <c r="E120">
        <v>2.2071506907150691E-3</v>
      </c>
    </row>
    <row r="121" spans="1:5" hidden="1" x14ac:dyDescent="0.35">
      <c r="A121" s="1">
        <v>407</v>
      </c>
      <c r="B121" t="s">
        <v>3</v>
      </c>
      <c r="C121" t="s">
        <v>132</v>
      </c>
      <c r="D121">
        <v>18008.063999999998</v>
      </c>
      <c r="E121">
        <v>1.8008065800806581E-3</v>
      </c>
    </row>
    <row r="122" spans="1:5" hidden="1" x14ac:dyDescent="0.35">
      <c r="A122" s="1">
        <v>382</v>
      </c>
      <c r="B122" t="s">
        <v>3</v>
      </c>
      <c r="C122" t="s">
        <v>116</v>
      </c>
      <c r="D122">
        <v>17600.3619</v>
      </c>
      <c r="E122">
        <v>1.7600363660036371E-3</v>
      </c>
    </row>
    <row r="123" spans="1:5" hidden="1" x14ac:dyDescent="0.35">
      <c r="A123" s="1">
        <v>388</v>
      </c>
      <c r="B123" t="s">
        <v>3</v>
      </c>
      <c r="C123" t="s">
        <v>120</v>
      </c>
      <c r="D123">
        <v>16841.526000000002</v>
      </c>
      <c r="E123">
        <v>1.6841527684152769E-3</v>
      </c>
    </row>
    <row r="124" spans="1:5" x14ac:dyDescent="0.35">
      <c r="A124" s="1">
        <v>316</v>
      </c>
      <c r="B124" t="s">
        <v>3</v>
      </c>
      <c r="C124" s="3" t="s">
        <v>397</v>
      </c>
      <c r="D124" s="5">
        <v>11669.450833333331</v>
      </c>
      <c r="E124">
        <v>1.166945200027853E-3</v>
      </c>
    </row>
    <row r="125" spans="1:5" hidden="1" x14ac:dyDescent="0.35">
      <c r="A125" s="1">
        <v>389</v>
      </c>
      <c r="B125" t="s">
        <v>3</v>
      </c>
      <c r="C125" t="s">
        <v>121</v>
      </c>
      <c r="D125">
        <v>10559.26945</v>
      </c>
      <c r="E125">
        <v>1.0559270505927051E-3</v>
      </c>
    </row>
    <row r="126" spans="1:5" x14ac:dyDescent="0.35">
      <c r="A126" s="1">
        <v>314</v>
      </c>
      <c r="B126" t="s">
        <v>3</v>
      </c>
      <c r="C126" s="3" t="s">
        <v>398</v>
      </c>
      <c r="D126">
        <v>7494.6891249999999</v>
      </c>
      <c r="E126">
        <v>7.4946898744689876E-4</v>
      </c>
    </row>
    <row r="127" spans="1:5" hidden="1" x14ac:dyDescent="0.35">
      <c r="A127" s="1">
        <v>380</v>
      </c>
      <c r="B127" t="s">
        <v>3</v>
      </c>
      <c r="C127" t="s">
        <v>114</v>
      </c>
      <c r="D127">
        <v>7367.5569999999998</v>
      </c>
      <c r="E127">
        <v>7.3675577367557734E-4</v>
      </c>
    </row>
    <row r="128" spans="1:5" hidden="1" x14ac:dyDescent="0.35">
      <c r="A128" s="1">
        <v>378</v>
      </c>
      <c r="B128" t="s">
        <v>3</v>
      </c>
      <c r="C128" t="s">
        <v>112</v>
      </c>
      <c r="D128">
        <v>6983.5983716019891</v>
      </c>
      <c r="E128">
        <v>6.9835990699618959E-4</v>
      </c>
    </row>
    <row r="129" spans="1:5" hidden="1" x14ac:dyDescent="0.35">
      <c r="A129" s="1">
        <v>375</v>
      </c>
      <c r="B129" t="s">
        <v>3</v>
      </c>
      <c r="C129" t="s">
        <v>110</v>
      </c>
      <c r="D129">
        <v>5354.6634399999994</v>
      </c>
      <c r="E129">
        <v>5.3546639754663966E-4</v>
      </c>
    </row>
    <row r="130" spans="1:5" x14ac:dyDescent="0.35">
      <c r="A130" s="1">
        <v>241</v>
      </c>
      <c r="B130" t="s">
        <v>3</v>
      </c>
      <c r="C130" s="3" t="s">
        <v>399</v>
      </c>
      <c r="D130">
        <v>3613.770355847626</v>
      </c>
      <c r="E130">
        <v>3.6137707172246978E-4</v>
      </c>
    </row>
    <row r="131" spans="1:5" x14ac:dyDescent="0.35">
      <c r="A131" s="1">
        <v>220</v>
      </c>
      <c r="B131" t="s">
        <v>3</v>
      </c>
      <c r="C131" s="3" t="s">
        <v>235</v>
      </c>
      <c r="D131">
        <v>3106.5989325080009</v>
      </c>
      <c r="E131">
        <v>3.1065992431679251E-4</v>
      </c>
    </row>
    <row r="132" spans="1:5" hidden="1" x14ac:dyDescent="0.35">
      <c r="A132" s="1">
        <v>403</v>
      </c>
      <c r="B132" t="s">
        <v>3</v>
      </c>
      <c r="C132" t="s">
        <v>129</v>
      </c>
      <c r="D132">
        <v>2882.15</v>
      </c>
      <c r="E132">
        <v>2.8821502882150289E-4</v>
      </c>
    </row>
    <row r="133" spans="1:5" hidden="1" x14ac:dyDescent="0.35">
      <c r="A133" s="1">
        <v>381</v>
      </c>
      <c r="B133" t="s">
        <v>3</v>
      </c>
      <c r="C133" t="s">
        <v>115</v>
      </c>
      <c r="D133">
        <v>1821.80213</v>
      </c>
      <c r="E133">
        <v>1.821802312180231E-4</v>
      </c>
    </row>
    <row r="134" spans="1:5" x14ac:dyDescent="0.35">
      <c r="A134" s="1">
        <v>339</v>
      </c>
      <c r="B134" t="s">
        <v>3</v>
      </c>
      <c r="C134" s="3" t="s">
        <v>305</v>
      </c>
      <c r="D134" s="5">
        <v>1029.2857709888781</v>
      </c>
      <c r="E134">
        <v>1.029285873917465E-4</v>
      </c>
    </row>
    <row r="135" spans="1:5" hidden="1" x14ac:dyDescent="0.35">
      <c r="A135" s="1">
        <v>419</v>
      </c>
      <c r="B135" t="s">
        <v>3</v>
      </c>
      <c r="C135" t="s">
        <v>144</v>
      </c>
      <c r="D135">
        <v>683.9</v>
      </c>
      <c r="E135">
        <v>6.839000683900068E-5</v>
      </c>
    </row>
    <row r="136" spans="1:5" hidden="1" x14ac:dyDescent="0.35">
      <c r="A136" s="1">
        <v>373</v>
      </c>
      <c r="B136" t="s">
        <v>3</v>
      </c>
      <c r="C136" t="s">
        <v>108</v>
      </c>
      <c r="D136">
        <v>527.10126999999989</v>
      </c>
      <c r="E136">
        <v>5.2710132271013222E-5</v>
      </c>
    </row>
    <row r="137" spans="1:5" hidden="1" x14ac:dyDescent="0.35">
      <c r="A137" s="1">
        <v>404</v>
      </c>
      <c r="B137" t="s">
        <v>3</v>
      </c>
      <c r="C137" t="s">
        <v>130</v>
      </c>
      <c r="D137">
        <v>391.16149000000001</v>
      </c>
      <c r="E137">
        <v>3.9116152911615291E-5</v>
      </c>
    </row>
    <row r="138" spans="1:5" hidden="1" x14ac:dyDescent="0.35">
      <c r="A138" s="1">
        <v>411</v>
      </c>
      <c r="B138" t="s">
        <v>3</v>
      </c>
      <c r="C138" t="s">
        <v>136</v>
      </c>
      <c r="D138">
        <v>209.71305000000001</v>
      </c>
      <c r="E138">
        <v>2.0971307097130711E-5</v>
      </c>
    </row>
    <row r="139" spans="1:5" hidden="1" x14ac:dyDescent="0.35">
      <c r="A139" s="1">
        <v>377</v>
      </c>
      <c r="B139" t="s">
        <v>3</v>
      </c>
      <c r="C139" t="s">
        <v>111</v>
      </c>
      <c r="D139">
        <v>146.55000000000001</v>
      </c>
      <c r="E139">
        <v>1.465500146550015E-5</v>
      </c>
    </row>
    <row r="140" spans="1:5" hidden="1" x14ac:dyDescent="0.35">
      <c r="A140" s="1">
        <v>385</v>
      </c>
      <c r="B140" t="s">
        <v>3</v>
      </c>
      <c r="C140" t="s">
        <v>117</v>
      </c>
      <c r="D140">
        <v>120.91352000000001</v>
      </c>
      <c r="E140">
        <v>1.209135320913532E-5</v>
      </c>
    </row>
    <row r="141" spans="1:5" hidden="1" x14ac:dyDescent="0.35">
      <c r="A141" s="1">
        <v>379</v>
      </c>
      <c r="B141" t="s">
        <v>3</v>
      </c>
      <c r="C141" t="s">
        <v>113</v>
      </c>
      <c r="D141">
        <v>79.527800000000013</v>
      </c>
      <c r="E141">
        <v>7.9527807952780803E-6</v>
      </c>
    </row>
    <row r="142" spans="1:5" hidden="1" x14ac:dyDescent="0.35">
      <c r="A142" s="1">
        <v>405</v>
      </c>
      <c r="B142" t="s">
        <v>3</v>
      </c>
      <c r="C142" t="s">
        <v>131</v>
      </c>
      <c r="D142">
        <v>37.145539999999997</v>
      </c>
      <c r="E142">
        <v>3.7145543714554371E-6</v>
      </c>
    </row>
    <row r="143" spans="1:5" hidden="1" x14ac:dyDescent="0.35">
      <c r="A143" s="1">
        <v>387</v>
      </c>
      <c r="B143" t="s">
        <v>3</v>
      </c>
      <c r="C143" t="s">
        <v>119</v>
      </c>
      <c r="D143">
        <v>19.452069999999999</v>
      </c>
      <c r="E143">
        <v>1.9452071945207199E-6</v>
      </c>
    </row>
    <row r="144" spans="1:5" hidden="1" x14ac:dyDescent="0.35">
      <c r="A144" s="1">
        <v>0</v>
      </c>
      <c r="B144" t="s">
        <v>3</v>
      </c>
      <c r="C144" s="3" t="s">
        <v>194</v>
      </c>
      <c r="D144">
        <v>0</v>
      </c>
      <c r="E144">
        <v>0</v>
      </c>
    </row>
    <row r="145" spans="1:5" hidden="1" x14ac:dyDescent="0.35">
      <c r="A145" s="1">
        <v>1</v>
      </c>
      <c r="B145" t="s">
        <v>3</v>
      </c>
      <c r="C145" s="3" t="s">
        <v>51</v>
      </c>
      <c r="D145" s="5">
        <v>0</v>
      </c>
      <c r="E145">
        <v>0</v>
      </c>
    </row>
    <row r="146" spans="1:5" hidden="1" x14ac:dyDescent="0.35">
      <c r="A146" s="1">
        <v>5</v>
      </c>
      <c r="B146" t="s">
        <v>3</v>
      </c>
      <c r="C146" s="3" t="s">
        <v>198</v>
      </c>
      <c r="D146">
        <v>0</v>
      </c>
      <c r="E146">
        <v>0</v>
      </c>
    </row>
    <row r="147" spans="1:5" hidden="1" x14ac:dyDescent="0.35">
      <c r="A147" s="1">
        <v>6</v>
      </c>
      <c r="B147" t="s">
        <v>3</v>
      </c>
      <c r="C147" s="3" t="s">
        <v>155</v>
      </c>
      <c r="D147">
        <v>0</v>
      </c>
      <c r="E147">
        <v>0</v>
      </c>
    </row>
    <row r="148" spans="1:5" hidden="1" x14ac:dyDescent="0.35">
      <c r="A148" s="1">
        <v>7</v>
      </c>
      <c r="B148" t="s">
        <v>3</v>
      </c>
      <c r="C148" s="3" t="s">
        <v>206</v>
      </c>
      <c r="D148" s="5">
        <v>0</v>
      </c>
      <c r="E148">
        <v>0</v>
      </c>
    </row>
    <row r="149" spans="1:5" hidden="1" x14ac:dyDescent="0.35">
      <c r="A149" s="1">
        <v>9</v>
      </c>
      <c r="B149" t="s">
        <v>3</v>
      </c>
      <c r="C149" s="3" t="s">
        <v>18</v>
      </c>
      <c r="D149">
        <v>0</v>
      </c>
      <c r="E149">
        <v>0</v>
      </c>
    </row>
    <row r="150" spans="1:5" hidden="1" x14ac:dyDescent="0.35">
      <c r="A150" s="1">
        <v>10</v>
      </c>
      <c r="B150" t="s">
        <v>3</v>
      </c>
      <c r="C150" s="3" t="s">
        <v>5</v>
      </c>
      <c r="D150">
        <v>0</v>
      </c>
      <c r="E150">
        <v>0</v>
      </c>
    </row>
    <row r="151" spans="1:5" hidden="1" x14ac:dyDescent="0.35">
      <c r="A151" s="1">
        <v>11</v>
      </c>
      <c r="B151" t="s">
        <v>3</v>
      </c>
      <c r="C151" s="3" t="s">
        <v>171</v>
      </c>
      <c r="D151">
        <v>0</v>
      </c>
      <c r="E151">
        <v>0</v>
      </c>
    </row>
    <row r="152" spans="1:5" hidden="1" x14ac:dyDescent="0.35">
      <c r="A152" s="1">
        <v>14</v>
      </c>
      <c r="B152" t="s">
        <v>3</v>
      </c>
      <c r="C152" s="3" t="s">
        <v>400</v>
      </c>
      <c r="D152" s="5">
        <v>0</v>
      </c>
      <c r="E152">
        <v>0</v>
      </c>
    </row>
    <row r="153" spans="1:5" hidden="1" x14ac:dyDescent="0.35">
      <c r="A153" s="1">
        <v>15</v>
      </c>
      <c r="B153" t="s">
        <v>3</v>
      </c>
      <c r="C153" s="3" t="s">
        <v>188</v>
      </c>
      <c r="D153">
        <v>0</v>
      </c>
      <c r="E153">
        <v>0</v>
      </c>
    </row>
    <row r="154" spans="1:5" hidden="1" x14ac:dyDescent="0.35">
      <c r="A154" s="1">
        <v>16</v>
      </c>
      <c r="B154" t="s">
        <v>3</v>
      </c>
      <c r="C154" s="3" t="s">
        <v>173</v>
      </c>
      <c r="D154">
        <v>0</v>
      </c>
      <c r="E154">
        <v>0</v>
      </c>
    </row>
    <row r="155" spans="1:5" hidden="1" x14ac:dyDescent="0.35">
      <c r="A155" s="1">
        <v>20</v>
      </c>
      <c r="B155" t="s">
        <v>3</v>
      </c>
      <c r="C155" s="3" t="s">
        <v>186</v>
      </c>
      <c r="D155" s="5">
        <v>0</v>
      </c>
      <c r="E155">
        <v>0</v>
      </c>
    </row>
    <row r="156" spans="1:5" hidden="1" x14ac:dyDescent="0.35">
      <c r="A156" s="1">
        <v>21</v>
      </c>
      <c r="B156" t="s">
        <v>3</v>
      </c>
      <c r="C156" s="3" t="s">
        <v>211</v>
      </c>
      <c r="D156">
        <v>0</v>
      </c>
      <c r="E156">
        <v>0</v>
      </c>
    </row>
    <row r="157" spans="1:5" hidden="1" x14ac:dyDescent="0.35">
      <c r="A157" s="1">
        <v>23</v>
      </c>
      <c r="B157" t="s">
        <v>3</v>
      </c>
      <c r="C157" s="3" t="s">
        <v>163</v>
      </c>
      <c r="D157" s="5">
        <v>0</v>
      </c>
      <c r="E157">
        <v>0</v>
      </c>
    </row>
    <row r="158" spans="1:5" hidden="1" x14ac:dyDescent="0.35">
      <c r="A158" s="1">
        <v>24</v>
      </c>
      <c r="B158" t="s">
        <v>3</v>
      </c>
      <c r="C158" s="3" t="s">
        <v>45</v>
      </c>
      <c r="D158">
        <v>0</v>
      </c>
      <c r="E158">
        <v>0</v>
      </c>
    </row>
    <row r="159" spans="1:5" hidden="1" x14ac:dyDescent="0.35">
      <c r="A159" s="1">
        <v>26</v>
      </c>
      <c r="B159" t="s">
        <v>3</v>
      </c>
      <c r="C159" s="3" t="s">
        <v>184</v>
      </c>
      <c r="D159">
        <v>0</v>
      </c>
      <c r="E159">
        <v>0</v>
      </c>
    </row>
    <row r="160" spans="1:5" hidden="1" x14ac:dyDescent="0.35">
      <c r="A160" s="1">
        <v>28</v>
      </c>
      <c r="B160" t="s">
        <v>3</v>
      </c>
      <c r="C160" s="3" t="s">
        <v>34</v>
      </c>
      <c r="D160">
        <v>0</v>
      </c>
      <c r="E160">
        <v>0</v>
      </c>
    </row>
    <row r="161" spans="1:5" hidden="1" x14ac:dyDescent="0.35">
      <c r="A161" s="1">
        <v>29</v>
      </c>
      <c r="B161" t="s">
        <v>3</v>
      </c>
      <c r="C161" s="3" t="s">
        <v>207</v>
      </c>
      <c r="D161">
        <v>0</v>
      </c>
      <c r="E161">
        <v>0</v>
      </c>
    </row>
    <row r="162" spans="1:5" hidden="1" x14ac:dyDescent="0.35">
      <c r="A162" s="1">
        <v>30</v>
      </c>
      <c r="B162" t="s">
        <v>3</v>
      </c>
      <c r="C162" s="3" t="s">
        <v>172</v>
      </c>
      <c r="D162" s="5">
        <v>0</v>
      </c>
      <c r="E162">
        <v>0</v>
      </c>
    </row>
    <row r="163" spans="1:5" hidden="1" x14ac:dyDescent="0.35">
      <c r="A163" s="1">
        <v>31</v>
      </c>
      <c r="B163" t="s">
        <v>3</v>
      </c>
      <c r="C163" s="3" t="s">
        <v>401</v>
      </c>
      <c r="D163">
        <v>0</v>
      </c>
      <c r="E163">
        <v>0</v>
      </c>
    </row>
    <row r="164" spans="1:5" hidden="1" x14ac:dyDescent="0.35">
      <c r="A164" s="1">
        <v>32</v>
      </c>
      <c r="B164" t="s">
        <v>3</v>
      </c>
      <c r="C164" s="3" t="s">
        <v>35</v>
      </c>
      <c r="D164">
        <v>0</v>
      </c>
      <c r="E164">
        <v>0</v>
      </c>
    </row>
    <row r="165" spans="1:5" hidden="1" x14ac:dyDescent="0.35">
      <c r="A165" s="1">
        <v>34</v>
      </c>
      <c r="B165" t="s">
        <v>3</v>
      </c>
      <c r="C165" s="3" t="s">
        <v>160</v>
      </c>
      <c r="D165">
        <v>0</v>
      </c>
      <c r="E165">
        <v>0</v>
      </c>
    </row>
    <row r="166" spans="1:5" hidden="1" x14ac:dyDescent="0.35">
      <c r="A166" s="1">
        <v>35</v>
      </c>
      <c r="B166" t="s">
        <v>3</v>
      </c>
      <c r="C166" s="3" t="s">
        <v>53</v>
      </c>
      <c r="D166">
        <v>0</v>
      </c>
      <c r="E166">
        <v>0</v>
      </c>
    </row>
    <row r="167" spans="1:5" hidden="1" x14ac:dyDescent="0.35">
      <c r="A167" s="1">
        <v>36</v>
      </c>
      <c r="B167" t="s">
        <v>3</v>
      </c>
      <c r="C167" s="3" t="s">
        <v>203</v>
      </c>
      <c r="D167">
        <v>0</v>
      </c>
      <c r="E167">
        <v>0</v>
      </c>
    </row>
    <row r="168" spans="1:5" hidden="1" x14ac:dyDescent="0.35">
      <c r="A168" s="1">
        <v>38</v>
      </c>
      <c r="B168" t="s">
        <v>3</v>
      </c>
      <c r="C168" s="3" t="s">
        <v>158</v>
      </c>
      <c r="D168">
        <v>0</v>
      </c>
      <c r="E168">
        <v>0</v>
      </c>
    </row>
    <row r="169" spans="1:5" hidden="1" x14ac:dyDescent="0.35">
      <c r="A169" s="1">
        <v>39</v>
      </c>
      <c r="B169" t="s">
        <v>3</v>
      </c>
      <c r="C169" s="3" t="s">
        <v>170</v>
      </c>
      <c r="D169" s="5">
        <v>0</v>
      </c>
      <c r="E169">
        <v>0</v>
      </c>
    </row>
    <row r="170" spans="1:5" hidden="1" x14ac:dyDescent="0.35">
      <c r="A170" s="1">
        <v>40</v>
      </c>
      <c r="B170" t="s">
        <v>3</v>
      </c>
      <c r="C170" s="3" t="s">
        <v>10</v>
      </c>
      <c r="D170">
        <v>0</v>
      </c>
      <c r="E170">
        <v>0</v>
      </c>
    </row>
    <row r="171" spans="1:5" hidden="1" x14ac:dyDescent="0.35">
      <c r="A171" s="1">
        <v>43</v>
      </c>
      <c r="B171" t="s">
        <v>3</v>
      </c>
      <c r="C171" s="3" t="s">
        <v>153</v>
      </c>
      <c r="D171">
        <v>0</v>
      </c>
      <c r="E171">
        <v>0</v>
      </c>
    </row>
    <row r="172" spans="1:5" hidden="1" x14ac:dyDescent="0.35">
      <c r="A172" s="1">
        <v>44</v>
      </c>
      <c r="B172" t="s">
        <v>3</v>
      </c>
      <c r="C172" s="3" t="s">
        <v>8</v>
      </c>
      <c r="D172" s="5">
        <v>0</v>
      </c>
      <c r="E172">
        <v>0</v>
      </c>
    </row>
    <row r="173" spans="1:5" hidden="1" x14ac:dyDescent="0.35">
      <c r="A173" s="1">
        <v>45</v>
      </c>
      <c r="B173" t="s">
        <v>3</v>
      </c>
      <c r="C173" s="3" t="s">
        <v>25</v>
      </c>
      <c r="D173" s="5">
        <v>0</v>
      </c>
      <c r="E173">
        <v>0</v>
      </c>
    </row>
    <row r="174" spans="1:5" hidden="1" x14ac:dyDescent="0.35">
      <c r="A174" s="1">
        <v>46</v>
      </c>
      <c r="B174" t="s">
        <v>3</v>
      </c>
      <c r="C174" s="3" t="s">
        <v>162</v>
      </c>
      <c r="D174">
        <v>0</v>
      </c>
      <c r="E174">
        <v>0</v>
      </c>
    </row>
    <row r="175" spans="1:5" hidden="1" x14ac:dyDescent="0.35">
      <c r="A175" s="1">
        <v>47</v>
      </c>
      <c r="B175" t="s">
        <v>3</v>
      </c>
      <c r="C175" s="3" t="s">
        <v>175</v>
      </c>
      <c r="D175">
        <v>0</v>
      </c>
      <c r="E175">
        <v>0</v>
      </c>
    </row>
    <row r="176" spans="1:5" hidden="1" x14ac:dyDescent="0.35">
      <c r="A176" s="1">
        <v>49</v>
      </c>
      <c r="B176" t="s">
        <v>3</v>
      </c>
      <c r="C176" s="3" t="s">
        <v>154</v>
      </c>
      <c r="D176">
        <v>0</v>
      </c>
      <c r="E176">
        <v>0</v>
      </c>
    </row>
    <row r="177" spans="1:5" hidden="1" x14ac:dyDescent="0.35">
      <c r="A177" s="1">
        <v>50</v>
      </c>
      <c r="B177" t="s">
        <v>3</v>
      </c>
      <c r="C177" s="3" t="s">
        <v>23</v>
      </c>
      <c r="D177">
        <v>0</v>
      </c>
      <c r="E177">
        <v>0</v>
      </c>
    </row>
    <row r="178" spans="1:5" hidden="1" x14ac:dyDescent="0.35">
      <c r="A178" s="1">
        <v>51</v>
      </c>
      <c r="B178" t="s">
        <v>3</v>
      </c>
      <c r="C178" s="3" t="s">
        <v>204</v>
      </c>
      <c r="D178">
        <v>0</v>
      </c>
      <c r="E178">
        <v>0</v>
      </c>
    </row>
    <row r="179" spans="1:5" hidden="1" x14ac:dyDescent="0.35">
      <c r="A179" s="1">
        <v>52</v>
      </c>
      <c r="B179" t="s">
        <v>3</v>
      </c>
      <c r="C179" s="3" t="s">
        <v>209</v>
      </c>
      <c r="D179" s="5">
        <v>0</v>
      </c>
      <c r="E179">
        <v>0</v>
      </c>
    </row>
    <row r="180" spans="1:5" hidden="1" x14ac:dyDescent="0.35">
      <c r="A180" s="1">
        <v>55</v>
      </c>
      <c r="B180" t="s">
        <v>3</v>
      </c>
      <c r="C180" s="3" t="s">
        <v>201</v>
      </c>
      <c r="D180" s="5">
        <v>0</v>
      </c>
      <c r="E180">
        <v>0</v>
      </c>
    </row>
    <row r="181" spans="1:5" hidden="1" x14ac:dyDescent="0.35">
      <c r="A181" s="1">
        <v>56</v>
      </c>
      <c r="B181" t="s">
        <v>3</v>
      </c>
      <c r="C181" s="3" t="s">
        <v>52</v>
      </c>
      <c r="D181" s="5">
        <v>0</v>
      </c>
      <c r="E181">
        <v>0</v>
      </c>
    </row>
    <row r="182" spans="1:5" hidden="1" x14ac:dyDescent="0.35">
      <c r="A182" s="1">
        <v>58</v>
      </c>
      <c r="B182" t="s">
        <v>3</v>
      </c>
      <c r="C182" s="3" t="s">
        <v>191</v>
      </c>
      <c r="D182" s="5">
        <v>0</v>
      </c>
      <c r="E182">
        <v>0</v>
      </c>
    </row>
    <row r="183" spans="1:5" hidden="1" x14ac:dyDescent="0.35">
      <c r="A183" s="1">
        <v>60</v>
      </c>
      <c r="B183" t="s">
        <v>3</v>
      </c>
      <c r="C183" s="3" t="s">
        <v>22</v>
      </c>
      <c r="D183" s="5">
        <v>0</v>
      </c>
      <c r="E183">
        <v>0</v>
      </c>
    </row>
    <row r="184" spans="1:5" hidden="1" x14ac:dyDescent="0.35">
      <c r="A184" s="1">
        <v>61</v>
      </c>
      <c r="B184" t="s">
        <v>3</v>
      </c>
      <c r="C184" s="3" t="s">
        <v>48</v>
      </c>
      <c r="D184">
        <v>0</v>
      </c>
      <c r="E184">
        <v>0</v>
      </c>
    </row>
    <row r="185" spans="1:5" hidden="1" x14ac:dyDescent="0.35">
      <c r="A185" s="1">
        <v>62</v>
      </c>
      <c r="B185" t="s">
        <v>3</v>
      </c>
      <c r="C185" s="3" t="s">
        <v>164</v>
      </c>
      <c r="D185" s="5">
        <v>0</v>
      </c>
      <c r="E185">
        <v>0</v>
      </c>
    </row>
    <row r="186" spans="1:5" hidden="1" x14ac:dyDescent="0.35">
      <c r="A186" s="1">
        <v>64</v>
      </c>
      <c r="B186" t="s">
        <v>3</v>
      </c>
      <c r="C186" s="3" t="s">
        <v>189</v>
      </c>
      <c r="D186">
        <v>0</v>
      </c>
      <c r="E186">
        <v>0</v>
      </c>
    </row>
    <row r="187" spans="1:5" hidden="1" x14ac:dyDescent="0.35">
      <c r="A187" s="1">
        <v>65</v>
      </c>
      <c r="B187" t="s">
        <v>3</v>
      </c>
      <c r="C187" s="3" t="s">
        <v>166</v>
      </c>
      <c r="D187" s="5">
        <v>0</v>
      </c>
      <c r="E187">
        <v>0</v>
      </c>
    </row>
    <row r="188" spans="1:5" hidden="1" x14ac:dyDescent="0.35">
      <c r="A188" s="1">
        <v>68</v>
      </c>
      <c r="B188" t="s">
        <v>3</v>
      </c>
      <c r="C188" s="3" t="s">
        <v>168</v>
      </c>
      <c r="D188">
        <v>0</v>
      </c>
      <c r="E188">
        <v>0</v>
      </c>
    </row>
    <row r="189" spans="1:5" hidden="1" x14ac:dyDescent="0.35">
      <c r="A189" s="1">
        <v>69</v>
      </c>
      <c r="B189" t="s">
        <v>3</v>
      </c>
      <c r="C189" s="3" t="s">
        <v>181</v>
      </c>
      <c r="D189">
        <v>0</v>
      </c>
      <c r="E189">
        <v>0</v>
      </c>
    </row>
    <row r="190" spans="1:5" hidden="1" x14ac:dyDescent="0.35">
      <c r="A190" s="1">
        <v>70</v>
      </c>
      <c r="B190" t="s">
        <v>3</v>
      </c>
      <c r="C190" s="3" t="s">
        <v>182</v>
      </c>
      <c r="D190" s="5">
        <v>0</v>
      </c>
      <c r="E190">
        <v>0</v>
      </c>
    </row>
    <row r="191" spans="1:5" hidden="1" x14ac:dyDescent="0.35">
      <c r="A191" s="1">
        <v>71</v>
      </c>
      <c r="B191" t="s">
        <v>3</v>
      </c>
      <c r="C191" s="3" t="s">
        <v>161</v>
      </c>
      <c r="D191">
        <v>0</v>
      </c>
      <c r="E191">
        <v>0</v>
      </c>
    </row>
    <row r="192" spans="1:5" hidden="1" x14ac:dyDescent="0.35">
      <c r="A192" s="1">
        <v>72</v>
      </c>
      <c r="B192" t="s">
        <v>3</v>
      </c>
      <c r="C192" s="3" t="s">
        <v>38</v>
      </c>
      <c r="D192">
        <v>0</v>
      </c>
      <c r="E192">
        <v>0</v>
      </c>
    </row>
    <row r="193" spans="1:5" hidden="1" x14ac:dyDescent="0.35">
      <c r="A193" s="1">
        <v>76</v>
      </c>
      <c r="B193" t="s">
        <v>3</v>
      </c>
      <c r="C193" s="3" t="s">
        <v>165</v>
      </c>
      <c r="D193">
        <v>0</v>
      </c>
      <c r="E193">
        <v>0</v>
      </c>
    </row>
    <row r="194" spans="1:5" hidden="1" x14ac:dyDescent="0.35">
      <c r="A194" s="1">
        <v>79</v>
      </c>
      <c r="B194" t="s">
        <v>3</v>
      </c>
      <c r="C194" s="3" t="s">
        <v>178</v>
      </c>
      <c r="D194">
        <v>0</v>
      </c>
      <c r="E194">
        <v>0</v>
      </c>
    </row>
    <row r="195" spans="1:5" hidden="1" x14ac:dyDescent="0.35">
      <c r="A195" s="1">
        <v>80</v>
      </c>
      <c r="B195" t="s">
        <v>3</v>
      </c>
      <c r="C195" s="3" t="s">
        <v>185</v>
      </c>
      <c r="D195">
        <v>0</v>
      </c>
      <c r="E195">
        <v>0</v>
      </c>
    </row>
    <row r="196" spans="1:5" hidden="1" x14ac:dyDescent="0.35">
      <c r="A196" s="1">
        <v>81</v>
      </c>
      <c r="B196" t="s">
        <v>3</v>
      </c>
      <c r="C196" s="3" t="s">
        <v>177</v>
      </c>
      <c r="D196">
        <v>0</v>
      </c>
      <c r="E196">
        <v>0</v>
      </c>
    </row>
    <row r="197" spans="1:5" hidden="1" x14ac:dyDescent="0.35">
      <c r="A197" s="1">
        <v>82</v>
      </c>
      <c r="B197" t="s">
        <v>3</v>
      </c>
      <c r="C197" s="3" t="s">
        <v>202</v>
      </c>
      <c r="D197" s="5">
        <v>0</v>
      </c>
      <c r="E197">
        <v>0</v>
      </c>
    </row>
    <row r="198" spans="1:5" hidden="1" x14ac:dyDescent="0.35">
      <c r="A198" s="1">
        <v>84</v>
      </c>
      <c r="B198" t="s">
        <v>3</v>
      </c>
      <c r="C198" s="3" t="s">
        <v>196</v>
      </c>
      <c r="D198">
        <v>0</v>
      </c>
      <c r="E198">
        <v>0</v>
      </c>
    </row>
    <row r="199" spans="1:5" hidden="1" x14ac:dyDescent="0.35">
      <c r="A199" s="1">
        <v>85</v>
      </c>
      <c r="B199" t="s">
        <v>3</v>
      </c>
      <c r="C199" s="3" t="s">
        <v>192</v>
      </c>
      <c r="D199" s="5">
        <v>0</v>
      </c>
      <c r="E199">
        <v>0</v>
      </c>
    </row>
    <row r="200" spans="1:5" hidden="1" x14ac:dyDescent="0.35">
      <c r="A200" s="1">
        <v>86</v>
      </c>
      <c r="B200" t="s">
        <v>3</v>
      </c>
      <c r="C200" s="3" t="s">
        <v>157</v>
      </c>
      <c r="D200" s="5">
        <v>0</v>
      </c>
      <c r="E200">
        <v>0</v>
      </c>
    </row>
    <row r="201" spans="1:5" hidden="1" x14ac:dyDescent="0.35">
      <c r="A201" s="1">
        <v>87</v>
      </c>
      <c r="B201" t="s">
        <v>3</v>
      </c>
      <c r="C201" s="3" t="s">
        <v>200</v>
      </c>
      <c r="D201" s="5">
        <v>0</v>
      </c>
      <c r="E201">
        <v>0</v>
      </c>
    </row>
    <row r="202" spans="1:5" hidden="1" x14ac:dyDescent="0.35">
      <c r="A202" s="1">
        <v>88</v>
      </c>
      <c r="B202" t="s">
        <v>3</v>
      </c>
      <c r="C202" s="3" t="s">
        <v>30</v>
      </c>
      <c r="D202" s="5">
        <v>0</v>
      </c>
      <c r="E202">
        <v>0</v>
      </c>
    </row>
    <row r="203" spans="1:5" hidden="1" x14ac:dyDescent="0.35">
      <c r="A203" s="1">
        <v>89</v>
      </c>
      <c r="B203" t="s">
        <v>3</v>
      </c>
      <c r="C203" s="3" t="s">
        <v>174</v>
      </c>
      <c r="D203" s="5">
        <v>0</v>
      </c>
      <c r="E203">
        <v>0</v>
      </c>
    </row>
    <row r="204" spans="1:5" hidden="1" x14ac:dyDescent="0.35">
      <c r="A204" s="1">
        <v>90</v>
      </c>
      <c r="B204" t="s">
        <v>3</v>
      </c>
      <c r="C204" s="3" t="s">
        <v>15</v>
      </c>
      <c r="D204" s="5">
        <v>0</v>
      </c>
      <c r="E204">
        <v>0</v>
      </c>
    </row>
    <row r="205" spans="1:5" hidden="1" x14ac:dyDescent="0.35">
      <c r="A205" s="1">
        <v>91</v>
      </c>
      <c r="B205" t="s">
        <v>3</v>
      </c>
      <c r="C205" s="3" t="s">
        <v>159</v>
      </c>
      <c r="D205">
        <v>0</v>
      </c>
      <c r="E205">
        <v>0</v>
      </c>
    </row>
    <row r="206" spans="1:5" hidden="1" x14ac:dyDescent="0.35">
      <c r="A206" s="1">
        <v>92</v>
      </c>
      <c r="B206" t="s">
        <v>3</v>
      </c>
      <c r="C206" s="3" t="s">
        <v>180</v>
      </c>
      <c r="D206">
        <v>0</v>
      </c>
      <c r="E206">
        <v>0</v>
      </c>
    </row>
    <row r="207" spans="1:5" hidden="1" x14ac:dyDescent="0.35">
      <c r="A207" s="1">
        <v>93</v>
      </c>
      <c r="B207" t="s">
        <v>3</v>
      </c>
      <c r="C207" s="3" t="s">
        <v>156</v>
      </c>
      <c r="D207">
        <v>0</v>
      </c>
      <c r="E207">
        <v>0</v>
      </c>
    </row>
    <row r="208" spans="1:5" hidden="1" x14ac:dyDescent="0.35">
      <c r="A208" s="1">
        <v>94</v>
      </c>
      <c r="B208" t="s">
        <v>3</v>
      </c>
      <c r="C208" s="3" t="s">
        <v>11</v>
      </c>
      <c r="D208">
        <v>0</v>
      </c>
      <c r="E208">
        <v>0</v>
      </c>
    </row>
    <row r="209" spans="1:5" hidden="1" x14ac:dyDescent="0.35">
      <c r="A209" s="1">
        <v>95</v>
      </c>
      <c r="B209" t="s">
        <v>3</v>
      </c>
      <c r="C209" s="3" t="s">
        <v>176</v>
      </c>
      <c r="D209" s="5">
        <v>0</v>
      </c>
      <c r="E209">
        <v>0</v>
      </c>
    </row>
    <row r="210" spans="1:5" hidden="1" x14ac:dyDescent="0.35">
      <c r="A210" s="1">
        <v>96</v>
      </c>
      <c r="B210" t="s">
        <v>3</v>
      </c>
      <c r="C210" s="3" t="s">
        <v>32</v>
      </c>
      <c r="D210" s="5">
        <v>0</v>
      </c>
      <c r="E210">
        <v>0</v>
      </c>
    </row>
    <row r="211" spans="1:5" hidden="1" x14ac:dyDescent="0.35">
      <c r="A211" s="1">
        <v>97</v>
      </c>
      <c r="B211" t="s">
        <v>3</v>
      </c>
      <c r="C211" s="3" t="s">
        <v>42</v>
      </c>
      <c r="D211">
        <v>0</v>
      </c>
      <c r="E211">
        <v>0</v>
      </c>
    </row>
    <row r="212" spans="1:5" hidden="1" x14ac:dyDescent="0.35">
      <c r="A212" s="1">
        <v>99</v>
      </c>
      <c r="B212" t="s">
        <v>3</v>
      </c>
      <c r="C212" s="3" t="s">
        <v>49</v>
      </c>
      <c r="D212">
        <v>0</v>
      </c>
      <c r="E212">
        <v>0</v>
      </c>
    </row>
    <row r="213" spans="1:5" hidden="1" x14ac:dyDescent="0.35">
      <c r="A213" s="1">
        <v>100</v>
      </c>
      <c r="B213" t="s">
        <v>3</v>
      </c>
      <c r="C213" s="3" t="s">
        <v>197</v>
      </c>
      <c r="D213">
        <v>0</v>
      </c>
      <c r="E213">
        <v>0</v>
      </c>
    </row>
    <row r="214" spans="1:5" hidden="1" x14ac:dyDescent="0.35">
      <c r="A214" s="1">
        <v>101</v>
      </c>
      <c r="B214" t="s">
        <v>3</v>
      </c>
      <c r="C214" s="3" t="s">
        <v>179</v>
      </c>
      <c r="D214" s="5">
        <v>0</v>
      </c>
      <c r="E214">
        <v>0</v>
      </c>
    </row>
    <row r="215" spans="1:5" hidden="1" x14ac:dyDescent="0.35">
      <c r="A215" s="1">
        <v>105</v>
      </c>
      <c r="B215" t="s">
        <v>3</v>
      </c>
      <c r="C215" s="3" t="s">
        <v>39</v>
      </c>
      <c r="D215">
        <v>0</v>
      </c>
      <c r="E215">
        <v>0</v>
      </c>
    </row>
    <row r="216" spans="1:5" hidden="1" x14ac:dyDescent="0.35">
      <c r="A216" s="1">
        <v>106</v>
      </c>
      <c r="B216" t="s">
        <v>3</v>
      </c>
      <c r="C216" s="3" t="s">
        <v>195</v>
      </c>
      <c r="D216" s="5">
        <v>0</v>
      </c>
      <c r="E216">
        <v>0</v>
      </c>
    </row>
    <row r="217" spans="1:5" hidden="1" x14ac:dyDescent="0.35">
      <c r="A217" s="1">
        <v>107</v>
      </c>
      <c r="B217" t="s">
        <v>3</v>
      </c>
      <c r="C217" s="3" t="s">
        <v>12</v>
      </c>
      <c r="D217">
        <v>0</v>
      </c>
      <c r="E217">
        <v>0</v>
      </c>
    </row>
    <row r="218" spans="1:5" hidden="1" x14ac:dyDescent="0.35">
      <c r="A218" s="1">
        <v>109</v>
      </c>
      <c r="B218" t="s">
        <v>3</v>
      </c>
      <c r="C218" s="3" t="s">
        <v>402</v>
      </c>
      <c r="D218" s="5">
        <v>0</v>
      </c>
      <c r="E218">
        <v>0</v>
      </c>
    </row>
    <row r="219" spans="1:5" hidden="1" x14ac:dyDescent="0.35">
      <c r="A219" s="1">
        <v>110</v>
      </c>
      <c r="B219" t="s">
        <v>3</v>
      </c>
      <c r="C219" s="3" t="s">
        <v>210</v>
      </c>
      <c r="D219" s="5">
        <v>0</v>
      </c>
      <c r="E219">
        <v>0</v>
      </c>
    </row>
    <row r="220" spans="1:5" hidden="1" x14ac:dyDescent="0.35">
      <c r="A220" s="1">
        <v>111</v>
      </c>
      <c r="B220" t="s">
        <v>3</v>
      </c>
      <c r="C220" s="3" t="s">
        <v>193</v>
      </c>
      <c r="D220" s="5">
        <v>0</v>
      </c>
      <c r="E220">
        <v>0</v>
      </c>
    </row>
    <row r="221" spans="1:5" hidden="1" x14ac:dyDescent="0.35">
      <c r="A221" s="1">
        <v>113</v>
      </c>
      <c r="B221" t="s">
        <v>3</v>
      </c>
      <c r="C221" s="3" t="s">
        <v>205</v>
      </c>
      <c r="D221" s="5">
        <v>0</v>
      </c>
      <c r="E221">
        <v>0</v>
      </c>
    </row>
    <row r="222" spans="1:5" hidden="1" x14ac:dyDescent="0.35">
      <c r="A222" s="1">
        <v>115</v>
      </c>
      <c r="B222" t="s">
        <v>3</v>
      </c>
      <c r="C222" s="3" t="s">
        <v>63</v>
      </c>
      <c r="D222" s="5">
        <v>0</v>
      </c>
      <c r="E222">
        <v>0</v>
      </c>
    </row>
    <row r="223" spans="1:5" hidden="1" x14ac:dyDescent="0.35">
      <c r="A223" s="1">
        <v>134</v>
      </c>
      <c r="B223" t="s">
        <v>3</v>
      </c>
      <c r="C223" s="3" t="s">
        <v>213</v>
      </c>
      <c r="D223" s="5">
        <v>0</v>
      </c>
      <c r="E223">
        <v>0</v>
      </c>
    </row>
    <row r="224" spans="1:5" x14ac:dyDescent="0.35">
      <c r="A224" s="1">
        <v>142</v>
      </c>
      <c r="B224" t="s">
        <v>3</v>
      </c>
      <c r="C224" s="3" t="s">
        <v>214</v>
      </c>
      <c r="D224" s="5">
        <v>0</v>
      </c>
      <c r="E224">
        <v>0</v>
      </c>
    </row>
    <row r="225" spans="1:5" x14ac:dyDescent="0.35">
      <c r="A225" s="1">
        <v>147</v>
      </c>
      <c r="B225" t="s">
        <v>3</v>
      </c>
      <c r="C225" s="3" t="s">
        <v>74</v>
      </c>
      <c r="D225">
        <v>0</v>
      </c>
      <c r="E225">
        <v>0</v>
      </c>
    </row>
    <row r="226" spans="1:5" hidden="1" x14ac:dyDescent="0.35">
      <c r="A226" s="1">
        <v>149</v>
      </c>
      <c r="B226" t="s">
        <v>3</v>
      </c>
      <c r="C226" s="3" t="s">
        <v>215</v>
      </c>
      <c r="D226" s="5">
        <v>0</v>
      </c>
      <c r="E226">
        <v>0</v>
      </c>
    </row>
    <row r="227" spans="1:5" hidden="1" x14ac:dyDescent="0.35">
      <c r="A227" s="1">
        <v>151</v>
      </c>
      <c r="B227" t="s">
        <v>3</v>
      </c>
      <c r="C227" s="3" t="s">
        <v>220</v>
      </c>
      <c r="D227">
        <v>0</v>
      </c>
      <c r="E227">
        <v>0</v>
      </c>
    </row>
    <row r="228" spans="1:5" hidden="1" x14ac:dyDescent="0.35">
      <c r="A228" s="1">
        <v>154</v>
      </c>
      <c r="B228" t="s">
        <v>3</v>
      </c>
      <c r="C228" s="3" t="s">
        <v>219</v>
      </c>
      <c r="D228">
        <v>0</v>
      </c>
      <c r="E228">
        <v>0</v>
      </c>
    </row>
    <row r="229" spans="1:5" hidden="1" x14ac:dyDescent="0.35">
      <c r="A229" s="1">
        <v>155</v>
      </c>
      <c r="B229" t="s">
        <v>3</v>
      </c>
      <c r="C229" s="3" t="s">
        <v>216</v>
      </c>
      <c r="D229">
        <v>0</v>
      </c>
      <c r="E229">
        <v>0</v>
      </c>
    </row>
    <row r="230" spans="1:5" hidden="1" x14ac:dyDescent="0.35">
      <c r="A230" s="1">
        <v>156</v>
      </c>
      <c r="B230" t="s">
        <v>3</v>
      </c>
      <c r="C230" s="3" t="s">
        <v>218</v>
      </c>
      <c r="D230">
        <v>0</v>
      </c>
      <c r="E230">
        <v>0</v>
      </c>
    </row>
    <row r="231" spans="1:5" hidden="1" x14ac:dyDescent="0.35">
      <c r="A231" s="1">
        <v>157</v>
      </c>
      <c r="B231" t="s">
        <v>3</v>
      </c>
      <c r="C231" s="3" t="s">
        <v>217</v>
      </c>
      <c r="D231">
        <v>0</v>
      </c>
      <c r="E231">
        <v>0</v>
      </c>
    </row>
    <row r="232" spans="1:5" hidden="1" x14ac:dyDescent="0.35">
      <c r="A232" s="1">
        <v>158</v>
      </c>
      <c r="B232" t="s">
        <v>3</v>
      </c>
      <c r="C232" s="3" t="s">
        <v>81</v>
      </c>
      <c r="D232">
        <v>0</v>
      </c>
      <c r="E232">
        <v>0</v>
      </c>
    </row>
    <row r="233" spans="1:5" x14ac:dyDescent="0.35">
      <c r="A233" s="1">
        <v>160</v>
      </c>
      <c r="B233" t="s">
        <v>3</v>
      </c>
      <c r="C233" s="3" t="s">
        <v>335</v>
      </c>
      <c r="D233">
        <v>0</v>
      </c>
      <c r="E233">
        <v>0</v>
      </c>
    </row>
    <row r="234" spans="1:5" x14ac:dyDescent="0.35">
      <c r="A234" s="1">
        <v>161</v>
      </c>
      <c r="B234" t="s">
        <v>3</v>
      </c>
      <c r="C234" s="3" t="s">
        <v>244</v>
      </c>
      <c r="D234">
        <v>0</v>
      </c>
      <c r="E234">
        <v>0</v>
      </c>
    </row>
    <row r="235" spans="1:5" x14ac:dyDescent="0.35">
      <c r="A235" s="1">
        <v>162</v>
      </c>
      <c r="B235" t="s">
        <v>3</v>
      </c>
      <c r="C235" s="3" t="s">
        <v>319</v>
      </c>
      <c r="D235">
        <v>0</v>
      </c>
      <c r="E235">
        <v>0</v>
      </c>
    </row>
    <row r="236" spans="1:5" x14ac:dyDescent="0.35">
      <c r="A236" s="1">
        <v>163</v>
      </c>
      <c r="B236" t="s">
        <v>3</v>
      </c>
      <c r="C236" s="3" t="s">
        <v>232</v>
      </c>
      <c r="D236">
        <v>0</v>
      </c>
      <c r="E236">
        <v>0</v>
      </c>
    </row>
    <row r="237" spans="1:5" x14ac:dyDescent="0.35">
      <c r="A237" s="1">
        <v>164</v>
      </c>
      <c r="B237" t="s">
        <v>3</v>
      </c>
      <c r="C237" s="3" t="s">
        <v>334</v>
      </c>
      <c r="D237">
        <v>0</v>
      </c>
      <c r="E237">
        <v>0</v>
      </c>
    </row>
    <row r="238" spans="1:5" x14ac:dyDescent="0.35">
      <c r="A238" s="1">
        <v>165</v>
      </c>
      <c r="B238" t="s">
        <v>3</v>
      </c>
      <c r="C238" s="3" t="s">
        <v>403</v>
      </c>
      <c r="D238">
        <v>0</v>
      </c>
      <c r="E238">
        <v>0</v>
      </c>
    </row>
    <row r="239" spans="1:5" x14ac:dyDescent="0.35">
      <c r="A239" s="1">
        <v>167</v>
      </c>
      <c r="B239" t="s">
        <v>3</v>
      </c>
      <c r="C239" s="3" t="s">
        <v>263</v>
      </c>
      <c r="D239">
        <v>0</v>
      </c>
      <c r="E239">
        <v>0</v>
      </c>
    </row>
    <row r="240" spans="1:5" x14ac:dyDescent="0.35">
      <c r="A240" s="1">
        <v>168</v>
      </c>
      <c r="B240" t="s">
        <v>3</v>
      </c>
      <c r="C240" s="3" t="s">
        <v>276</v>
      </c>
      <c r="D240">
        <v>0</v>
      </c>
      <c r="E240">
        <v>0</v>
      </c>
    </row>
    <row r="241" spans="1:5" x14ac:dyDescent="0.35">
      <c r="A241" s="1">
        <v>169</v>
      </c>
      <c r="B241" t="s">
        <v>3</v>
      </c>
      <c r="C241" s="3" t="s">
        <v>323</v>
      </c>
      <c r="D241">
        <v>0</v>
      </c>
      <c r="E241">
        <v>0</v>
      </c>
    </row>
    <row r="242" spans="1:5" x14ac:dyDescent="0.35">
      <c r="A242" s="1">
        <v>170</v>
      </c>
      <c r="B242" t="s">
        <v>3</v>
      </c>
      <c r="C242" s="3" t="s">
        <v>404</v>
      </c>
      <c r="D242">
        <v>0</v>
      </c>
      <c r="E242">
        <v>0</v>
      </c>
    </row>
    <row r="243" spans="1:5" x14ac:dyDescent="0.35">
      <c r="A243" s="1">
        <v>171</v>
      </c>
      <c r="B243" t="s">
        <v>3</v>
      </c>
      <c r="C243" s="3" t="s">
        <v>280</v>
      </c>
      <c r="D243">
        <v>0</v>
      </c>
      <c r="E243">
        <v>0</v>
      </c>
    </row>
    <row r="244" spans="1:5" x14ac:dyDescent="0.35">
      <c r="A244" s="1">
        <v>172</v>
      </c>
      <c r="B244" t="s">
        <v>3</v>
      </c>
      <c r="C244" s="3" t="s">
        <v>295</v>
      </c>
      <c r="D244" s="5">
        <v>0</v>
      </c>
      <c r="E244">
        <v>0</v>
      </c>
    </row>
    <row r="245" spans="1:5" x14ac:dyDescent="0.35">
      <c r="A245" s="1">
        <v>174</v>
      </c>
      <c r="B245" t="s">
        <v>3</v>
      </c>
      <c r="C245" s="3" t="s">
        <v>261</v>
      </c>
      <c r="D245" s="5">
        <v>0</v>
      </c>
      <c r="E245">
        <v>0</v>
      </c>
    </row>
    <row r="246" spans="1:5" x14ac:dyDescent="0.35">
      <c r="A246" s="1">
        <v>175</v>
      </c>
      <c r="B246" t="s">
        <v>3</v>
      </c>
      <c r="C246" s="3" t="s">
        <v>320</v>
      </c>
      <c r="D246" s="5">
        <v>0</v>
      </c>
      <c r="E246">
        <v>0</v>
      </c>
    </row>
    <row r="247" spans="1:5" x14ac:dyDescent="0.35">
      <c r="A247" s="1">
        <v>176</v>
      </c>
      <c r="B247" t="s">
        <v>3</v>
      </c>
      <c r="C247" s="3" t="s">
        <v>265</v>
      </c>
      <c r="D247">
        <v>0</v>
      </c>
      <c r="E247">
        <v>0</v>
      </c>
    </row>
    <row r="248" spans="1:5" x14ac:dyDescent="0.35">
      <c r="A248" s="1">
        <v>177</v>
      </c>
      <c r="B248" t="s">
        <v>3</v>
      </c>
      <c r="C248" s="3" t="s">
        <v>357</v>
      </c>
      <c r="D248">
        <v>0</v>
      </c>
      <c r="E248">
        <v>0</v>
      </c>
    </row>
    <row r="249" spans="1:5" x14ac:dyDescent="0.35">
      <c r="A249" s="1">
        <v>178</v>
      </c>
      <c r="B249" t="s">
        <v>3</v>
      </c>
      <c r="C249" s="3" t="s">
        <v>405</v>
      </c>
      <c r="D249">
        <v>0</v>
      </c>
      <c r="E249">
        <v>0</v>
      </c>
    </row>
    <row r="250" spans="1:5" x14ac:dyDescent="0.35">
      <c r="A250" s="1">
        <v>179</v>
      </c>
      <c r="B250" t="s">
        <v>3</v>
      </c>
      <c r="C250" s="3" t="s">
        <v>238</v>
      </c>
      <c r="D250" s="5">
        <v>0</v>
      </c>
      <c r="E250">
        <v>0</v>
      </c>
    </row>
    <row r="251" spans="1:5" x14ac:dyDescent="0.35">
      <c r="A251" s="1">
        <v>180</v>
      </c>
      <c r="B251" t="s">
        <v>3</v>
      </c>
      <c r="C251" s="3" t="s">
        <v>318</v>
      </c>
      <c r="D251" s="5">
        <v>0</v>
      </c>
      <c r="E251">
        <v>0</v>
      </c>
    </row>
    <row r="252" spans="1:5" x14ac:dyDescent="0.35">
      <c r="A252" s="1">
        <v>182</v>
      </c>
      <c r="B252" t="s">
        <v>3</v>
      </c>
      <c r="C252" s="3" t="s">
        <v>339</v>
      </c>
      <c r="D252">
        <v>0</v>
      </c>
      <c r="E252">
        <v>0</v>
      </c>
    </row>
    <row r="253" spans="1:5" x14ac:dyDescent="0.35">
      <c r="A253" s="1">
        <v>183</v>
      </c>
      <c r="B253" t="s">
        <v>3</v>
      </c>
      <c r="C253" s="3" t="s">
        <v>100</v>
      </c>
      <c r="D253">
        <v>0</v>
      </c>
      <c r="E253">
        <v>0</v>
      </c>
    </row>
    <row r="254" spans="1:5" x14ac:dyDescent="0.35">
      <c r="A254" s="1">
        <v>186</v>
      </c>
      <c r="B254" t="s">
        <v>3</v>
      </c>
      <c r="C254" s="3" t="s">
        <v>240</v>
      </c>
      <c r="D254">
        <v>0</v>
      </c>
      <c r="E254">
        <v>0</v>
      </c>
    </row>
    <row r="255" spans="1:5" x14ac:dyDescent="0.35">
      <c r="A255" s="1">
        <v>188</v>
      </c>
      <c r="B255" t="s">
        <v>3</v>
      </c>
      <c r="C255" s="3" t="s">
        <v>351</v>
      </c>
      <c r="D255">
        <v>0</v>
      </c>
      <c r="E255">
        <v>0</v>
      </c>
    </row>
    <row r="256" spans="1:5" x14ac:dyDescent="0.35">
      <c r="A256" s="1">
        <v>189</v>
      </c>
      <c r="B256" t="s">
        <v>3</v>
      </c>
      <c r="C256" s="3" t="s">
        <v>324</v>
      </c>
      <c r="D256">
        <v>0</v>
      </c>
      <c r="E256">
        <v>0</v>
      </c>
    </row>
    <row r="257" spans="1:5" x14ac:dyDescent="0.35">
      <c r="A257" s="1">
        <v>190</v>
      </c>
      <c r="B257" t="s">
        <v>3</v>
      </c>
      <c r="C257" s="3" t="s">
        <v>332</v>
      </c>
      <c r="D257">
        <v>0</v>
      </c>
      <c r="E257">
        <v>0</v>
      </c>
    </row>
    <row r="258" spans="1:5" x14ac:dyDescent="0.35">
      <c r="A258" s="1">
        <v>191</v>
      </c>
      <c r="B258" t="s">
        <v>3</v>
      </c>
      <c r="C258" s="3" t="s">
        <v>406</v>
      </c>
      <c r="D258" s="5">
        <v>0</v>
      </c>
      <c r="E258">
        <v>0</v>
      </c>
    </row>
    <row r="259" spans="1:5" x14ac:dyDescent="0.35">
      <c r="A259" s="1">
        <v>192</v>
      </c>
      <c r="B259" t="s">
        <v>3</v>
      </c>
      <c r="C259" s="3" t="s">
        <v>326</v>
      </c>
      <c r="D259">
        <v>0</v>
      </c>
      <c r="E259">
        <v>0</v>
      </c>
    </row>
    <row r="260" spans="1:5" x14ac:dyDescent="0.35">
      <c r="A260" s="1">
        <v>193</v>
      </c>
      <c r="B260" t="s">
        <v>3</v>
      </c>
      <c r="C260" s="3" t="s">
        <v>407</v>
      </c>
      <c r="D260" s="5">
        <v>0</v>
      </c>
      <c r="E260">
        <v>0</v>
      </c>
    </row>
    <row r="261" spans="1:5" x14ac:dyDescent="0.35">
      <c r="A261" s="1">
        <v>194</v>
      </c>
      <c r="B261" t="s">
        <v>3</v>
      </c>
      <c r="C261" s="3" t="s">
        <v>408</v>
      </c>
      <c r="D261">
        <v>0</v>
      </c>
      <c r="E261">
        <v>0</v>
      </c>
    </row>
    <row r="262" spans="1:5" x14ac:dyDescent="0.35">
      <c r="A262" s="1">
        <v>195</v>
      </c>
      <c r="B262" t="s">
        <v>3</v>
      </c>
      <c r="C262" s="3" t="s">
        <v>409</v>
      </c>
      <c r="D262">
        <v>0</v>
      </c>
      <c r="E262">
        <v>0</v>
      </c>
    </row>
    <row r="263" spans="1:5" x14ac:dyDescent="0.35">
      <c r="A263" s="1">
        <v>196</v>
      </c>
      <c r="B263" t="s">
        <v>3</v>
      </c>
      <c r="C263" s="3" t="s">
        <v>289</v>
      </c>
      <c r="D263">
        <v>0</v>
      </c>
      <c r="E263">
        <v>0</v>
      </c>
    </row>
    <row r="264" spans="1:5" x14ac:dyDescent="0.35">
      <c r="A264" s="1">
        <v>197</v>
      </c>
      <c r="B264" t="s">
        <v>3</v>
      </c>
      <c r="C264" s="3" t="s">
        <v>410</v>
      </c>
      <c r="D264">
        <v>0</v>
      </c>
      <c r="E264">
        <v>0</v>
      </c>
    </row>
    <row r="265" spans="1:5" x14ac:dyDescent="0.35">
      <c r="A265" s="1">
        <v>199</v>
      </c>
      <c r="B265" t="s">
        <v>3</v>
      </c>
      <c r="C265" s="3" t="s">
        <v>411</v>
      </c>
      <c r="D265">
        <v>0</v>
      </c>
      <c r="E265">
        <v>0</v>
      </c>
    </row>
    <row r="266" spans="1:5" x14ac:dyDescent="0.35">
      <c r="A266" s="1">
        <v>200</v>
      </c>
      <c r="B266" t="s">
        <v>3</v>
      </c>
      <c r="C266" s="3" t="s">
        <v>412</v>
      </c>
      <c r="D266">
        <v>0</v>
      </c>
      <c r="E266">
        <v>0</v>
      </c>
    </row>
    <row r="267" spans="1:5" x14ac:dyDescent="0.35">
      <c r="A267" s="1">
        <v>201</v>
      </c>
      <c r="B267" t="s">
        <v>3</v>
      </c>
      <c r="C267" s="3" t="s">
        <v>413</v>
      </c>
      <c r="D267">
        <v>0</v>
      </c>
      <c r="E267">
        <v>0</v>
      </c>
    </row>
    <row r="268" spans="1:5" x14ac:dyDescent="0.35">
      <c r="A268" s="1">
        <v>202</v>
      </c>
      <c r="B268" t="s">
        <v>3</v>
      </c>
      <c r="C268" s="3" t="s">
        <v>251</v>
      </c>
      <c r="D268">
        <v>0</v>
      </c>
      <c r="E268">
        <v>0</v>
      </c>
    </row>
    <row r="269" spans="1:5" x14ac:dyDescent="0.35">
      <c r="A269" s="1">
        <v>203</v>
      </c>
      <c r="B269" t="s">
        <v>3</v>
      </c>
      <c r="C269" s="3" t="s">
        <v>231</v>
      </c>
      <c r="D269">
        <v>0</v>
      </c>
      <c r="E269">
        <v>0</v>
      </c>
    </row>
    <row r="270" spans="1:5" x14ac:dyDescent="0.35">
      <c r="A270" s="1">
        <v>204</v>
      </c>
      <c r="B270" t="s">
        <v>3</v>
      </c>
      <c r="C270" s="3" t="s">
        <v>243</v>
      </c>
      <c r="D270">
        <v>0</v>
      </c>
      <c r="E270">
        <v>0</v>
      </c>
    </row>
    <row r="271" spans="1:5" x14ac:dyDescent="0.35">
      <c r="A271" s="1">
        <v>205</v>
      </c>
      <c r="B271" t="s">
        <v>3</v>
      </c>
      <c r="C271" s="3" t="s">
        <v>315</v>
      </c>
      <c r="D271">
        <v>0</v>
      </c>
      <c r="E271">
        <v>0</v>
      </c>
    </row>
    <row r="272" spans="1:5" x14ac:dyDescent="0.35">
      <c r="A272" s="1">
        <v>206</v>
      </c>
      <c r="B272" t="s">
        <v>3</v>
      </c>
      <c r="C272" s="3" t="s">
        <v>270</v>
      </c>
      <c r="D272">
        <v>0</v>
      </c>
      <c r="E272">
        <v>0</v>
      </c>
    </row>
    <row r="273" spans="1:5" x14ac:dyDescent="0.35">
      <c r="A273" s="1">
        <v>207</v>
      </c>
      <c r="B273" t="s">
        <v>3</v>
      </c>
      <c r="C273" s="3" t="s">
        <v>104</v>
      </c>
      <c r="D273">
        <v>0</v>
      </c>
      <c r="E273">
        <v>0</v>
      </c>
    </row>
    <row r="274" spans="1:5" x14ac:dyDescent="0.35">
      <c r="A274" s="1">
        <v>208</v>
      </c>
      <c r="B274" t="s">
        <v>3</v>
      </c>
      <c r="C274" s="3" t="s">
        <v>309</v>
      </c>
      <c r="D274">
        <v>0</v>
      </c>
      <c r="E274">
        <v>0</v>
      </c>
    </row>
    <row r="275" spans="1:5" x14ac:dyDescent="0.35">
      <c r="A275" s="1">
        <v>209</v>
      </c>
      <c r="B275" t="s">
        <v>3</v>
      </c>
      <c r="C275" s="3" t="s">
        <v>249</v>
      </c>
      <c r="D275">
        <v>0</v>
      </c>
      <c r="E275">
        <v>0</v>
      </c>
    </row>
    <row r="276" spans="1:5" x14ac:dyDescent="0.35">
      <c r="A276" s="1">
        <v>210</v>
      </c>
      <c r="B276" t="s">
        <v>3</v>
      </c>
      <c r="C276" s="3" t="s">
        <v>414</v>
      </c>
      <c r="D276">
        <v>0</v>
      </c>
      <c r="E276">
        <v>0</v>
      </c>
    </row>
    <row r="277" spans="1:5" x14ac:dyDescent="0.35">
      <c r="A277" s="1">
        <v>211</v>
      </c>
      <c r="B277" t="s">
        <v>3</v>
      </c>
      <c r="C277" s="3" t="s">
        <v>415</v>
      </c>
      <c r="D277">
        <v>0</v>
      </c>
      <c r="E277">
        <v>0</v>
      </c>
    </row>
    <row r="278" spans="1:5" x14ac:dyDescent="0.35">
      <c r="A278" s="1">
        <v>212</v>
      </c>
      <c r="B278" t="s">
        <v>3</v>
      </c>
      <c r="C278" s="3" t="s">
        <v>306</v>
      </c>
      <c r="D278">
        <v>0</v>
      </c>
      <c r="E278">
        <v>0</v>
      </c>
    </row>
    <row r="279" spans="1:5" x14ac:dyDescent="0.35">
      <c r="A279" s="1">
        <v>214</v>
      </c>
      <c r="B279" t="s">
        <v>3</v>
      </c>
      <c r="C279" s="3" t="s">
        <v>252</v>
      </c>
      <c r="D279">
        <v>0</v>
      </c>
      <c r="E279">
        <v>0</v>
      </c>
    </row>
    <row r="280" spans="1:5" x14ac:dyDescent="0.35">
      <c r="A280" s="1">
        <v>216</v>
      </c>
      <c r="B280" t="s">
        <v>3</v>
      </c>
      <c r="C280" s="3" t="s">
        <v>245</v>
      </c>
      <c r="D280">
        <v>0</v>
      </c>
      <c r="E280">
        <v>0</v>
      </c>
    </row>
    <row r="281" spans="1:5" x14ac:dyDescent="0.35">
      <c r="A281" s="1">
        <v>217</v>
      </c>
      <c r="B281" t="s">
        <v>3</v>
      </c>
      <c r="C281" s="3" t="s">
        <v>224</v>
      </c>
      <c r="D281">
        <v>0</v>
      </c>
      <c r="E281">
        <v>0</v>
      </c>
    </row>
    <row r="282" spans="1:5" x14ac:dyDescent="0.35">
      <c r="A282" s="1">
        <v>218</v>
      </c>
      <c r="B282" t="s">
        <v>3</v>
      </c>
      <c r="C282" s="3" t="s">
        <v>416</v>
      </c>
      <c r="D282">
        <v>0</v>
      </c>
      <c r="E282">
        <v>0</v>
      </c>
    </row>
    <row r="283" spans="1:5" x14ac:dyDescent="0.35">
      <c r="A283" s="1">
        <v>219</v>
      </c>
      <c r="B283" t="s">
        <v>3</v>
      </c>
      <c r="C283" s="3" t="s">
        <v>336</v>
      </c>
      <c r="D283">
        <v>0</v>
      </c>
      <c r="E283">
        <v>0</v>
      </c>
    </row>
    <row r="284" spans="1:5" x14ac:dyDescent="0.35">
      <c r="A284" s="1">
        <v>221</v>
      </c>
      <c r="B284" t="s">
        <v>3</v>
      </c>
      <c r="C284" s="3" t="s">
        <v>417</v>
      </c>
      <c r="D284">
        <v>0</v>
      </c>
      <c r="E284">
        <v>0</v>
      </c>
    </row>
    <row r="285" spans="1:5" x14ac:dyDescent="0.35">
      <c r="A285" s="1">
        <v>222</v>
      </c>
      <c r="B285" t="s">
        <v>3</v>
      </c>
      <c r="C285" s="3" t="s">
        <v>333</v>
      </c>
      <c r="D285">
        <v>0</v>
      </c>
      <c r="E285">
        <v>0</v>
      </c>
    </row>
    <row r="286" spans="1:5" x14ac:dyDescent="0.35">
      <c r="A286" s="1">
        <v>223</v>
      </c>
      <c r="B286" t="s">
        <v>3</v>
      </c>
      <c r="C286" s="3" t="s">
        <v>275</v>
      </c>
      <c r="D286">
        <v>0</v>
      </c>
      <c r="E286">
        <v>0</v>
      </c>
    </row>
    <row r="287" spans="1:5" x14ac:dyDescent="0.35">
      <c r="A287" s="1">
        <v>224</v>
      </c>
      <c r="B287" t="s">
        <v>3</v>
      </c>
      <c r="C287" s="3" t="s">
        <v>97</v>
      </c>
      <c r="D287">
        <v>0</v>
      </c>
      <c r="E287">
        <v>0</v>
      </c>
    </row>
    <row r="288" spans="1:5" x14ac:dyDescent="0.35">
      <c r="A288" s="1">
        <v>225</v>
      </c>
      <c r="B288" t="s">
        <v>3</v>
      </c>
      <c r="C288" s="3" t="s">
        <v>228</v>
      </c>
      <c r="D288">
        <v>0</v>
      </c>
      <c r="E288">
        <v>0</v>
      </c>
    </row>
    <row r="289" spans="1:5" x14ac:dyDescent="0.35">
      <c r="A289" s="1">
        <v>226</v>
      </c>
      <c r="B289" t="s">
        <v>3</v>
      </c>
      <c r="C289" s="3" t="s">
        <v>262</v>
      </c>
      <c r="D289">
        <v>0</v>
      </c>
      <c r="E289">
        <v>0</v>
      </c>
    </row>
    <row r="290" spans="1:5" x14ac:dyDescent="0.35">
      <c r="A290" s="1">
        <v>227</v>
      </c>
      <c r="B290" t="s">
        <v>3</v>
      </c>
      <c r="C290" s="3" t="s">
        <v>105</v>
      </c>
      <c r="D290">
        <v>0</v>
      </c>
      <c r="E290">
        <v>0</v>
      </c>
    </row>
    <row r="291" spans="1:5" x14ac:dyDescent="0.35">
      <c r="A291" s="1">
        <v>228</v>
      </c>
      <c r="B291" t="s">
        <v>3</v>
      </c>
      <c r="C291" s="3" t="s">
        <v>86</v>
      </c>
      <c r="D291">
        <v>0</v>
      </c>
      <c r="E291">
        <v>0</v>
      </c>
    </row>
    <row r="292" spans="1:5" x14ac:dyDescent="0.35">
      <c r="A292" s="1">
        <v>229</v>
      </c>
      <c r="B292" t="s">
        <v>3</v>
      </c>
      <c r="C292" s="3" t="s">
        <v>299</v>
      </c>
      <c r="D292" s="5">
        <v>0</v>
      </c>
      <c r="E292">
        <v>0</v>
      </c>
    </row>
    <row r="293" spans="1:5" x14ac:dyDescent="0.35">
      <c r="A293" s="1">
        <v>231</v>
      </c>
      <c r="B293" t="s">
        <v>3</v>
      </c>
      <c r="C293" s="3" t="s">
        <v>342</v>
      </c>
      <c r="D293">
        <v>0</v>
      </c>
      <c r="E293">
        <v>0</v>
      </c>
    </row>
    <row r="294" spans="1:5" x14ac:dyDescent="0.35">
      <c r="A294" s="1">
        <v>232</v>
      </c>
      <c r="B294" t="s">
        <v>3</v>
      </c>
      <c r="C294" s="3" t="s">
        <v>292</v>
      </c>
      <c r="D294">
        <v>0</v>
      </c>
      <c r="E294">
        <v>0</v>
      </c>
    </row>
    <row r="295" spans="1:5" x14ac:dyDescent="0.35">
      <c r="A295" s="1">
        <v>233</v>
      </c>
      <c r="B295" t="s">
        <v>3</v>
      </c>
      <c r="C295" s="3" t="s">
        <v>255</v>
      </c>
      <c r="D295">
        <v>0</v>
      </c>
      <c r="E295">
        <v>0</v>
      </c>
    </row>
    <row r="296" spans="1:5" x14ac:dyDescent="0.35">
      <c r="A296" s="1">
        <v>234</v>
      </c>
      <c r="B296" t="s">
        <v>3</v>
      </c>
      <c r="C296" s="3" t="s">
        <v>283</v>
      </c>
      <c r="D296">
        <v>0</v>
      </c>
      <c r="E296">
        <v>0</v>
      </c>
    </row>
    <row r="297" spans="1:5" x14ac:dyDescent="0.35">
      <c r="A297" s="1">
        <v>235</v>
      </c>
      <c r="B297" t="s">
        <v>3</v>
      </c>
      <c r="C297" s="3" t="s">
        <v>90</v>
      </c>
      <c r="D297">
        <v>0</v>
      </c>
      <c r="E297">
        <v>0</v>
      </c>
    </row>
    <row r="298" spans="1:5" x14ac:dyDescent="0.35">
      <c r="A298" s="1">
        <v>236</v>
      </c>
      <c r="B298" t="s">
        <v>3</v>
      </c>
      <c r="C298" s="3" t="s">
        <v>317</v>
      </c>
      <c r="D298">
        <v>0</v>
      </c>
      <c r="E298">
        <v>0</v>
      </c>
    </row>
    <row r="299" spans="1:5" x14ac:dyDescent="0.35">
      <c r="A299" s="1">
        <v>237</v>
      </c>
      <c r="B299" t="s">
        <v>3</v>
      </c>
      <c r="C299" s="3" t="s">
        <v>250</v>
      </c>
      <c r="D299">
        <v>0</v>
      </c>
      <c r="E299">
        <v>0</v>
      </c>
    </row>
    <row r="300" spans="1:5" x14ac:dyDescent="0.35">
      <c r="A300" s="1">
        <v>238</v>
      </c>
      <c r="B300" t="s">
        <v>3</v>
      </c>
      <c r="C300" s="3" t="s">
        <v>87</v>
      </c>
      <c r="D300">
        <v>0</v>
      </c>
      <c r="E300">
        <v>0</v>
      </c>
    </row>
    <row r="301" spans="1:5" x14ac:dyDescent="0.35">
      <c r="A301" s="1">
        <v>239</v>
      </c>
      <c r="B301" t="s">
        <v>3</v>
      </c>
      <c r="C301" s="3" t="s">
        <v>302</v>
      </c>
      <c r="D301">
        <v>0</v>
      </c>
      <c r="E301">
        <v>0</v>
      </c>
    </row>
    <row r="302" spans="1:5" x14ac:dyDescent="0.35">
      <c r="A302" s="1">
        <v>240</v>
      </c>
      <c r="B302" t="s">
        <v>3</v>
      </c>
      <c r="C302" s="3" t="s">
        <v>259</v>
      </c>
      <c r="D302">
        <v>0</v>
      </c>
      <c r="E302">
        <v>0</v>
      </c>
    </row>
    <row r="303" spans="1:5" x14ac:dyDescent="0.35">
      <c r="A303" s="1">
        <v>242</v>
      </c>
      <c r="B303" t="s">
        <v>3</v>
      </c>
      <c r="C303" s="3" t="s">
        <v>329</v>
      </c>
      <c r="D303" s="5">
        <v>0</v>
      </c>
      <c r="E303">
        <v>0</v>
      </c>
    </row>
    <row r="304" spans="1:5" x14ac:dyDescent="0.35">
      <c r="A304" s="1">
        <v>243</v>
      </c>
      <c r="B304" t="s">
        <v>3</v>
      </c>
      <c r="C304" s="3" t="s">
        <v>282</v>
      </c>
      <c r="D304">
        <v>0</v>
      </c>
      <c r="E304">
        <v>0</v>
      </c>
    </row>
    <row r="305" spans="1:5" x14ac:dyDescent="0.35">
      <c r="A305" s="1">
        <v>244</v>
      </c>
      <c r="B305" t="s">
        <v>3</v>
      </c>
      <c r="C305" s="3" t="s">
        <v>341</v>
      </c>
      <c r="D305">
        <v>0</v>
      </c>
      <c r="E305">
        <v>0</v>
      </c>
    </row>
    <row r="306" spans="1:5" x14ac:dyDescent="0.35">
      <c r="A306" s="1">
        <v>245</v>
      </c>
      <c r="B306" t="s">
        <v>3</v>
      </c>
      <c r="C306" s="3" t="s">
        <v>101</v>
      </c>
      <c r="D306">
        <v>0</v>
      </c>
      <c r="E306">
        <v>0</v>
      </c>
    </row>
    <row r="307" spans="1:5" x14ac:dyDescent="0.35">
      <c r="A307" s="1">
        <v>246</v>
      </c>
      <c r="B307" t="s">
        <v>3</v>
      </c>
      <c r="C307" s="3" t="s">
        <v>85</v>
      </c>
      <c r="D307">
        <v>0</v>
      </c>
      <c r="E307">
        <v>0</v>
      </c>
    </row>
    <row r="308" spans="1:5" x14ac:dyDescent="0.35">
      <c r="A308" s="1">
        <v>247</v>
      </c>
      <c r="B308" t="s">
        <v>3</v>
      </c>
      <c r="C308" s="3" t="s">
        <v>221</v>
      </c>
      <c r="D308">
        <v>0</v>
      </c>
      <c r="E308">
        <v>0</v>
      </c>
    </row>
    <row r="309" spans="1:5" x14ac:dyDescent="0.35">
      <c r="A309" s="1">
        <v>248</v>
      </c>
      <c r="B309" t="s">
        <v>3</v>
      </c>
      <c r="C309" s="3" t="s">
        <v>418</v>
      </c>
      <c r="D309">
        <v>0</v>
      </c>
      <c r="E309">
        <v>0</v>
      </c>
    </row>
    <row r="310" spans="1:5" x14ac:dyDescent="0.35">
      <c r="A310" s="1">
        <v>249</v>
      </c>
      <c r="B310" t="s">
        <v>3</v>
      </c>
      <c r="C310" s="3" t="s">
        <v>419</v>
      </c>
      <c r="D310">
        <v>0</v>
      </c>
      <c r="E310">
        <v>0</v>
      </c>
    </row>
    <row r="311" spans="1:5" x14ac:dyDescent="0.35">
      <c r="A311" s="1">
        <v>250</v>
      </c>
      <c r="B311" t="s">
        <v>3</v>
      </c>
      <c r="C311" s="3" t="s">
        <v>298</v>
      </c>
      <c r="D311" s="5">
        <v>0</v>
      </c>
      <c r="E311">
        <v>0</v>
      </c>
    </row>
    <row r="312" spans="1:5" x14ac:dyDescent="0.35">
      <c r="A312" s="1">
        <v>251</v>
      </c>
      <c r="B312" t="s">
        <v>3</v>
      </c>
      <c r="C312" s="3" t="s">
        <v>362</v>
      </c>
      <c r="D312">
        <v>0</v>
      </c>
      <c r="E312">
        <v>0</v>
      </c>
    </row>
    <row r="313" spans="1:5" x14ac:dyDescent="0.35">
      <c r="A313" s="1">
        <v>252</v>
      </c>
      <c r="B313" t="s">
        <v>3</v>
      </c>
      <c r="C313" s="3" t="s">
        <v>345</v>
      </c>
      <c r="D313">
        <v>0</v>
      </c>
      <c r="E313">
        <v>0</v>
      </c>
    </row>
    <row r="314" spans="1:5" x14ac:dyDescent="0.35">
      <c r="A314" s="1">
        <v>253</v>
      </c>
      <c r="B314" t="s">
        <v>3</v>
      </c>
      <c r="C314" s="3" t="s">
        <v>310</v>
      </c>
      <c r="D314">
        <v>0</v>
      </c>
      <c r="E314">
        <v>0</v>
      </c>
    </row>
    <row r="315" spans="1:5" x14ac:dyDescent="0.35">
      <c r="A315" s="1">
        <v>254</v>
      </c>
      <c r="B315" t="s">
        <v>3</v>
      </c>
      <c r="C315" s="3" t="s">
        <v>420</v>
      </c>
      <c r="D315">
        <v>0</v>
      </c>
      <c r="E315">
        <v>0</v>
      </c>
    </row>
    <row r="316" spans="1:5" x14ac:dyDescent="0.35">
      <c r="A316" s="1">
        <v>255</v>
      </c>
      <c r="B316" t="s">
        <v>3</v>
      </c>
      <c r="C316" s="3" t="s">
        <v>89</v>
      </c>
      <c r="D316">
        <v>0</v>
      </c>
      <c r="E316">
        <v>0</v>
      </c>
    </row>
    <row r="317" spans="1:5" x14ac:dyDescent="0.35">
      <c r="A317" s="1">
        <v>256</v>
      </c>
      <c r="B317" t="s">
        <v>3</v>
      </c>
      <c r="C317" s="3" t="s">
        <v>344</v>
      </c>
      <c r="D317">
        <v>0</v>
      </c>
      <c r="E317">
        <v>0</v>
      </c>
    </row>
    <row r="318" spans="1:5" x14ac:dyDescent="0.35">
      <c r="A318" s="1">
        <v>257</v>
      </c>
      <c r="B318" t="s">
        <v>3</v>
      </c>
      <c r="C318" s="3" t="s">
        <v>421</v>
      </c>
      <c r="D318">
        <v>0</v>
      </c>
      <c r="E318">
        <v>0</v>
      </c>
    </row>
    <row r="319" spans="1:5" x14ac:dyDescent="0.35">
      <c r="A319" s="1">
        <v>258</v>
      </c>
      <c r="B319" t="s">
        <v>3</v>
      </c>
      <c r="C319" s="3" t="s">
        <v>363</v>
      </c>
      <c r="D319">
        <v>0</v>
      </c>
      <c r="E319">
        <v>0</v>
      </c>
    </row>
    <row r="320" spans="1:5" x14ac:dyDescent="0.35">
      <c r="A320" s="1">
        <v>259</v>
      </c>
      <c r="B320" t="s">
        <v>3</v>
      </c>
      <c r="C320" s="3" t="s">
        <v>422</v>
      </c>
      <c r="D320" s="5">
        <v>0</v>
      </c>
      <c r="E320">
        <v>0</v>
      </c>
    </row>
    <row r="321" spans="1:5" x14ac:dyDescent="0.35">
      <c r="A321" s="1">
        <v>260</v>
      </c>
      <c r="B321" t="s">
        <v>3</v>
      </c>
      <c r="C321" s="3" t="s">
        <v>260</v>
      </c>
      <c r="D321">
        <v>0</v>
      </c>
      <c r="E321">
        <v>0</v>
      </c>
    </row>
    <row r="322" spans="1:5" x14ac:dyDescent="0.35">
      <c r="A322" s="1">
        <v>261</v>
      </c>
      <c r="B322" t="s">
        <v>3</v>
      </c>
      <c r="C322" s="3" t="s">
        <v>331</v>
      </c>
      <c r="D322">
        <v>0</v>
      </c>
      <c r="E322">
        <v>0</v>
      </c>
    </row>
    <row r="323" spans="1:5" x14ac:dyDescent="0.35">
      <c r="A323" s="1">
        <v>262</v>
      </c>
      <c r="B323" t="s">
        <v>3</v>
      </c>
      <c r="C323" s="3" t="s">
        <v>328</v>
      </c>
      <c r="D323">
        <v>0</v>
      </c>
      <c r="E323">
        <v>0</v>
      </c>
    </row>
    <row r="324" spans="1:5" x14ac:dyDescent="0.35">
      <c r="A324" s="1">
        <v>263</v>
      </c>
      <c r="B324" t="s">
        <v>3</v>
      </c>
      <c r="C324" s="3" t="s">
        <v>267</v>
      </c>
      <c r="D324">
        <v>0</v>
      </c>
      <c r="E324">
        <v>0</v>
      </c>
    </row>
    <row r="325" spans="1:5" x14ac:dyDescent="0.35">
      <c r="A325" s="1">
        <v>264</v>
      </c>
      <c r="B325" t="s">
        <v>3</v>
      </c>
      <c r="C325" s="3" t="s">
        <v>361</v>
      </c>
      <c r="D325">
        <v>0</v>
      </c>
      <c r="E325">
        <v>0</v>
      </c>
    </row>
    <row r="326" spans="1:5" x14ac:dyDescent="0.35">
      <c r="A326" s="1">
        <v>265</v>
      </c>
      <c r="B326" t="s">
        <v>3</v>
      </c>
      <c r="C326" s="3" t="s">
        <v>248</v>
      </c>
      <c r="D326">
        <v>0</v>
      </c>
      <c r="E326">
        <v>0</v>
      </c>
    </row>
    <row r="327" spans="1:5" x14ac:dyDescent="0.35">
      <c r="A327" s="1">
        <v>266</v>
      </c>
      <c r="B327" t="s">
        <v>3</v>
      </c>
      <c r="C327" s="3" t="s">
        <v>264</v>
      </c>
      <c r="D327">
        <v>0</v>
      </c>
      <c r="E327">
        <v>0</v>
      </c>
    </row>
    <row r="328" spans="1:5" x14ac:dyDescent="0.35">
      <c r="A328" s="1">
        <v>267</v>
      </c>
      <c r="B328" t="s">
        <v>3</v>
      </c>
      <c r="C328" s="3" t="s">
        <v>348</v>
      </c>
      <c r="D328">
        <v>0</v>
      </c>
      <c r="E328">
        <v>0</v>
      </c>
    </row>
    <row r="329" spans="1:5" x14ac:dyDescent="0.35">
      <c r="A329" s="1">
        <v>268</v>
      </c>
      <c r="B329" t="s">
        <v>3</v>
      </c>
      <c r="C329" s="3" t="s">
        <v>300</v>
      </c>
      <c r="D329">
        <v>0</v>
      </c>
      <c r="E329">
        <v>0</v>
      </c>
    </row>
    <row r="330" spans="1:5" x14ac:dyDescent="0.35">
      <c r="A330" s="1">
        <v>269</v>
      </c>
      <c r="B330" t="s">
        <v>3</v>
      </c>
      <c r="C330" s="3" t="s">
        <v>360</v>
      </c>
      <c r="D330">
        <v>0</v>
      </c>
      <c r="E330">
        <v>0</v>
      </c>
    </row>
    <row r="331" spans="1:5" x14ac:dyDescent="0.35">
      <c r="A331" s="1">
        <v>270</v>
      </c>
      <c r="B331" t="s">
        <v>3</v>
      </c>
      <c r="C331" s="3" t="s">
        <v>423</v>
      </c>
      <c r="D331">
        <v>0</v>
      </c>
      <c r="E331">
        <v>0</v>
      </c>
    </row>
    <row r="332" spans="1:5" x14ac:dyDescent="0.35">
      <c r="A332" s="1">
        <v>271</v>
      </c>
      <c r="B332" t="s">
        <v>3</v>
      </c>
      <c r="C332" s="3" t="s">
        <v>424</v>
      </c>
      <c r="D332">
        <v>0</v>
      </c>
      <c r="E332">
        <v>0</v>
      </c>
    </row>
    <row r="333" spans="1:5" x14ac:dyDescent="0.35">
      <c r="A333" s="1">
        <v>272</v>
      </c>
      <c r="B333" t="s">
        <v>3</v>
      </c>
      <c r="C333" s="3" t="s">
        <v>307</v>
      </c>
      <c r="D333">
        <v>0</v>
      </c>
      <c r="E333">
        <v>0</v>
      </c>
    </row>
    <row r="334" spans="1:5" x14ac:dyDescent="0.35">
      <c r="A334" s="1">
        <v>273</v>
      </c>
      <c r="B334" t="s">
        <v>3</v>
      </c>
      <c r="C334" s="3" t="s">
        <v>256</v>
      </c>
      <c r="D334">
        <v>0</v>
      </c>
      <c r="E334">
        <v>0</v>
      </c>
    </row>
    <row r="335" spans="1:5" x14ac:dyDescent="0.35">
      <c r="A335" s="1">
        <v>274</v>
      </c>
      <c r="B335" t="s">
        <v>3</v>
      </c>
      <c r="C335" s="3" t="s">
        <v>425</v>
      </c>
      <c r="D335">
        <v>0</v>
      </c>
      <c r="E335">
        <v>0</v>
      </c>
    </row>
    <row r="336" spans="1:5" x14ac:dyDescent="0.35">
      <c r="A336" s="1">
        <v>275</v>
      </c>
      <c r="B336" t="s">
        <v>3</v>
      </c>
      <c r="C336" s="3" t="s">
        <v>287</v>
      </c>
      <c r="D336">
        <v>0</v>
      </c>
      <c r="E336">
        <v>0</v>
      </c>
    </row>
    <row r="337" spans="1:5" x14ac:dyDescent="0.35">
      <c r="A337" s="1">
        <v>276</v>
      </c>
      <c r="B337" t="s">
        <v>3</v>
      </c>
      <c r="C337" s="3" t="s">
        <v>230</v>
      </c>
      <c r="D337">
        <v>0</v>
      </c>
      <c r="E337">
        <v>0</v>
      </c>
    </row>
    <row r="338" spans="1:5" x14ac:dyDescent="0.35">
      <c r="A338" s="1">
        <v>277</v>
      </c>
      <c r="B338" t="s">
        <v>3</v>
      </c>
      <c r="C338" s="3" t="s">
        <v>278</v>
      </c>
      <c r="D338">
        <v>0</v>
      </c>
      <c r="E338">
        <v>0</v>
      </c>
    </row>
    <row r="339" spans="1:5" x14ac:dyDescent="0.35">
      <c r="A339" s="1">
        <v>279</v>
      </c>
      <c r="B339" t="s">
        <v>3</v>
      </c>
      <c r="C339" s="3" t="s">
        <v>426</v>
      </c>
      <c r="D339">
        <v>0</v>
      </c>
      <c r="E339">
        <v>0</v>
      </c>
    </row>
    <row r="340" spans="1:5" x14ac:dyDescent="0.35">
      <c r="A340" s="1">
        <v>280</v>
      </c>
      <c r="B340" t="s">
        <v>3</v>
      </c>
      <c r="C340" s="3" t="s">
        <v>296</v>
      </c>
      <c r="D340">
        <v>0</v>
      </c>
      <c r="E340">
        <v>0</v>
      </c>
    </row>
    <row r="341" spans="1:5" x14ac:dyDescent="0.35">
      <c r="A341" s="1">
        <v>281</v>
      </c>
      <c r="B341" t="s">
        <v>3</v>
      </c>
      <c r="C341" s="3" t="s">
        <v>427</v>
      </c>
      <c r="D341">
        <v>0</v>
      </c>
      <c r="E341">
        <v>0</v>
      </c>
    </row>
    <row r="342" spans="1:5" x14ac:dyDescent="0.35">
      <c r="A342" s="1">
        <v>282</v>
      </c>
      <c r="B342" t="s">
        <v>3</v>
      </c>
      <c r="C342" s="3" t="s">
        <v>428</v>
      </c>
      <c r="D342">
        <v>0</v>
      </c>
      <c r="E342">
        <v>0</v>
      </c>
    </row>
    <row r="343" spans="1:5" x14ac:dyDescent="0.35">
      <c r="A343" s="1">
        <v>283</v>
      </c>
      <c r="B343" t="s">
        <v>3</v>
      </c>
      <c r="C343" s="3" t="s">
        <v>281</v>
      </c>
      <c r="D343">
        <v>0</v>
      </c>
      <c r="E343">
        <v>0</v>
      </c>
    </row>
    <row r="344" spans="1:5" x14ac:dyDescent="0.35">
      <c r="A344" s="1">
        <v>284</v>
      </c>
      <c r="B344" t="s">
        <v>3</v>
      </c>
      <c r="C344" s="3" t="s">
        <v>286</v>
      </c>
      <c r="D344">
        <v>0</v>
      </c>
      <c r="E344">
        <v>0</v>
      </c>
    </row>
    <row r="345" spans="1:5" x14ac:dyDescent="0.35">
      <c r="A345" s="1">
        <v>285</v>
      </c>
      <c r="B345" t="s">
        <v>3</v>
      </c>
      <c r="C345" s="3" t="s">
        <v>429</v>
      </c>
      <c r="D345">
        <v>0</v>
      </c>
      <c r="E345">
        <v>0</v>
      </c>
    </row>
    <row r="346" spans="1:5" x14ac:dyDescent="0.35">
      <c r="A346" s="1">
        <v>286</v>
      </c>
      <c r="B346" t="s">
        <v>3</v>
      </c>
      <c r="C346" s="3" t="s">
        <v>277</v>
      </c>
      <c r="D346" s="5">
        <v>0</v>
      </c>
      <c r="E346">
        <v>0</v>
      </c>
    </row>
    <row r="347" spans="1:5" x14ac:dyDescent="0.35">
      <c r="A347" s="1">
        <v>287</v>
      </c>
      <c r="B347" t="s">
        <v>3</v>
      </c>
      <c r="C347" s="3" t="s">
        <v>316</v>
      </c>
      <c r="D347">
        <v>0</v>
      </c>
      <c r="E347">
        <v>0</v>
      </c>
    </row>
    <row r="348" spans="1:5" x14ac:dyDescent="0.35">
      <c r="A348" s="1">
        <v>288</v>
      </c>
      <c r="B348" t="s">
        <v>3</v>
      </c>
      <c r="C348" s="3" t="s">
        <v>297</v>
      </c>
      <c r="D348" s="5">
        <v>0</v>
      </c>
      <c r="E348">
        <v>0</v>
      </c>
    </row>
    <row r="349" spans="1:5" x14ac:dyDescent="0.35">
      <c r="A349" s="1">
        <v>289</v>
      </c>
      <c r="B349" t="s">
        <v>3</v>
      </c>
      <c r="C349" s="3" t="s">
        <v>314</v>
      </c>
      <c r="D349">
        <v>0</v>
      </c>
      <c r="E349">
        <v>0</v>
      </c>
    </row>
    <row r="350" spans="1:5" x14ac:dyDescent="0.35">
      <c r="A350" s="1">
        <v>290</v>
      </c>
      <c r="B350" t="s">
        <v>3</v>
      </c>
      <c r="C350" s="3" t="s">
        <v>257</v>
      </c>
      <c r="D350">
        <v>0</v>
      </c>
      <c r="E350">
        <v>0</v>
      </c>
    </row>
    <row r="351" spans="1:5" x14ac:dyDescent="0.35">
      <c r="A351" s="1">
        <v>291</v>
      </c>
      <c r="B351" t="s">
        <v>3</v>
      </c>
      <c r="C351" s="3" t="s">
        <v>241</v>
      </c>
      <c r="D351">
        <v>0</v>
      </c>
      <c r="E351">
        <v>0</v>
      </c>
    </row>
    <row r="352" spans="1:5" x14ac:dyDescent="0.35">
      <c r="A352" s="1">
        <v>293</v>
      </c>
      <c r="B352" t="s">
        <v>3</v>
      </c>
      <c r="C352" s="3" t="s">
        <v>364</v>
      </c>
      <c r="D352">
        <v>0</v>
      </c>
      <c r="E352">
        <v>0</v>
      </c>
    </row>
    <row r="353" spans="1:5" x14ac:dyDescent="0.35">
      <c r="A353" s="1">
        <v>294</v>
      </c>
      <c r="B353" t="s">
        <v>3</v>
      </c>
      <c r="C353" s="3" t="s">
        <v>272</v>
      </c>
      <c r="D353">
        <v>0</v>
      </c>
      <c r="E353">
        <v>0</v>
      </c>
    </row>
    <row r="354" spans="1:5" x14ac:dyDescent="0.35">
      <c r="A354" s="1">
        <v>295</v>
      </c>
      <c r="B354" t="s">
        <v>3</v>
      </c>
      <c r="C354" s="3" t="s">
        <v>303</v>
      </c>
      <c r="D354" s="5">
        <v>0</v>
      </c>
      <c r="E354">
        <v>0</v>
      </c>
    </row>
    <row r="355" spans="1:5" x14ac:dyDescent="0.35">
      <c r="A355" s="1">
        <v>296</v>
      </c>
      <c r="B355" t="s">
        <v>3</v>
      </c>
      <c r="C355" s="3" t="s">
        <v>358</v>
      </c>
      <c r="D355">
        <v>0</v>
      </c>
      <c r="E355">
        <v>0</v>
      </c>
    </row>
    <row r="356" spans="1:5" x14ac:dyDescent="0.35">
      <c r="A356" s="1">
        <v>297</v>
      </c>
      <c r="B356" t="s">
        <v>3</v>
      </c>
      <c r="C356" s="3" t="s">
        <v>102</v>
      </c>
      <c r="D356">
        <v>0</v>
      </c>
      <c r="E356">
        <v>0</v>
      </c>
    </row>
    <row r="357" spans="1:5" x14ac:dyDescent="0.35">
      <c r="A357" s="1">
        <v>298</v>
      </c>
      <c r="B357" t="s">
        <v>3</v>
      </c>
      <c r="C357" s="3" t="s">
        <v>430</v>
      </c>
      <c r="D357">
        <v>0</v>
      </c>
      <c r="E357">
        <v>0</v>
      </c>
    </row>
    <row r="358" spans="1:5" x14ac:dyDescent="0.35">
      <c r="A358" s="1">
        <v>300</v>
      </c>
      <c r="B358" t="s">
        <v>3</v>
      </c>
      <c r="C358" s="3" t="s">
        <v>284</v>
      </c>
      <c r="D358">
        <v>0</v>
      </c>
      <c r="E358">
        <v>0</v>
      </c>
    </row>
    <row r="359" spans="1:5" x14ac:dyDescent="0.35">
      <c r="A359" s="1">
        <v>301</v>
      </c>
      <c r="B359" t="s">
        <v>3</v>
      </c>
      <c r="C359" s="3" t="s">
        <v>431</v>
      </c>
      <c r="D359" s="5">
        <v>0</v>
      </c>
      <c r="E359">
        <v>0</v>
      </c>
    </row>
    <row r="360" spans="1:5" x14ac:dyDescent="0.35">
      <c r="A360" s="1">
        <v>302</v>
      </c>
      <c r="B360" t="s">
        <v>3</v>
      </c>
      <c r="C360" s="3" t="s">
        <v>432</v>
      </c>
      <c r="D360">
        <v>0</v>
      </c>
      <c r="E360">
        <v>0</v>
      </c>
    </row>
    <row r="361" spans="1:5" x14ac:dyDescent="0.35">
      <c r="A361" s="1">
        <v>303</v>
      </c>
      <c r="B361" t="s">
        <v>3</v>
      </c>
      <c r="C361" s="3" t="s">
        <v>433</v>
      </c>
      <c r="D361">
        <v>0</v>
      </c>
      <c r="E361">
        <v>0</v>
      </c>
    </row>
    <row r="362" spans="1:5" x14ac:dyDescent="0.35">
      <c r="A362" s="1">
        <v>305</v>
      </c>
      <c r="B362" t="s">
        <v>3</v>
      </c>
      <c r="C362" s="3" t="s">
        <v>268</v>
      </c>
      <c r="D362">
        <v>0</v>
      </c>
      <c r="E362">
        <v>0</v>
      </c>
    </row>
    <row r="363" spans="1:5" x14ac:dyDescent="0.35">
      <c r="A363" s="1">
        <v>306</v>
      </c>
      <c r="B363" t="s">
        <v>3</v>
      </c>
      <c r="C363" s="3" t="s">
        <v>434</v>
      </c>
      <c r="D363">
        <v>0</v>
      </c>
      <c r="E363">
        <v>0</v>
      </c>
    </row>
    <row r="364" spans="1:5" x14ac:dyDescent="0.35">
      <c r="A364" s="1">
        <v>307</v>
      </c>
      <c r="B364" t="s">
        <v>3</v>
      </c>
      <c r="C364" s="3" t="s">
        <v>290</v>
      </c>
      <c r="D364">
        <v>0</v>
      </c>
      <c r="E364">
        <v>0</v>
      </c>
    </row>
    <row r="365" spans="1:5" x14ac:dyDescent="0.35">
      <c r="A365" s="1">
        <v>308</v>
      </c>
      <c r="B365" t="s">
        <v>3</v>
      </c>
      <c r="C365" s="3" t="s">
        <v>279</v>
      </c>
      <c r="D365">
        <v>0</v>
      </c>
      <c r="E365">
        <v>0</v>
      </c>
    </row>
    <row r="366" spans="1:5" x14ac:dyDescent="0.35">
      <c r="A366" s="1">
        <v>309</v>
      </c>
      <c r="B366" t="s">
        <v>3</v>
      </c>
      <c r="C366" s="3" t="s">
        <v>347</v>
      </c>
      <c r="D366">
        <v>0</v>
      </c>
      <c r="E366">
        <v>0</v>
      </c>
    </row>
    <row r="367" spans="1:5" x14ac:dyDescent="0.35">
      <c r="A367" s="1">
        <v>310</v>
      </c>
      <c r="B367" t="s">
        <v>3</v>
      </c>
      <c r="C367" s="3" t="s">
        <v>327</v>
      </c>
      <c r="D367" s="5">
        <v>0</v>
      </c>
      <c r="E367">
        <v>0</v>
      </c>
    </row>
    <row r="368" spans="1:5" x14ac:dyDescent="0.35">
      <c r="A368" s="1">
        <v>311</v>
      </c>
      <c r="B368" t="s">
        <v>3</v>
      </c>
      <c r="C368" s="3" t="s">
        <v>234</v>
      </c>
      <c r="D368">
        <v>0</v>
      </c>
      <c r="E368">
        <v>0</v>
      </c>
    </row>
    <row r="369" spans="1:5" x14ac:dyDescent="0.35">
      <c r="A369" s="1">
        <v>312</v>
      </c>
      <c r="B369" t="s">
        <v>3</v>
      </c>
      <c r="C369" s="3" t="s">
        <v>365</v>
      </c>
      <c r="D369">
        <v>0</v>
      </c>
      <c r="E369">
        <v>0</v>
      </c>
    </row>
    <row r="370" spans="1:5" x14ac:dyDescent="0.35">
      <c r="A370" s="1">
        <v>313</v>
      </c>
      <c r="B370" t="s">
        <v>3</v>
      </c>
      <c r="C370" s="3" t="s">
        <v>273</v>
      </c>
      <c r="D370">
        <v>0</v>
      </c>
      <c r="E370">
        <v>0</v>
      </c>
    </row>
    <row r="371" spans="1:5" x14ac:dyDescent="0.35">
      <c r="A371" s="1">
        <v>315</v>
      </c>
      <c r="B371" t="s">
        <v>3</v>
      </c>
      <c r="C371" s="3" t="s">
        <v>92</v>
      </c>
      <c r="D371">
        <v>0</v>
      </c>
      <c r="E371">
        <v>0</v>
      </c>
    </row>
    <row r="372" spans="1:5" x14ac:dyDescent="0.35">
      <c r="A372" s="1">
        <v>317</v>
      </c>
      <c r="B372" t="s">
        <v>3</v>
      </c>
      <c r="C372" s="3" t="s">
        <v>325</v>
      </c>
      <c r="D372" s="5">
        <v>0</v>
      </c>
      <c r="E372">
        <v>0</v>
      </c>
    </row>
    <row r="373" spans="1:5" x14ac:dyDescent="0.35">
      <c r="A373" s="1">
        <v>319</v>
      </c>
      <c r="B373" t="s">
        <v>3</v>
      </c>
      <c r="C373" s="3" t="s">
        <v>236</v>
      </c>
      <c r="D373">
        <v>0</v>
      </c>
      <c r="E373">
        <v>0</v>
      </c>
    </row>
    <row r="374" spans="1:5" x14ac:dyDescent="0.35">
      <c r="A374" s="1">
        <v>321</v>
      </c>
      <c r="B374" t="s">
        <v>3</v>
      </c>
      <c r="C374" s="3" t="s">
        <v>229</v>
      </c>
      <c r="D374" s="5">
        <v>0</v>
      </c>
      <c r="E374">
        <v>0</v>
      </c>
    </row>
    <row r="375" spans="1:5" x14ac:dyDescent="0.35">
      <c r="A375" s="1">
        <v>322</v>
      </c>
      <c r="B375" t="s">
        <v>3</v>
      </c>
      <c r="C375" s="3" t="s">
        <v>435</v>
      </c>
      <c r="D375" s="5">
        <v>0</v>
      </c>
      <c r="E375">
        <v>0</v>
      </c>
    </row>
    <row r="376" spans="1:5" x14ac:dyDescent="0.35">
      <c r="A376" s="1">
        <v>324</v>
      </c>
      <c r="B376" t="s">
        <v>3</v>
      </c>
      <c r="C376" s="3" t="s">
        <v>266</v>
      </c>
      <c r="D376" s="5">
        <v>0</v>
      </c>
      <c r="E376">
        <v>0</v>
      </c>
    </row>
    <row r="377" spans="1:5" x14ac:dyDescent="0.35">
      <c r="A377" s="1">
        <v>325</v>
      </c>
      <c r="B377" t="s">
        <v>3</v>
      </c>
      <c r="C377" s="3" t="s">
        <v>258</v>
      </c>
      <c r="D377" s="5">
        <v>0</v>
      </c>
      <c r="E377">
        <v>0</v>
      </c>
    </row>
    <row r="378" spans="1:5" x14ac:dyDescent="0.35">
      <c r="A378" s="1">
        <v>326</v>
      </c>
      <c r="B378" t="s">
        <v>3</v>
      </c>
      <c r="C378" s="3" t="s">
        <v>436</v>
      </c>
      <c r="D378">
        <v>0</v>
      </c>
      <c r="E378">
        <v>0</v>
      </c>
    </row>
    <row r="379" spans="1:5" x14ac:dyDescent="0.35">
      <c r="A379" s="1">
        <v>327</v>
      </c>
      <c r="B379" t="s">
        <v>3</v>
      </c>
      <c r="C379" s="3" t="s">
        <v>246</v>
      </c>
      <c r="D379">
        <v>0</v>
      </c>
      <c r="E379">
        <v>0</v>
      </c>
    </row>
    <row r="380" spans="1:5" x14ac:dyDescent="0.35">
      <c r="A380" s="1">
        <v>328</v>
      </c>
      <c r="B380" t="s">
        <v>3</v>
      </c>
      <c r="C380" s="3" t="s">
        <v>313</v>
      </c>
      <c r="D380" s="5">
        <v>0</v>
      </c>
      <c r="E380">
        <v>0</v>
      </c>
    </row>
    <row r="381" spans="1:5" x14ac:dyDescent="0.35">
      <c r="A381" s="1">
        <v>329</v>
      </c>
      <c r="B381" t="s">
        <v>3</v>
      </c>
      <c r="C381" s="3" t="s">
        <v>437</v>
      </c>
      <c r="D381" s="5">
        <v>0</v>
      </c>
      <c r="E381">
        <v>0</v>
      </c>
    </row>
    <row r="382" spans="1:5" x14ac:dyDescent="0.35">
      <c r="A382" s="1">
        <v>330</v>
      </c>
      <c r="B382" t="s">
        <v>3</v>
      </c>
      <c r="C382" s="3" t="s">
        <v>226</v>
      </c>
      <c r="D382" s="5">
        <v>0</v>
      </c>
      <c r="E382">
        <v>0</v>
      </c>
    </row>
    <row r="383" spans="1:5" x14ac:dyDescent="0.35">
      <c r="A383" s="1">
        <v>331</v>
      </c>
      <c r="B383" t="s">
        <v>3</v>
      </c>
      <c r="C383" s="3" t="s">
        <v>237</v>
      </c>
      <c r="D383" s="5">
        <v>0</v>
      </c>
      <c r="E383">
        <v>0</v>
      </c>
    </row>
    <row r="384" spans="1:5" x14ac:dyDescent="0.35">
      <c r="A384" s="1">
        <v>332</v>
      </c>
      <c r="B384" t="s">
        <v>3</v>
      </c>
      <c r="C384" s="3" t="s">
        <v>223</v>
      </c>
      <c r="D384" s="5">
        <v>0</v>
      </c>
      <c r="E384">
        <v>0</v>
      </c>
    </row>
    <row r="385" spans="1:5" x14ac:dyDescent="0.35">
      <c r="A385" s="1">
        <v>333</v>
      </c>
      <c r="B385" t="s">
        <v>3</v>
      </c>
      <c r="C385" s="3" t="s">
        <v>438</v>
      </c>
      <c r="D385" s="5">
        <v>0</v>
      </c>
      <c r="E385">
        <v>0</v>
      </c>
    </row>
    <row r="386" spans="1:5" x14ac:dyDescent="0.35">
      <c r="A386" s="1">
        <v>334</v>
      </c>
      <c r="B386" t="s">
        <v>3</v>
      </c>
      <c r="C386" s="3" t="s">
        <v>239</v>
      </c>
      <c r="D386">
        <v>0</v>
      </c>
      <c r="E386">
        <v>0</v>
      </c>
    </row>
    <row r="387" spans="1:5" x14ac:dyDescent="0.35">
      <c r="A387" s="1">
        <v>336</v>
      </c>
      <c r="B387" t="s">
        <v>3</v>
      </c>
      <c r="C387" s="3" t="s">
        <v>294</v>
      </c>
      <c r="D387">
        <v>0</v>
      </c>
      <c r="E387">
        <v>0</v>
      </c>
    </row>
    <row r="388" spans="1:5" x14ac:dyDescent="0.35">
      <c r="A388" s="1">
        <v>337</v>
      </c>
      <c r="B388" t="s">
        <v>3</v>
      </c>
      <c r="C388" s="3" t="s">
        <v>99</v>
      </c>
      <c r="D388">
        <v>0</v>
      </c>
      <c r="E388">
        <v>0</v>
      </c>
    </row>
    <row r="389" spans="1:5" x14ac:dyDescent="0.35">
      <c r="A389" s="1">
        <v>341</v>
      </c>
      <c r="B389" t="s">
        <v>3</v>
      </c>
      <c r="C389" s="3" t="s">
        <v>274</v>
      </c>
      <c r="D389" s="5">
        <v>0</v>
      </c>
      <c r="E389">
        <v>0</v>
      </c>
    </row>
    <row r="390" spans="1:5" x14ac:dyDescent="0.35">
      <c r="A390" s="1">
        <v>342</v>
      </c>
      <c r="B390" t="s">
        <v>3</v>
      </c>
      <c r="C390" s="3" t="s">
        <v>269</v>
      </c>
      <c r="D390" s="5">
        <v>0</v>
      </c>
      <c r="E390">
        <v>0</v>
      </c>
    </row>
    <row r="391" spans="1:5" x14ac:dyDescent="0.35">
      <c r="A391" s="1">
        <v>343</v>
      </c>
      <c r="B391" t="s">
        <v>3</v>
      </c>
      <c r="C391" s="3" t="s">
        <v>253</v>
      </c>
      <c r="D391">
        <v>0</v>
      </c>
      <c r="E391">
        <v>0</v>
      </c>
    </row>
    <row r="392" spans="1:5" x14ac:dyDescent="0.35">
      <c r="A392" s="1">
        <v>344</v>
      </c>
      <c r="B392" t="s">
        <v>3</v>
      </c>
      <c r="C392" s="3" t="s">
        <v>340</v>
      </c>
      <c r="D392" s="5">
        <v>0</v>
      </c>
      <c r="E392">
        <v>0</v>
      </c>
    </row>
    <row r="393" spans="1:5" x14ac:dyDescent="0.35">
      <c r="A393" s="1">
        <v>345</v>
      </c>
      <c r="B393" t="s">
        <v>3</v>
      </c>
      <c r="C393" s="3" t="s">
        <v>346</v>
      </c>
      <c r="D393" s="5">
        <v>0</v>
      </c>
      <c r="E393">
        <v>0</v>
      </c>
    </row>
    <row r="394" spans="1:5" x14ac:dyDescent="0.35">
      <c r="A394" s="1">
        <v>346</v>
      </c>
      <c r="B394" t="s">
        <v>3</v>
      </c>
      <c r="C394" s="3" t="s">
        <v>312</v>
      </c>
      <c r="D394" s="5">
        <v>0</v>
      </c>
      <c r="E394">
        <v>0</v>
      </c>
    </row>
    <row r="395" spans="1:5" x14ac:dyDescent="0.35">
      <c r="A395" s="1">
        <v>347</v>
      </c>
      <c r="B395" t="s">
        <v>3</v>
      </c>
      <c r="C395" s="3" t="s">
        <v>271</v>
      </c>
      <c r="D395" s="5">
        <v>0</v>
      </c>
      <c r="E395">
        <v>0</v>
      </c>
    </row>
    <row r="396" spans="1:5" x14ac:dyDescent="0.35">
      <c r="A396" s="1">
        <v>348</v>
      </c>
      <c r="B396" t="s">
        <v>3</v>
      </c>
      <c r="C396" s="3" t="s">
        <v>322</v>
      </c>
      <c r="D396" s="5">
        <v>0</v>
      </c>
      <c r="E396">
        <v>0</v>
      </c>
    </row>
    <row r="397" spans="1:5" x14ac:dyDescent="0.35">
      <c r="A397" s="1">
        <v>349</v>
      </c>
      <c r="B397" t="s">
        <v>3</v>
      </c>
      <c r="C397" s="3" t="s">
        <v>304</v>
      </c>
      <c r="D397">
        <v>0</v>
      </c>
      <c r="E397">
        <v>0</v>
      </c>
    </row>
    <row r="398" spans="1:5" x14ac:dyDescent="0.35">
      <c r="A398" s="1">
        <v>350</v>
      </c>
      <c r="B398" t="s">
        <v>3</v>
      </c>
      <c r="C398" s="3" t="s">
        <v>293</v>
      </c>
      <c r="D398" s="5">
        <v>0</v>
      </c>
      <c r="E398">
        <v>0</v>
      </c>
    </row>
    <row r="399" spans="1:5" x14ac:dyDescent="0.35">
      <c r="A399" s="1">
        <v>351</v>
      </c>
      <c r="B399" t="s">
        <v>3</v>
      </c>
      <c r="C399" s="3" t="s">
        <v>321</v>
      </c>
      <c r="D399" s="5">
        <v>0</v>
      </c>
      <c r="E399">
        <v>0</v>
      </c>
    </row>
    <row r="400" spans="1:5" x14ac:dyDescent="0.35">
      <c r="A400" s="1">
        <v>352</v>
      </c>
      <c r="B400" t="s">
        <v>3</v>
      </c>
      <c r="C400" s="3" t="s">
        <v>439</v>
      </c>
      <c r="D400" s="5">
        <v>0</v>
      </c>
      <c r="E400">
        <v>0</v>
      </c>
    </row>
    <row r="401" spans="1:5" x14ac:dyDescent="0.35">
      <c r="A401" s="1">
        <v>354</v>
      </c>
      <c r="B401" t="s">
        <v>3</v>
      </c>
      <c r="C401" s="3" t="s">
        <v>355</v>
      </c>
      <c r="D401" s="5">
        <v>0</v>
      </c>
      <c r="E401">
        <v>0</v>
      </c>
    </row>
    <row r="402" spans="1:5" x14ac:dyDescent="0.35">
      <c r="A402" s="1">
        <v>355</v>
      </c>
      <c r="B402" t="s">
        <v>3</v>
      </c>
      <c r="C402" s="3" t="s">
        <v>308</v>
      </c>
      <c r="D402" s="5">
        <v>0</v>
      </c>
      <c r="E402">
        <v>0</v>
      </c>
    </row>
    <row r="403" spans="1:5" x14ac:dyDescent="0.35">
      <c r="A403" s="1">
        <v>356</v>
      </c>
      <c r="B403" t="s">
        <v>3</v>
      </c>
      <c r="C403" s="3" t="s">
        <v>225</v>
      </c>
      <c r="D403" s="5">
        <v>0</v>
      </c>
      <c r="E403">
        <v>0</v>
      </c>
    </row>
    <row r="404" spans="1:5" x14ac:dyDescent="0.35">
      <c r="A404" s="1">
        <v>357</v>
      </c>
      <c r="B404" t="s">
        <v>3</v>
      </c>
      <c r="C404" s="3" t="s">
        <v>233</v>
      </c>
      <c r="D404" s="5">
        <v>0</v>
      </c>
      <c r="E404">
        <v>0</v>
      </c>
    </row>
    <row r="405" spans="1:5" x14ac:dyDescent="0.35">
      <c r="A405" s="1">
        <v>358</v>
      </c>
      <c r="B405" t="s">
        <v>3</v>
      </c>
      <c r="C405" s="3" t="s">
        <v>291</v>
      </c>
      <c r="D405" s="5">
        <v>0</v>
      </c>
      <c r="E405">
        <v>0</v>
      </c>
    </row>
    <row r="406" spans="1:5" x14ac:dyDescent="0.35">
      <c r="A406" s="1">
        <v>359</v>
      </c>
      <c r="B406" t="s">
        <v>3</v>
      </c>
      <c r="C406" s="3" t="s">
        <v>349</v>
      </c>
      <c r="D406" s="5">
        <v>0</v>
      </c>
      <c r="E406">
        <v>0</v>
      </c>
    </row>
    <row r="407" spans="1:5" x14ac:dyDescent="0.35">
      <c r="A407" s="1">
        <v>360</v>
      </c>
      <c r="B407" t="s">
        <v>3</v>
      </c>
      <c r="C407" s="3" t="s">
        <v>359</v>
      </c>
      <c r="D407" s="5">
        <v>0</v>
      </c>
      <c r="E407">
        <v>0</v>
      </c>
    </row>
    <row r="408" spans="1:5" x14ac:dyDescent="0.35">
      <c r="A408" s="1">
        <v>362</v>
      </c>
      <c r="B408" t="s">
        <v>3</v>
      </c>
      <c r="C408" s="3" t="s">
        <v>338</v>
      </c>
      <c r="D408" s="5">
        <v>0</v>
      </c>
      <c r="E408">
        <v>0</v>
      </c>
    </row>
    <row r="409" spans="1:5" x14ac:dyDescent="0.35">
      <c r="A409" s="1">
        <v>363</v>
      </c>
      <c r="B409" t="s">
        <v>3</v>
      </c>
      <c r="C409" s="3" t="s">
        <v>288</v>
      </c>
      <c r="D409" s="5">
        <v>0</v>
      </c>
      <c r="E409">
        <v>0</v>
      </c>
    </row>
    <row r="410" spans="1:5" x14ac:dyDescent="0.35">
      <c r="A410" s="1">
        <v>364</v>
      </c>
      <c r="B410" t="s">
        <v>3</v>
      </c>
      <c r="C410" s="3" t="s">
        <v>285</v>
      </c>
      <c r="D410" s="5">
        <v>0</v>
      </c>
      <c r="E410">
        <v>0</v>
      </c>
    </row>
    <row r="411" spans="1:5" x14ac:dyDescent="0.35">
      <c r="A411" s="1">
        <v>365</v>
      </c>
      <c r="B411" t="s">
        <v>3</v>
      </c>
      <c r="C411" s="3" t="s">
        <v>440</v>
      </c>
      <c r="D411">
        <v>0</v>
      </c>
      <c r="E411">
        <v>0</v>
      </c>
    </row>
    <row r="412" spans="1:5" x14ac:dyDescent="0.35">
      <c r="A412" s="1">
        <v>366</v>
      </c>
      <c r="B412" t="s">
        <v>3</v>
      </c>
      <c r="C412" s="3" t="s">
        <v>94</v>
      </c>
      <c r="D412" s="5">
        <v>0</v>
      </c>
      <c r="E412">
        <v>0</v>
      </c>
    </row>
    <row r="413" spans="1:5" x14ac:dyDescent="0.35">
      <c r="A413" s="1">
        <v>367</v>
      </c>
      <c r="B413" t="s">
        <v>3</v>
      </c>
      <c r="C413" s="3" t="s">
        <v>247</v>
      </c>
      <c r="D413" s="5">
        <v>0</v>
      </c>
      <c r="E413">
        <v>0</v>
      </c>
    </row>
    <row r="414" spans="1:5" x14ac:dyDescent="0.35">
      <c r="A414" s="1">
        <v>368</v>
      </c>
      <c r="B414" t="s">
        <v>3</v>
      </c>
      <c r="C414" s="3" t="s">
        <v>95</v>
      </c>
      <c r="D414" s="5">
        <v>0</v>
      </c>
      <c r="E414">
        <v>0</v>
      </c>
    </row>
    <row r="415" spans="1:5" x14ac:dyDescent="0.35">
      <c r="A415" s="1">
        <v>369</v>
      </c>
      <c r="B415" t="s">
        <v>3</v>
      </c>
      <c r="C415" s="3" t="s">
        <v>227</v>
      </c>
      <c r="D415" s="5">
        <v>0</v>
      </c>
      <c r="E415">
        <v>0</v>
      </c>
    </row>
    <row r="416" spans="1:5" x14ac:dyDescent="0.35">
      <c r="A416" s="1">
        <v>370</v>
      </c>
      <c r="B416" t="s">
        <v>3</v>
      </c>
      <c r="C416" s="3" t="s">
        <v>350</v>
      </c>
      <c r="D416" s="5">
        <v>0</v>
      </c>
      <c r="E416">
        <v>0</v>
      </c>
    </row>
    <row r="417" spans="1:5" x14ac:dyDescent="0.35">
      <c r="A417" s="1">
        <v>371</v>
      </c>
      <c r="B417" t="s">
        <v>3</v>
      </c>
      <c r="C417" t="s">
        <v>383</v>
      </c>
      <c r="D417">
        <v>0</v>
      </c>
      <c r="E417">
        <v>0</v>
      </c>
    </row>
    <row r="418" spans="1:5" x14ac:dyDescent="0.35">
      <c r="A418" s="1">
        <v>372</v>
      </c>
      <c r="B418" t="s">
        <v>3</v>
      </c>
      <c r="C418" t="s">
        <v>384</v>
      </c>
      <c r="D418">
        <v>0</v>
      </c>
      <c r="E418">
        <v>0</v>
      </c>
    </row>
    <row r="419" spans="1:5" hidden="1" x14ac:dyDescent="0.35">
      <c r="A419" s="1">
        <v>376</v>
      </c>
      <c r="B419" t="s">
        <v>3</v>
      </c>
      <c r="C419" t="s">
        <v>366</v>
      </c>
      <c r="D419">
        <v>0</v>
      </c>
      <c r="E419">
        <v>0</v>
      </c>
    </row>
    <row r="420" spans="1:5" hidden="1" x14ac:dyDescent="0.35">
      <c r="A420" s="1">
        <v>383</v>
      </c>
      <c r="B420" t="s">
        <v>3</v>
      </c>
      <c r="C420" t="s">
        <v>367</v>
      </c>
      <c r="D420">
        <v>0</v>
      </c>
      <c r="E420">
        <v>0</v>
      </c>
    </row>
    <row r="421" spans="1:5" hidden="1" x14ac:dyDescent="0.35">
      <c r="A421" s="1">
        <v>384</v>
      </c>
      <c r="B421" t="s">
        <v>3</v>
      </c>
      <c r="C421" t="s">
        <v>368</v>
      </c>
      <c r="D421">
        <v>0</v>
      </c>
      <c r="E421">
        <v>0</v>
      </c>
    </row>
    <row r="422" spans="1:5" hidden="1" x14ac:dyDescent="0.35">
      <c r="A422" s="1">
        <v>391</v>
      </c>
      <c r="B422" t="s">
        <v>3</v>
      </c>
      <c r="C422" t="s">
        <v>369</v>
      </c>
      <c r="D422">
        <v>0</v>
      </c>
      <c r="E422">
        <v>0</v>
      </c>
    </row>
    <row r="423" spans="1:5" hidden="1" x14ac:dyDescent="0.35">
      <c r="A423" s="1">
        <v>393</v>
      </c>
      <c r="B423" t="s">
        <v>3</v>
      </c>
      <c r="C423" t="s">
        <v>370</v>
      </c>
      <c r="D423">
        <v>0</v>
      </c>
      <c r="E423">
        <v>0</v>
      </c>
    </row>
    <row r="424" spans="1:5" hidden="1" x14ac:dyDescent="0.35">
      <c r="A424" s="1">
        <v>394</v>
      </c>
      <c r="B424" t="s">
        <v>3</v>
      </c>
      <c r="C424" t="s">
        <v>371</v>
      </c>
      <c r="D424">
        <v>0</v>
      </c>
      <c r="E424">
        <v>0</v>
      </c>
    </row>
    <row r="425" spans="1:5" hidden="1" x14ac:dyDescent="0.35">
      <c r="A425" s="1">
        <v>395</v>
      </c>
      <c r="B425" t="s">
        <v>3</v>
      </c>
      <c r="C425" t="s">
        <v>372</v>
      </c>
      <c r="D425">
        <v>0</v>
      </c>
      <c r="E425">
        <v>0</v>
      </c>
    </row>
    <row r="426" spans="1:5" hidden="1" x14ac:dyDescent="0.35">
      <c r="A426" s="1">
        <v>397</v>
      </c>
      <c r="B426" t="s">
        <v>3</v>
      </c>
      <c r="C426" t="s">
        <v>373</v>
      </c>
      <c r="D426">
        <v>0</v>
      </c>
      <c r="E426">
        <v>0</v>
      </c>
    </row>
    <row r="427" spans="1:5" hidden="1" x14ac:dyDescent="0.35">
      <c r="A427" s="1">
        <v>400</v>
      </c>
      <c r="B427" t="s">
        <v>3</v>
      </c>
      <c r="C427" t="s">
        <v>374</v>
      </c>
      <c r="D427">
        <v>0</v>
      </c>
      <c r="E427">
        <v>0</v>
      </c>
    </row>
    <row r="428" spans="1:5" hidden="1" x14ac:dyDescent="0.35">
      <c r="A428" s="1">
        <v>406</v>
      </c>
      <c r="B428" t="s">
        <v>3</v>
      </c>
      <c r="C428" t="s">
        <v>375</v>
      </c>
      <c r="D428">
        <v>0</v>
      </c>
      <c r="E428">
        <v>0</v>
      </c>
    </row>
    <row r="429" spans="1:5" hidden="1" x14ac:dyDescent="0.35">
      <c r="A429" s="1">
        <v>422</v>
      </c>
      <c r="B429" t="s">
        <v>3</v>
      </c>
      <c r="C429" t="s">
        <v>376</v>
      </c>
      <c r="D429">
        <v>0</v>
      </c>
      <c r="E429">
        <v>0</v>
      </c>
    </row>
  </sheetData>
  <pageMargins left="0.75" right="0.75" top="1" bottom="1" header="0.5" footer="0.5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F678F-D943-496C-BDA1-B50A1ACDC375}">
  <dimension ref="A1:C20"/>
  <sheetViews>
    <sheetView topLeftCell="A4" workbookViewId="0">
      <selection activeCell="A20" sqref="A2:A20"/>
    </sheetView>
  </sheetViews>
  <sheetFormatPr defaultRowHeight="14.5" x14ac:dyDescent="0.35"/>
  <cols>
    <col min="1" max="1" width="17.1796875" customWidth="1"/>
    <col min="2" max="2" width="12.6328125" customWidth="1"/>
    <col min="3" max="3" width="8.7265625" customWidth="1"/>
  </cols>
  <sheetData>
    <row r="1" spans="1:3" x14ac:dyDescent="0.35">
      <c r="A1" t="s">
        <v>1</v>
      </c>
      <c r="B1" t="s">
        <v>152</v>
      </c>
      <c r="C1" t="s">
        <v>2</v>
      </c>
    </row>
    <row r="2" spans="1:3" x14ac:dyDescent="0.35">
      <c r="A2" t="s">
        <v>33</v>
      </c>
      <c r="B2" s="5">
        <v>447490</v>
      </c>
      <c r="C2">
        <v>1</v>
      </c>
    </row>
    <row r="3" spans="1:3" x14ac:dyDescent="0.35">
      <c r="A3" t="s">
        <v>47</v>
      </c>
      <c r="B3" s="5">
        <v>5110</v>
      </c>
      <c r="C3">
        <v>1</v>
      </c>
    </row>
    <row r="4" spans="1:3" x14ac:dyDescent="0.35">
      <c r="A4" t="s">
        <v>199</v>
      </c>
      <c r="B4" s="5">
        <v>123041.5</v>
      </c>
      <c r="C4">
        <v>1</v>
      </c>
    </row>
    <row r="5" spans="1:3" x14ac:dyDescent="0.35">
      <c r="A5" t="s">
        <v>31</v>
      </c>
      <c r="B5" s="5">
        <v>14231.35</v>
      </c>
      <c r="C5">
        <v>1</v>
      </c>
    </row>
    <row r="6" spans="1:3" x14ac:dyDescent="0.35">
      <c r="A6" t="s">
        <v>385</v>
      </c>
      <c r="B6" s="5">
        <v>117384</v>
      </c>
      <c r="C6">
        <v>1</v>
      </c>
    </row>
    <row r="7" spans="1:3" x14ac:dyDescent="0.35">
      <c r="A7" t="s">
        <v>386</v>
      </c>
      <c r="B7" s="5">
        <v>21195.258000000002</v>
      </c>
      <c r="C7">
        <v>1</v>
      </c>
    </row>
    <row r="8" spans="1:3" x14ac:dyDescent="0.35">
      <c r="A8" t="s">
        <v>55</v>
      </c>
      <c r="B8" s="5">
        <v>155831.5</v>
      </c>
      <c r="C8">
        <v>1</v>
      </c>
    </row>
    <row r="9" spans="1:3" x14ac:dyDescent="0.35">
      <c r="A9" t="s">
        <v>387</v>
      </c>
      <c r="B9" s="5">
        <v>25402</v>
      </c>
      <c r="C9">
        <v>1</v>
      </c>
    </row>
    <row r="10" spans="1:3" x14ac:dyDescent="0.35">
      <c r="A10" t="s">
        <v>56</v>
      </c>
      <c r="B10" s="5">
        <v>111378</v>
      </c>
      <c r="C10">
        <v>1</v>
      </c>
    </row>
    <row r="11" spans="1:3" x14ac:dyDescent="0.35">
      <c r="A11" t="s">
        <v>60</v>
      </c>
      <c r="B11" s="5">
        <v>60574</v>
      </c>
      <c r="C11">
        <v>1</v>
      </c>
    </row>
    <row r="12" spans="1:3" x14ac:dyDescent="0.35">
      <c r="A12" t="s">
        <v>59</v>
      </c>
      <c r="B12" s="5">
        <v>25402</v>
      </c>
      <c r="C12">
        <v>1</v>
      </c>
    </row>
    <row r="13" spans="1:3" x14ac:dyDescent="0.35">
      <c r="A13" t="s">
        <v>54</v>
      </c>
      <c r="B13" s="5">
        <v>73275</v>
      </c>
      <c r="C13">
        <v>1</v>
      </c>
    </row>
    <row r="14" spans="1:3" x14ac:dyDescent="0.35">
      <c r="A14" t="s">
        <v>64</v>
      </c>
      <c r="B14" s="5">
        <v>322409.99999999988</v>
      </c>
      <c r="C14">
        <v>1</v>
      </c>
    </row>
    <row r="15" spans="1:3" x14ac:dyDescent="0.35">
      <c r="A15" t="s">
        <v>388</v>
      </c>
      <c r="B15" s="5">
        <v>304823.99999999988</v>
      </c>
      <c r="C15">
        <v>1</v>
      </c>
    </row>
    <row r="16" spans="1:3" x14ac:dyDescent="0.35">
      <c r="A16" t="s">
        <v>83</v>
      </c>
      <c r="B16" s="5">
        <v>293099.99999999988</v>
      </c>
      <c r="C16">
        <v>1</v>
      </c>
    </row>
    <row r="17" spans="1:3" x14ac:dyDescent="0.35">
      <c r="A17" t="s">
        <v>82</v>
      </c>
      <c r="B17" s="5">
        <v>371260</v>
      </c>
      <c r="C17">
        <v>1</v>
      </c>
    </row>
    <row r="18" spans="1:3" x14ac:dyDescent="0.35">
      <c r="A18" t="s">
        <v>137</v>
      </c>
      <c r="B18" s="5">
        <v>9999999</v>
      </c>
      <c r="C18">
        <v>1</v>
      </c>
    </row>
    <row r="19" spans="1:3" x14ac:dyDescent="0.35">
      <c r="A19" t="s">
        <v>389</v>
      </c>
      <c r="B19" s="5">
        <v>112059.5436666465</v>
      </c>
      <c r="C19">
        <v>0.95464069776670146</v>
      </c>
    </row>
    <row r="20" spans="1:3" x14ac:dyDescent="0.35">
      <c r="A20" t="s">
        <v>62</v>
      </c>
      <c r="B20" s="5">
        <v>36490.417710000002</v>
      </c>
      <c r="C20">
        <v>0.93373637947799393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7D6B2-627A-4AD8-9323-9DD6721C9721}">
  <dimension ref="A1:C17"/>
  <sheetViews>
    <sheetView topLeftCell="A4" workbookViewId="0">
      <selection activeCell="G15" sqref="G15"/>
    </sheetView>
  </sheetViews>
  <sheetFormatPr defaultRowHeight="14.5" x14ac:dyDescent="0.35"/>
  <cols>
    <col min="1" max="1" width="17.6328125" customWidth="1"/>
    <col min="2" max="2" width="12.6328125" customWidth="1"/>
  </cols>
  <sheetData>
    <row r="1" spans="1:3" x14ac:dyDescent="0.35">
      <c r="A1" t="s">
        <v>1</v>
      </c>
      <c r="B1" t="s">
        <v>152</v>
      </c>
      <c r="C1" t="s">
        <v>2</v>
      </c>
    </row>
    <row r="2" spans="1:3" x14ac:dyDescent="0.35">
      <c r="A2" t="s">
        <v>55</v>
      </c>
      <c r="B2" s="5">
        <f>VLOOKUP(LNG_Import_use!$A2,Raw!$C$3:$E$429,2,FALSE)</f>
        <v>155831.5</v>
      </c>
      <c r="C2" s="5">
        <f>VLOOKUP(LNG_Import_use!$A2,Raw!$C$3:$E$429,3,FALSE)</f>
        <v>1</v>
      </c>
    </row>
    <row r="3" spans="1:3" x14ac:dyDescent="0.35">
      <c r="A3" t="s">
        <v>387</v>
      </c>
      <c r="B3" s="5">
        <f>VLOOKUP(LNG_Import_use!$A3,Raw!$C$3:$E$429,2,FALSE)</f>
        <v>25402</v>
      </c>
      <c r="C3" s="5">
        <f>VLOOKUP(LNG_Import_use!$A3,Raw!$C$3:$E$429,3,FALSE)</f>
        <v>1</v>
      </c>
    </row>
    <row r="4" spans="1:3" x14ac:dyDescent="0.35">
      <c r="A4" t="s">
        <v>56</v>
      </c>
      <c r="B4" s="5">
        <f>VLOOKUP(LNG_Import_use!$A4,Raw!$C$3:$E$429,2,FALSE)</f>
        <v>111378</v>
      </c>
      <c r="C4" s="5">
        <f>VLOOKUP(LNG_Import_use!$A4,Raw!$C$3:$E$429,3,FALSE)</f>
        <v>1</v>
      </c>
    </row>
    <row r="5" spans="1:3" x14ac:dyDescent="0.35">
      <c r="A5" t="s">
        <v>60</v>
      </c>
      <c r="B5" s="5">
        <f>VLOOKUP(LNG_Import_use!$A5,Raw!$C$3:$E$429,2,FALSE)</f>
        <v>60574</v>
      </c>
      <c r="C5" s="5">
        <f>VLOOKUP(LNG_Import_use!$A5,Raw!$C$3:$E$429,3,FALSE)</f>
        <v>1</v>
      </c>
    </row>
    <row r="6" spans="1:3" x14ac:dyDescent="0.35">
      <c r="A6" t="s">
        <v>59</v>
      </c>
      <c r="B6" s="5">
        <f>VLOOKUP(LNG_Import_use!$A6,Raw!$C$3:$E$429,2,FALSE)</f>
        <v>25402</v>
      </c>
      <c r="C6" s="5">
        <f>VLOOKUP(LNG_Import_use!$A6,Raw!$C$3:$E$429,3,FALSE)</f>
        <v>1</v>
      </c>
    </row>
    <row r="7" spans="1:3" x14ac:dyDescent="0.35">
      <c r="A7" t="s">
        <v>54</v>
      </c>
      <c r="B7" s="5">
        <f>VLOOKUP(LNG_Import_use!$A7,Raw!$C$3:$E$429,2,FALSE)</f>
        <v>73275</v>
      </c>
      <c r="C7" s="5">
        <f>VLOOKUP(LNG_Import_use!$A7,Raw!$C$3:$E$429,3,FALSE)</f>
        <v>1</v>
      </c>
    </row>
    <row r="8" spans="1:3" x14ac:dyDescent="0.35">
      <c r="A8" t="s">
        <v>64</v>
      </c>
      <c r="B8" s="5">
        <f>VLOOKUP(LNG_Import_use!$A8,Raw!$C$3:$E$429,2,FALSE)</f>
        <v>322409.99999999988</v>
      </c>
      <c r="C8" s="5">
        <f>VLOOKUP(LNG_Import_use!$A8,Raw!$C$3:$E$429,3,FALSE)</f>
        <v>1</v>
      </c>
    </row>
    <row r="9" spans="1:3" x14ac:dyDescent="0.35">
      <c r="A9" t="s">
        <v>388</v>
      </c>
      <c r="B9" s="5">
        <f>VLOOKUP(LNG_Import_use!$A9,Raw!$C$3:$E$429,2,FALSE)</f>
        <v>304823.99999999988</v>
      </c>
      <c r="C9" s="5">
        <f>VLOOKUP(LNG_Import_use!$A9,Raw!$C$3:$E$429,3,FALSE)</f>
        <v>1</v>
      </c>
    </row>
    <row r="10" spans="1:3" x14ac:dyDescent="0.35">
      <c r="A10" t="s">
        <v>62</v>
      </c>
      <c r="B10" s="5">
        <f>VLOOKUP(LNG_Import_use!$A10,Raw!$C$3:$E$429,2,FALSE)</f>
        <v>36490.417710000002</v>
      </c>
      <c r="C10" s="5">
        <f>VLOOKUP(LNG_Import_use!$A10,Raw!$C$3:$E$429,3,FALSE)</f>
        <v>0.93373637947799393</v>
      </c>
    </row>
    <row r="11" spans="1:3" x14ac:dyDescent="0.35">
      <c r="A11" t="s">
        <v>65</v>
      </c>
      <c r="B11" s="5">
        <f>VLOOKUP(LNG_Import_use!$A11,Raw!$C$3:$E$429,2,FALSE)</f>
        <v>43774.399641264652</v>
      </c>
      <c r="C11" s="5">
        <f>VLOOKUP(LNG_Import_use!$A11,Raw!$C$3:$E$429,3,FALSE)</f>
        <v>0.58953832410257845</v>
      </c>
    </row>
    <row r="12" spans="1:3" x14ac:dyDescent="0.35">
      <c r="A12" t="s">
        <v>392</v>
      </c>
      <c r="B12" s="5">
        <f>VLOOKUP(LNG_Import_use!$A12,Raw!$C$3:$E$429,2,FALSE)</f>
        <v>7494.6891249999999</v>
      </c>
      <c r="C12" s="5">
        <f>VLOOKUP(LNG_Import_use!$A12,Raw!$C$3:$E$429,3,FALSE)</f>
        <v>0.51140833333333335</v>
      </c>
    </row>
    <row r="13" spans="1:3" x14ac:dyDescent="0.35">
      <c r="A13" t="s">
        <v>57</v>
      </c>
      <c r="B13" s="5">
        <f>VLOOKUP(LNG_Import_use!$A13,Raw!$C$3:$E$429,2,FALSE)</f>
        <v>207003.15305077279</v>
      </c>
      <c r="C13" s="5">
        <f>VLOOKUP(LNG_Import_use!$A13,Raw!$C$3:$E$429,3,FALSE)</f>
        <v>0.48595483517877408</v>
      </c>
    </row>
    <row r="14" spans="1:3" x14ac:dyDescent="0.35">
      <c r="A14" t="s">
        <v>58</v>
      </c>
      <c r="B14" s="5">
        <f>VLOOKUP(LNG_Import_use!$A14,Raw!$C$3:$E$429,2,FALSE)</f>
        <v>162993.22167908089</v>
      </c>
      <c r="C14" s="5">
        <f>VLOOKUP(LNG_Import_use!$A14,Raw!$C$3:$E$429,3,FALSE)</f>
        <v>0.2486293875059008</v>
      </c>
    </row>
    <row r="15" spans="1:3" x14ac:dyDescent="0.35">
      <c r="A15" t="s">
        <v>393</v>
      </c>
      <c r="B15" s="5">
        <f>VLOOKUP(LNG_Import_use!$A15,Raw!$C$3:$E$429,2,FALSE)</f>
        <v>11669.450833333331</v>
      </c>
      <c r="C15" s="5">
        <f>VLOOKUP(LNG_Import_use!$A15,Raw!$C$3:$E$429,3,FALSE)</f>
        <v>0.23888333333333331</v>
      </c>
    </row>
    <row r="16" spans="1:3" x14ac:dyDescent="0.35">
      <c r="A16" t="s">
        <v>61</v>
      </c>
      <c r="B16" s="5">
        <f>VLOOKUP(LNG_Import_use!$A16,Raw!$C$3:$E$429,2,FALSE)</f>
        <v>81491.87295725508</v>
      </c>
      <c r="C16" s="5">
        <f>VLOOKUP(LNG_Import_use!$A16,Raw!$C$3:$E$429,3,FALSE)</f>
        <v>0.1594843405149316</v>
      </c>
    </row>
    <row r="17" spans="1:3" x14ac:dyDescent="0.35">
      <c r="A17" t="s">
        <v>394</v>
      </c>
      <c r="B17" s="5">
        <f>VLOOKUP(LNG_Import_use!$A17,Raw!$C$3:$E$429,2,FALSE)</f>
        <v>3613.770355847626</v>
      </c>
      <c r="C17" s="5">
        <f>VLOOKUP(LNG_Import_use!$A17,Raw!$C$3:$E$429,3,FALSE)</f>
        <v>0.14795375049529691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D411B-08D5-4798-8AA5-FBD73D4A6C09}">
  <dimension ref="A1:F19"/>
  <sheetViews>
    <sheetView tabSelected="1" workbookViewId="0">
      <selection activeCell="E10" sqref="E10"/>
    </sheetView>
  </sheetViews>
  <sheetFormatPr defaultRowHeight="14.5" x14ac:dyDescent="0.35"/>
  <cols>
    <col min="1" max="1" width="24.90625" customWidth="1"/>
    <col min="2" max="2" width="12.6328125" customWidth="1"/>
    <col min="5" max="5" width="12.6328125" customWidth="1"/>
  </cols>
  <sheetData>
    <row r="1" spans="1:6" ht="15" thickBot="1" x14ac:dyDescent="0.4">
      <c r="A1" t="s">
        <v>1</v>
      </c>
      <c r="B1" s="6" t="s">
        <v>152</v>
      </c>
      <c r="D1" s="2" t="s">
        <v>377</v>
      </c>
      <c r="E1" s="6" t="s">
        <v>152</v>
      </c>
    </row>
    <row r="2" spans="1:6" ht="15" thickTop="1" x14ac:dyDescent="0.35">
      <c r="A2" t="s">
        <v>222</v>
      </c>
      <c r="B2">
        <v>322409.99999999988</v>
      </c>
      <c r="D2" t="s">
        <v>378</v>
      </c>
      <c r="E2" s="5">
        <f>SUMIF(Table6[Edge],"*AF*",Table6[Flow (GWh)])</f>
        <v>292335.82209085295</v>
      </c>
      <c r="F2" s="5"/>
    </row>
    <row r="3" spans="1:6" x14ac:dyDescent="0.35">
      <c r="A3" t="s">
        <v>395</v>
      </c>
      <c r="B3">
        <v>304823.99999999988</v>
      </c>
      <c r="D3" t="s">
        <v>379</v>
      </c>
      <c r="E3" s="5">
        <f>SUMIF(Table6[Edge],"*EG*",Table6[Flow (GWh)])</f>
        <v>0</v>
      </c>
    </row>
    <row r="4" spans="1:6" x14ac:dyDescent="0.35">
      <c r="A4" t="s">
        <v>337</v>
      </c>
      <c r="B4">
        <v>203896.55411826479</v>
      </c>
      <c r="D4" t="s">
        <v>380</v>
      </c>
      <c r="E4" s="5">
        <f>SUMIF(Table6[Edge],"*QA*",Table6[Flow (GWh)])</f>
        <v>0</v>
      </c>
    </row>
    <row r="5" spans="1:6" x14ac:dyDescent="0.35">
      <c r="A5" t="s">
        <v>353</v>
      </c>
      <c r="B5">
        <v>125165.8995882279</v>
      </c>
      <c r="D5" t="s">
        <v>381</v>
      </c>
      <c r="E5" s="5">
        <f>SUMIF(Table6[Edge],"*TT*",Table6[Flow (GWh)])</f>
        <v>3106.5989325080009</v>
      </c>
    </row>
    <row r="6" spans="1:6" x14ac:dyDescent="0.35">
      <c r="A6" t="s">
        <v>98</v>
      </c>
      <c r="B6">
        <v>111378</v>
      </c>
      <c r="D6" t="s">
        <v>382</v>
      </c>
      <c r="E6" s="5">
        <f>SUMIF(Table6[Edge],"*USA*",Table6[Flow (GWh)])</f>
        <v>1338185.0543291932</v>
      </c>
    </row>
    <row r="7" spans="1:6" x14ac:dyDescent="0.35">
      <c r="A7" t="s">
        <v>88</v>
      </c>
      <c r="B7">
        <v>81491.87295725508</v>
      </c>
    </row>
    <row r="8" spans="1:6" x14ac:dyDescent="0.35">
      <c r="A8" t="s">
        <v>93</v>
      </c>
      <c r="B8">
        <v>60574</v>
      </c>
    </row>
    <row r="9" spans="1:6" x14ac:dyDescent="0.35">
      <c r="A9" t="s">
        <v>356</v>
      </c>
      <c r="B9">
        <v>43774.399641264652</v>
      </c>
    </row>
    <row r="10" spans="1:6" x14ac:dyDescent="0.35">
      <c r="A10" t="s">
        <v>107</v>
      </c>
      <c r="B10">
        <v>36490.417710000002</v>
      </c>
    </row>
    <row r="11" spans="1:6" x14ac:dyDescent="0.35">
      <c r="A11" t="s">
        <v>396</v>
      </c>
      <c r="B11">
        <v>25402</v>
      </c>
    </row>
    <row r="12" spans="1:6" x14ac:dyDescent="0.35">
      <c r="A12" t="s">
        <v>397</v>
      </c>
      <c r="B12">
        <v>11669.450833333331</v>
      </c>
    </row>
    <row r="13" spans="1:6" x14ac:dyDescent="0.35">
      <c r="A13" t="s">
        <v>398</v>
      </c>
      <c r="B13">
        <v>7494.6891249999999</v>
      </c>
    </row>
    <row r="14" spans="1:6" x14ac:dyDescent="0.35">
      <c r="A14" t="s">
        <v>399</v>
      </c>
      <c r="B14">
        <v>3613.770355847626</v>
      </c>
    </row>
    <row r="15" spans="1:6" x14ac:dyDescent="0.35">
      <c r="A15" t="s">
        <v>242</v>
      </c>
      <c r="B15" s="5">
        <v>155831.5</v>
      </c>
    </row>
    <row r="16" spans="1:6" x14ac:dyDescent="0.35">
      <c r="A16" t="s">
        <v>301</v>
      </c>
      <c r="B16" s="5">
        <v>73275</v>
      </c>
    </row>
    <row r="17" spans="1:2" x14ac:dyDescent="0.35">
      <c r="A17" t="s">
        <v>96</v>
      </c>
      <c r="B17" s="5">
        <v>37827.322090852947</v>
      </c>
    </row>
    <row r="18" spans="1:2" x14ac:dyDescent="0.35">
      <c r="A18" t="s">
        <v>352</v>
      </c>
      <c r="B18" s="5">
        <v>25402</v>
      </c>
    </row>
    <row r="19" spans="1:2" x14ac:dyDescent="0.35">
      <c r="A19" t="s">
        <v>235</v>
      </c>
      <c r="B19" s="5">
        <v>3106.5989325080009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056A0-92C1-479C-9E87-63E1F7BA4266}">
  <dimension ref="A1:B37"/>
  <sheetViews>
    <sheetView workbookViewId="0">
      <selection activeCell="E4" sqref="E4"/>
    </sheetView>
  </sheetViews>
  <sheetFormatPr defaultRowHeight="14.5" x14ac:dyDescent="0.35"/>
  <cols>
    <col min="1" max="1" width="28" customWidth="1"/>
    <col min="2" max="2" width="15.1796875" customWidth="1"/>
  </cols>
  <sheetData>
    <row r="1" spans="1:2" x14ac:dyDescent="0.35">
      <c r="A1" t="s">
        <v>1</v>
      </c>
      <c r="B1" t="s">
        <v>152</v>
      </c>
    </row>
    <row r="2" spans="1:2" x14ac:dyDescent="0.35">
      <c r="A2" t="s">
        <v>82</v>
      </c>
      <c r="B2">
        <v>371260</v>
      </c>
    </row>
    <row r="3" spans="1:2" x14ac:dyDescent="0.35">
      <c r="A3" t="s">
        <v>128</v>
      </c>
      <c r="B3">
        <v>5728954.0927535295</v>
      </c>
    </row>
    <row r="4" spans="1:2" x14ac:dyDescent="0.35">
      <c r="A4" t="s">
        <v>9</v>
      </c>
      <c r="B4">
        <v>163980.03162800669</v>
      </c>
    </row>
    <row r="5" spans="1:2" x14ac:dyDescent="0.35">
      <c r="A5" t="s">
        <v>72</v>
      </c>
      <c r="B5">
        <v>764279.93870664702</v>
      </c>
    </row>
    <row r="6" spans="1:2" x14ac:dyDescent="0.35">
      <c r="A6" t="s">
        <v>91</v>
      </c>
      <c r="B6">
        <v>764279.93870664702</v>
      </c>
    </row>
    <row r="7" spans="1:2" x14ac:dyDescent="0.35">
      <c r="A7" t="s">
        <v>203</v>
      </c>
      <c r="B7">
        <v>0</v>
      </c>
    </row>
    <row r="8" spans="1:2" x14ac:dyDescent="0.35">
      <c r="A8" t="s">
        <v>191</v>
      </c>
      <c r="B8">
        <v>0</v>
      </c>
    </row>
    <row r="9" spans="1:2" x14ac:dyDescent="0.35">
      <c r="A9" t="s">
        <v>192</v>
      </c>
      <c r="B9">
        <v>0</v>
      </c>
    </row>
    <row r="10" spans="1:2" x14ac:dyDescent="0.35">
      <c r="A10" t="s">
        <v>11</v>
      </c>
      <c r="B10">
        <v>0</v>
      </c>
    </row>
    <row r="11" spans="1:2" x14ac:dyDescent="0.35">
      <c r="A11" t="s">
        <v>42</v>
      </c>
      <c r="B11">
        <v>0</v>
      </c>
    </row>
    <row r="12" spans="1:2" x14ac:dyDescent="0.35">
      <c r="A12" t="s">
        <v>179</v>
      </c>
      <c r="B12">
        <v>0</v>
      </c>
    </row>
    <row r="13" spans="1:2" x14ac:dyDescent="0.35">
      <c r="A13" t="s">
        <v>210</v>
      </c>
      <c r="B13">
        <v>0</v>
      </c>
    </row>
    <row r="14" spans="1:2" x14ac:dyDescent="0.35">
      <c r="A14" t="s">
        <v>219</v>
      </c>
      <c r="B14">
        <v>0</v>
      </c>
    </row>
    <row r="15" spans="1:2" x14ac:dyDescent="0.35">
      <c r="A15" t="s">
        <v>323</v>
      </c>
      <c r="B15">
        <v>0</v>
      </c>
    </row>
    <row r="16" spans="1:2" x14ac:dyDescent="0.35">
      <c r="A16" t="s">
        <v>280</v>
      </c>
      <c r="B16">
        <v>0</v>
      </c>
    </row>
    <row r="17" spans="1:2" x14ac:dyDescent="0.35">
      <c r="A17" t="s">
        <v>240</v>
      </c>
      <c r="B17">
        <v>0</v>
      </c>
    </row>
    <row r="18" spans="1:2" x14ac:dyDescent="0.35">
      <c r="A18" t="s">
        <v>408</v>
      </c>
      <c r="B18">
        <v>0</v>
      </c>
    </row>
    <row r="19" spans="1:2" x14ac:dyDescent="0.35">
      <c r="A19" t="s">
        <v>289</v>
      </c>
      <c r="B19">
        <v>0</v>
      </c>
    </row>
    <row r="20" spans="1:2" x14ac:dyDescent="0.35">
      <c r="A20" t="s">
        <v>231</v>
      </c>
      <c r="B20">
        <v>0</v>
      </c>
    </row>
    <row r="21" spans="1:2" x14ac:dyDescent="0.35">
      <c r="A21" t="s">
        <v>315</v>
      </c>
      <c r="B21">
        <v>0</v>
      </c>
    </row>
    <row r="22" spans="1:2" x14ac:dyDescent="0.35">
      <c r="A22" t="s">
        <v>414</v>
      </c>
      <c r="B22">
        <v>0</v>
      </c>
    </row>
    <row r="23" spans="1:2" x14ac:dyDescent="0.35">
      <c r="A23" t="s">
        <v>415</v>
      </c>
      <c r="B23">
        <v>0</v>
      </c>
    </row>
    <row r="24" spans="1:2" x14ac:dyDescent="0.35">
      <c r="A24" t="s">
        <v>262</v>
      </c>
      <c r="B24">
        <v>0</v>
      </c>
    </row>
    <row r="25" spans="1:2" x14ac:dyDescent="0.35">
      <c r="A25" t="s">
        <v>255</v>
      </c>
      <c r="B25">
        <v>0</v>
      </c>
    </row>
    <row r="26" spans="1:2" x14ac:dyDescent="0.35">
      <c r="A26" t="s">
        <v>310</v>
      </c>
      <c r="B26">
        <v>0</v>
      </c>
    </row>
    <row r="27" spans="1:2" x14ac:dyDescent="0.35">
      <c r="A27" t="s">
        <v>360</v>
      </c>
      <c r="B27">
        <v>0</v>
      </c>
    </row>
    <row r="28" spans="1:2" x14ac:dyDescent="0.35">
      <c r="A28" t="s">
        <v>428</v>
      </c>
      <c r="B28">
        <v>0</v>
      </c>
    </row>
    <row r="29" spans="1:2" x14ac:dyDescent="0.35">
      <c r="A29" t="s">
        <v>257</v>
      </c>
      <c r="B29">
        <v>0</v>
      </c>
    </row>
    <row r="30" spans="1:2" x14ac:dyDescent="0.35">
      <c r="A30" t="s">
        <v>241</v>
      </c>
      <c r="B30">
        <v>0</v>
      </c>
    </row>
    <row r="31" spans="1:2" x14ac:dyDescent="0.35">
      <c r="A31" t="s">
        <v>303</v>
      </c>
      <c r="B31">
        <v>0</v>
      </c>
    </row>
    <row r="32" spans="1:2" x14ac:dyDescent="0.35">
      <c r="A32" t="s">
        <v>284</v>
      </c>
      <c r="B32">
        <v>0</v>
      </c>
    </row>
    <row r="33" spans="1:2" x14ac:dyDescent="0.35">
      <c r="A33" t="s">
        <v>325</v>
      </c>
      <c r="B33">
        <v>0</v>
      </c>
    </row>
    <row r="34" spans="1:2" x14ac:dyDescent="0.35">
      <c r="A34" t="s">
        <v>435</v>
      </c>
      <c r="B34">
        <v>0</v>
      </c>
    </row>
    <row r="35" spans="1:2" x14ac:dyDescent="0.35">
      <c r="A35" t="s">
        <v>258</v>
      </c>
      <c r="B35">
        <v>0</v>
      </c>
    </row>
    <row r="36" spans="1:2" x14ac:dyDescent="0.35">
      <c r="A36" t="s">
        <v>346</v>
      </c>
      <c r="B36">
        <v>0</v>
      </c>
    </row>
    <row r="37" spans="1:2" x14ac:dyDescent="0.35">
      <c r="A37" t="s">
        <v>321</v>
      </c>
      <c r="B3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</vt:lpstr>
      <vt:lpstr>Network_use_over_90%</vt:lpstr>
      <vt:lpstr>LNG_Import_use</vt:lpstr>
      <vt:lpstr>LNG_Sources</vt:lpstr>
      <vt:lpstr>Russian_Supply_Europe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Mathilde Roger Estrade</cp:lastModifiedBy>
  <dcterms:created xsi:type="dcterms:W3CDTF">2025-03-31T16:26:09Z</dcterms:created>
  <dcterms:modified xsi:type="dcterms:W3CDTF">2025-05-06T13:51:40Z</dcterms:modified>
</cp:coreProperties>
</file>