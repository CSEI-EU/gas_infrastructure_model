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2_output_data\02_unidirectional_results\01_paper_IAEE\02_prepared_results\"/>
    </mc:Choice>
  </mc:AlternateContent>
  <xr:revisionPtr revIDLastSave="0" documentId="13_ncr:1_{00674290-8CE2-4135-A4E8-51205BE75C25}" xr6:coauthVersionLast="47" xr6:coauthVersionMax="47" xr10:uidLastSave="{00000000-0000-0000-0000-000000000000}"/>
  <bookViews>
    <workbookView xWindow="-4590" yWindow="-21720" windowWidth="38640" windowHeight="21120" activeTab="4" xr2:uid="{00000000-000D-0000-FFFF-FFFF00000000}"/>
  </bookViews>
  <sheets>
    <sheet name="Raw" sheetId="1" r:id="rId1"/>
    <sheet name="Network_use_over_90%" sheetId="4" r:id="rId2"/>
    <sheet name="LNG_Import_use" sheetId="2" r:id="rId3"/>
    <sheet name="LNG_Sources" sheetId="5" r:id="rId4"/>
    <sheet name="Russian_Supply_Europ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" i="2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2" i="3"/>
  <c r="C15" i="2"/>
  <c r="C16" i="2"/>
  <c r="C17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E3" i="5" l="1"/>
  <c r="E2" i="5"/>
  <c r="E6" i="5"/>
  <c r="E5" i="5"/>
  <c r="E4" i="5"/>
</calcChain>
</file>

<file path=xl/sharedStrings.xml><?xml version="1.0" encoding="utf-8"?>
<sst xmlns="http://schemas.openxmlformats.org/spreadsheetml/2006/main" count="1102" uniqueCount="466">
  <si>
    <t>Commodity</t>
  </si>
  <si>
    <t>Edge</t>
  </si>
  <si>
    <t>Share</t>
  </si>
  <si>
    <t>Methane</t>
  </si>
  <si>
    <t>Column1</t>
  </si>
  <si>
    <t>BE', 'DE'</t>
  </si>
  <si>
    <t>BE', 'LU'</t>
  </si>
  <si>
    <t>HR', 'HU'</t>
  </si>
  <si>
    <t>RS', 'HU'</t>
  </si>
  <si>
    <t>RU', 'BY'</t>
  </si>
  <si>
    <t>HU', 'SK'</t>
  </si>
  <si>
    <t>RU', 'FI'</t>
  </si>
  <si>
    <t>UK', 'NL'</t>
  </si>
  <si>
    <t>CZ', 'SK'</t>
  </si>
  <si>
    <t>DZ', 'MA'</t>
  </si>
  <si>
    <t>AL', 'IT'</t>
  </si>
  <si>
    <t>TR', 'BG'</t>
  </si>
  <si>
    <t>DE', 'AT'</t>
  </si>
  <si>
    <t>IT', 'AT'</t>
  </si>
  <si>
    <t>BG', 'MK'</t>
  </si>
  <si>
    <t>NO', 'NL'</t>
  </si>
  <si>
    <t>UK', 'IE'</t>
  </si>
  <si>
    <t>LV', 'EE'</t>
  </si>
  <si>
    <t>RO', 'HU'</t>
  </si>
  <si>
    <t>BG', 'RS'</t>
  </si>
  <si>
    <t>ES', 'FR'</t>
  </si>
  <si>
    <t>EL', 'AL'</t>
  </si>
  <si>
    <t>BG', 'RO'</t>
  </si>
  <si>
    <t>DE', 'CZ'</t>
  </si>
  <si>
    <t>RO', 'MD'</t>
  </si>
  <si>
    <t>TR', 'EL'</t>
  </si>
  <si>
    <t>IT', 'SI'</t>
  </si>
  <si>
    <t>EE', 'FI'</t>
  </si>
  <si>
    <t>NO', 'DE'</t>
  </si>
  <si>
    <t>DE', 'PL'</t>
  </si>
  <si>
    <t>CH', 'DE'</t>
  </si>
  <si>
    <t>NO', 'FR'</t>
  </si>
  <si>
    <t>NO', 'BE'</t>
  </si>
  <si>
    <t>UK', 'BE'</t>
  </si>
  <si>
    <t>RO', 'UA'</t>
  </si>
  <si>
    <t>NO', 'UK'</t>
  </si>
  <si>
    <t>DK', 'SE'</t>
  </si>
  <si>
    <t>RU', 'UA'</t>
  </si>
  <si>
    <t>TN', 'IT'</t>
  </si>
  <si>
    <t>LY', 'IT'</t>
  </si>
  <si>
    <t>DE', 'DK'</t>
  </si>
  <si>
    <t>DZ', 'TN'</t>
  </si>
  <si>
    <t>RS', 'BA'</t>
  </si>
  <si>
    <t>BE', 'NL'</t>
  </si>
  <si>
    <t>FR', 'CH'</t>
  </si>
  <si>
    <t>NL', 'DE'</t>
  </si>
  <si>
    <t>LT', 'LV'</t>
  </si>
  <si>
    <t>UA', 'MD'</t>
  </si>
  <si>
    <t>CZ', 'PL'</t>
  </si>
  <si>
    <t>EL_LNG_imp', 'EL'</t>
  </si>
  <si>
    <t>IT_LNG_imp', 'IT'</t>
  </si>
  <si>
    <t>BE_LNG_imp', 'BE'</t>
  </si>
  <si>
    <t>TR_LNG_imp', 'TR'</t>
  </si>
  <si>
    <t>ES_LNG_imp', 'ES'</t>
  </si>
  <si>
    <t>HR_LNG_imp', 'HR'</t>
  </si>
  <si>
    <t>PL_LNG_imp', 'PL'</t>
  </si>
  <si>
    <t>UK_LNG_imp', 'UK'</t>
  </si>
  <si>
    <t>LT_LNG_imp', 'LT'</t>
  </si>
  <si>
    <t>NL_LNG_imp', 'NL'</t>
  </si>
  <si>
    <t>FR_LNG_imp', 'FR'</t>
  </si>
  <si>
    <t>PT_LNG_imp', 'PT'</t>
  </si>
  <si>
    <t>IN_LNG_imp', 'IN'</t>
  </si>
  <si>
    <t>AS_LNG_imp', 'AS'</t>
  </si>
  <si>
    <t>CN_LNG_imp', 'CN'</t>
  </si>
  <si>
    <t>SA_LNG_imp', 'SA'</t>
  </si>
  <si>
    <t>JS_LNG_imp', 'JS'</t>
  </si>
  <si>
    <t>TT', 'TT_LNG_exp'</t>
  </si>
  <si>
    <t>RU', 'RU_LNG_exp'</t>
  </si>
  <si>
    <t>AF', 'AF_LNG_exp'</t>
  </si>
  <si>
    <t>EG', 'EG_LNG_exp'</t>
  </si>
  <si>
    <t>USA', 'USA_LNG_exp'</t>
  </si>
  <si>
    <t>AU', 'AU_LNG_exp'</t>
  </si>
  <si>
    <t>QA', 'QA_LNG_exp'</t>
  </si>
  <si>
    <t>IM', 'IM_LNG_exp'</t>
  </si>
  <si>
    <t>QA', 'ME'</t>
  </si>
  <si>
    <t>CR', 'CN'</t>
  </si>
  <si>
    <t>USA', 'CM'</t>
  </si>
  <si>
    <t>RU', 'CN'</t>
  </si>
  <si>
    <t>CR', 'TR'</t>
  </si>
  <si>
    <t>QA_LNG_exp', 'IN_LNG_imp'</t>
  </si>
  <si>
    <t>QA_LNG_exp', 'TR_LNG_imp'</t>
  </si>
  <si>
    <t>AU_LNG_exp', 'IN_LNG_imp'</t>
  </si>
  <si>
    <t>QA_LNG_exp', 'FR_LNG_imp'</t>
  </si>
  <si>
    <t>USA_LNG_exp', 'UK_LNG_imp'</t>
  </si>
  <si>
    <t>IM_LNG_exp', 'AS_LNG_imp'</t>
  </si>
  <si>
    <t>QA_LNG_exp', 'ES_LNG_imp'</t>
  </si>
  <si>
    <t>RU_LNG_exp', 'JS_LNG_imp'</t>
  </si>
  <si>
    <t>AF_LNG_exp', 'PT_LNG_imp'</t>
  </si>
  <si>
    <t>USA_LNG_exp', 'PL_LNG_imp'</t>
  </si>
  <si>
    <t>TT_LNG_exp', 'PT_LNG_imp'</t>
  </si>
  <si>
    <t>QA_LNG_exp', 'EL_LNG_imp'</t>
  </si>
  <si>
    <t>AF_LNG_exp', 'ES_LNG_imp'</t>
  </si>
  <si>
    <t>IM_LNG_exp', 'IN_LNG_imp'</t>
  </si>
  <si>
    <t>USA_LNG_exp', 'BE_LNG_imp'</t>
  </si>
  <si>
    <t>EG_LNG_exp', 'FR_LNG_imp'</t>
  </si>
  <si>
    <t>QA_LNG_exp', 'HR_LNG_imp'</t>
  </si>
  <si>
    <t>USA_LNG_exp', 'NL_LNG_imp'</t>
  </si>
  <si>
    <t>AU_LNG_exp', 'JS_LNG_imp'</t>
  </si>
  <si>
    <t>TT_LNG_exp', 'SA_LNG_imp'</t>
  </si>
  <si>
    <t>TT_LNG_exp', 'BE_LNG_imp'</t>
  </si>
  <si>
    <t>QA_LNG_exp', 'IT_LNG_imp'</t>
  </si>
  <si>
    <t>AU_LNG_exp', 'CN_LNG_imp'</t>
  </si>
  <si>
    <t>USA_LNG_exp', 'LT_LNG_imp'</t>
  </si>
  <si>
    <t>AL_Prod', 'AL'</t>
  </si>
  <si>
    <t>DZ_Prod', 'DZ'</t>
  </si>
  <si>
    <t>AT_Prod', 'AT'</t>
  </si>
  <si>
    <t>BE_Prod', 'BE'</t>
  </si>
  <si>
    <t>BA_Prod', 'BA'</t>
  </si>
  <si>
    <t>BG_Prod', 'BG'</t>
  </si>
  <si>
    <t>HR_Prod', 'HR'</t>
  </si>
  <si>
    <t>CZ_Prod', 'CZ'</t>
  </si>
  <si>
    <t>DK_Prod', 'DK'</t>
  </si>
  <si>
    <t>FR_Prod', 'FR'</t>
  </si>
  <si>
    <t>DE_Prod', 'DE'</t>
  </si>
  <si>
    <t>EL_Prod', 'EL'</t>
  </si>
  <si>
    <t>HU_Prod', 'HU'</t>
  </si>
  <si>
    <t>IE_Prod', 'IE'</t>
  </si>
  <si>
    <t>IT_Prod', 'IT'</t>
  </si>
  <si>
    <t>LY_Prod', 'LY'</t>
  </si>
  <si>
    <t>NL_Prod', 'NL'</t>
  </si>
  <si>
    <t>NO_Prod', 'NO'</t>
  </si>
  <si>
    <t>PL_Prod', 'PL'</t>
  </si>
  <si>
    <t>RO_Prod', 'RO'</t>
  </si>
  <si>
    <t>RU_Prod', 'RU'</t>
  </si>
  <si>
    <t>RS_Prod', 'RS'</t>
  </si>
  <si>
    <t>SK_Prod', 'SK'</t>
  </si>
  <si>
    <t>SI_Prod', 'SI'</t>
  </si>
  <si>
    <t>TN_Prod', 'TN'</t>
  </si>
  <si>
    <t>TR_Prod', 'TR'</t>
  </si>
  <si>
    <t>UK_Prod', 'UK'</t>
  </si>
  <si>
    <t>UA_Prod', 'UA'</t>
  </si>
  <si>
    <t>ES_Prod', 'ES'</t>
  </si>
  <si>
    <t>USA_Prod', 'USA'</t>
  </si>
  <si>
    <t>CM_Prod', 'CM'</t>
  </si>
  <si>
    <t>SA_Prod', 'SA'</t>
  </si>
  <si>
    <t>TT_Prod', 'TT'</t>
  </si>
  <si>
    <t>ME_Prod', 'ME'</t>
  </si>
  <si>
    <t>QA_Prod', 'QA'</t>
  </si>
  <si>
    <t>AF_Prod', 'AF'</t>
  </si>
  <si>
    <t>MA_Prod', 'MA'</t>
  </si>
  <si>
    <t>AU_Prod', 'AU'</t>
  </si>
  <si>
    <t>CN_Prod', 'CN'</t>
  </si>
  <si>
    <t>IN_Prod', 'IN'</t>
  </si>
  <si>
    <t>AS_Prod', 'AS'</t>
  </si>
  <si>
    <t>CR_Prod', 'CR'</t>
  </si>
  <si>
    <t>EG_Prod', 'EG'</t>
  </si>
  <si>
    <t>IM_Prod', 'IM'</t>
  </si>
  <si>
    <t>Flow (GWh)</t>
  </si>
  <si>
    <t>DE', 'BE'</t>
  </si>
  <si>
    <t>HR', 'SI'</t>
  </si>
  <si>
    <t>SK', 'AT'</t>
  </si>
  <si>
    <t>AT', 'IT'</t>
  </si>
  <si>
    <t>BE', 'FR'</t>
  </si>
  <si>
    <t>BG', 'TR'</t>
  </si>
  <si>
    <t>CZ', 'DE'</t>
  </si>
  <si>
    <t>FI', 'EE'</t>
  </si>
  <si>
    <t>AT', 'DE'</t>
  </si>
  <si>
    <t>BE', 'UK'</t>
  </si>
  <si>
    <t>PL', 'DE'</t>
  </si>
  <si>
    <t>NL', 'BE'</t>
  </si>
  <si>
    <t>MA', 'ES'</t>
  </si>
  <si>
    <t>AT', 'SK'</t>
  </si>
  <si>
    <t>DE', 'CH'</t>
  </si>
  <si>
    <t>MD', 'RO'</t>
  </si>
  <si>
    <t>IT', 'CH'</t>
  </si>
  <si>
    <t>EE', 'LV'</t>
  </si>
  <si>
    <t>NL', 'UK'</t>
  </si>
  <si>
    <t>SK', 'CZ'</t>
  </si>
  <si>
    <t>BY', 'PL'</t>
  </si>
  <si>
    <t>RS', 'BG'</t>
  </si>
  <si>
    <t>SK', 'HU'</t>
  </si>
  <si>
    <t>BY', 'LT'</t>
  </si>
  <si>
    <t>FR', 'BE'</t>
  </si>
  <si>
    <t>AT', 'SI'</t>
  </si>
  <si>
    <t>LT', 'RU'</t>
  </si>
  <si>
    <t>RO', 'BG'</t>
  </si>
  <si>
    <t>UA', 'RO'</t>
  </si>
  <si>
    <t>DE', 'NL'</t>
  </si>
  <si>
    <t>SI', 'HR'</t>
  </si>
  <si>
    <t>DK', 'DE'</t>
  </si>
  <si>
    <t>HU', 'RS'</t>
  </si>
  <si>
    <t>PT', 'ES'</t>
  </si>
  <si>
    <t>EL', 'BG'</t>
  </si>
  <si>
    <t>UA', 'HU'</t>
  </si>
  <si>
    <t>HU', 'RO'</t>
  </si>
  <si>
    <t>SK', 'UA'</t>
  </si>
  <si>
    <t>RU', 'DE'</t>
  </si>
  <si>
    <t>RU', 'TR'</t>
  </si>
  <si>
    <t>CH', 'FR'</t>
  </si>
  <si>
    <t>UA', 'PL'</t>
  </si>
  <si>
    <t>LV', 'LT'</t>
  </si>
  <si>
    <t>ES', 'PT'</t>
  </si>
  <si>
    <t>MD', 'UA'</t>
  </si>
  <si>
    <t>HU', 'HR'</t>
  </si>
  <si>
    <t>DZ', 'ES'</t>
  </si>
  <si>
    <t>BY', 'UA'</t>
  </si>
  <si>
    <t>CH', 'IT'</t>
  </si>
  <si>
    <t>FR', 'ES'</t>
  </si>
  <si>
    <t>RU', 'LV'</t>
  </si>
  <si>
    <t>UA', 'SK'</t>
  </si>
  <si>
    <t>SI', 'IT'</t>
  </si>
  <si>
    <t>DE', 'LU'</t>
  </si>
  <si>
    <t>LU', 'BE'</t>
  </si>
  <si>
    <t>AT', 'HU'</t>
  </si>
  <si>
    <t>BG', 'EL'</t>
  </si>
  <si>
    <t>LV', 'RU'</t>
  </si>
  <si>
    <t>DE', 'FR'</t>
  </si>
  <si>
    <t>EG_LNG_imp', 'EG'</t>
  </si>
  <si>
    <t>AF_LNG_imp', 'AF'</t>
  </si>
  <si>
    <t>ME', 'ME_LNG_exp'</t>
  </si>
  <si>
    <t>ME', 'AF'</t>
  </si>
  <si>
    <t>CM', 'USA'</t>
  </si>
  <si>
    <t>ME', 'CR'</t>
  </si>
  <si>
    <t>ME', 'QA'</t>
  </si>
  <si>
    <t>RU', 'CR'</t>
  </si>
  <si>
    <t>AS', 'CN'</t>
  </si>
  <si>
    <t>ME_LNG_exp', 'EG_LNG_imp'</t>
  </si>
  <si>
    <t>USA_LNG_exp', 'FR_LNG_imp'</t>
  </si>
  <si>
    <t>EG_LNG_exp', 'PL_LNG_imp'</t>
  </si>
  <si>
    <t>USA_LNG_exp', 'AF_LNG_imp'</t>
  </si>
  <si>
    <t>AU_LNG_exp', 'FR_LNG_imp'</t>
  </si>
  <si>
    <t>QA_LNG_exp', 'AF_LNG_imp'</t>
  </si>
  <si>
    <t>ME_LNG_exp', 'HR_LNG_imp'</t>
  </si>
  <si>
    <t>AU_LNG_exp', 'AF_LNG_imp'</t>
  </si>
  <si>
    <t>IM_LNG_exp', 'EG_LNG_imp'</t>
  </si>
  <si>
    <t>AF_LNG_exp', 'SA_LNG_imp'</t>
  </si>
  <si>
    <t>RU_LNG_exp', 'AS_LNG_imp'</t>
  </si>
  <si>
    <t>AF_LNG_exp', 'BE_LNG_imp'</t>
  </si>
  <si>
    <t>QA_LNG_exp', 'NL_LNG_imp'</t>
  </si>
  <si>
    <t>TT_LNG_exp', 'IN_LNG_imp'</t>
  </si>
  <si>
    <t>TT_LNG_exp', 'TR_LNG_imp'</t>
  </si>
  <si>
    <t>AF_LNG_exp', 'JS_LNG_imp'</t>
  </si>
  <si>
    <t>EG_LNG_exp', 'BE_LNG_imp'</t>
  </si>
  <si>
    <t>ME_LNG_exp', 'AS_LNG_imp'</t>
  </si>
  <si>
    <t>TT_LNG_exp', 'NL_LNG_imp'</t>
  </si>
  <si>
    <t>RU_LNG_exp', 'SA_LNG_imp'</t>
  </si>
  <si>
    <t>RU_LNG_exp', 'BE_LNG_imp'</t>
  </si>
  <si>
    <t>AF_LNG_exp', 'IT_LNG_imp'</t>
  </si>
  <si>
    <t>AF_LNG_exp', 'CN_LNG_imp'</t>
  </si>
  <si>
    <t>ME_LNG_exp', 'SA_LNG_imp'</t>
  </si>
  <si>
    <t>EG_LNG_exp', 'HR_LNG_imp'</t>
  </si>
  <si>
    <t>EG_LNG_exp', 'IT_LNG_imp'</t>
  </si>
  <si>
    <t>EG_LNG_exp', 'CN_LNG_imp'</t>
  </si>
  <si>
    <t>ME_LNG_exp', 'BE_LNG_imp'</t>
  </si>
  <si>
    <t>ME_LNG_exp', 'JS_LNG_imp'</t>
  </si>
  <si>
    <t>IM_LNG_exp', 'SA_LNG_imp'</t>
  </si>
  <si>
    <t>QA_LNG_exp', 'LT_LNG_imp'</t>
  </si>
  <si>
    <t>TT_LNG_exp', 'ES_LNG_imp'</t>
  </si>
  <si>
    <t>IM_LNG_exp', 'BE_LNG_imp'</t>
  </si>
  <si>
    <t>IM_LNG_exp', 'JS_LNG_imp'</t>
  </si>
  <si>
    <t>RU_LNG_exp', 'HR_LNG_imp'</t>
  </si>
  <si>
    <t>AU_LNG_exp', 'EL_LNG_imp'</t>
  </si>
  <si>
    <t>RU_LNG_exp', 'IT_LNG_imp'</t>
  </si>
  <si>
    <t>RU_LNG_exp', 'CN_LNG_imp'</t>
  </si>
  <si>
    <t>EG_LNG_exp', 'AS_LNG_imp'</t>
  </si>
  <si>
    <t>AF_LNG_exp', 'IN_LNG_imp'</t>
  </si>
  <si>
    <t>AF_LNG_exp', 'TR_LNG_imp'</t>
  </si>
  <si>
    <t>RU_LNG_exp', 'PT_LNG_imp'</t>
  </si>
  <si>
    <t>AF_LNG_exp', 'FR_LNG_imp'</t>
  </si>
  <si>
    <t>QA_LNG_exp', 'UK_LNG_imp'</t>
  </si>
  <si>
    <t>TT_LNG_exp', 'LT_LNG_imp'</t>
  </si>
  <si>
    <t>AU_LNG_exp', 'UK_LNG_imp'</t>
  </si>
  <si>
    <t>ME_LNG_exp', 'IT_LNG_imp'</t>
  </si>
  <si>
    <t>ME_LNG_exp', 'CN_LNG_imp'</t>
  </si>
  <si>
    <t>EG_LNG_exp', 'TR_LNG_imp'</t>
  </si>
  <si>
    <t>ME_LNG_exp', 'PT_LNG_imp'</t>
  </si>
  <si>
    <t>TT_LNG_exp', 'EL_LNG_imp'</t>
  </si>
  <si>
    <t>IM_LNG_exp', 'HR_LNG_imp'</t>
  </si>
  <si>
    <t>USA_LNG_exp', 'EG_LNG_imp'</t>
  </si>
  <si>
    <t>IM_LNG_exp', 'IT_LNG_imp'</t>
  </si>
  <si>
    <t>EG_LNG_exp', 'SA_LNG_imp'</t>
  </si>
  <si>
    <t>IM_LNG_exp', 'CN_LNG_imp'</t>
  </si>
  <si>
    <t>AF_LNG_exp', 'NL_LNG_imp'</t>
  </si>
  <si>
    <t>TT_LNG_exp', 'FR_LNG_imp'</t>
  </si>
  <si>
    <t>TT_LNG_exp', 'AF_LNG_imp'</t>
  </si>
  <si>
    <t>RU_LNG_exp', 'IN_LNG_imp'</t>
  </si>
  <si>
    <t>EG_LNG_exp', 'JS_LNG_imp'</t>
  </si>
  <si>
    <t>TT_LNG_exp', 'UK_LNG_imp'</t>
  </si>
  <si>
    <t>EG_LNG_exp', 'NL_LNG_imp'</t>
  </si>
  <si>
    <t>RU_LNG_exp', 'TR_LNG_imp'</t>
  </si>
  <si>
    <t>ME_LNG_exp', 'IN_LNG_imp'</t>
  </si>
  <si>
    <t>ME_LNG_exp', 'TR_LNG_imp'</t>
  </si>
  <si>
    <t>ME_LNG_exp', 'FR_LNG_imp'</t>
  </si>
  <si>
    <t>ME_LNG_exp', 'AF_LNG_imp'</t>
  </si>
  <si>
    <t>RU_LNG_exp', 'NL_LNG_imp'</t>
  </si>
  <si>
    <t>USA_LNG_exp', 'AS_LNG_imp'</t>
  </si>
  <si>
    <t>IM_LNG_exp', 'TR_LNG_imp'</t>
  </si>
  <si>
    <t>QA_LNG_exp', 'PL_LNG_imp'</t>
  </si>
  <si>
    <t>AU_LNG_exp', 'PL_LNG_imp'</t>
  </si>
  <si>
    <t>EG_LNG_exp', 'ES_LNG_imp'</t>
  </si>
  <si>
    <t>ME_LNG_exp', 'NL_LNG_imp'</t>
  </si>
  <si>
    <t>EG_LNG_exp', 'PT_LNG_imp'</t>
  </si>
  <si>
    <t>AF_LNG_exp', 'LT_LNG_imp'</t>
  </si>
  <si>
    <t>IM_LNG_exp', 'NL_LNG_imp'</t>
  </si>
  <si>
    <t>USA_LNG_exp', 'SA_LNG_imp'</t>
  </si>
  <si>
    <t>TT_LNG_exp', 'PL_LNG_imp'</t>
  </si>
  <si>
    <t>AF_LNG_exp', 'EL_LNG_imp'</t>
  </si>
  <si>
    <t>EG_LNG_exp', 'LT_LNG_imp'</t>
  </si>
  <si>
    <t>RU_LNG_exp', 'ES_LNG_imp'</t>
  </si>
  <si>
    <t>AU_LNG_exp', 'BE_LNG_imp'</t>
  </si>
  <si>
    <t>USA_LNG_exp', 'JS_LNG_imp'</t>
  </si>
  <si>
    <t>EG_LNG_exp', 'IN_LNG_imp'</t>
  </si>
  <si>
    <t>ME_LNG_exp', 'ES_LNG_imp'</t>
  </si>
  <si>
    <t>AF_LNG_exp', 'UK_LNG_imp'</t>
  </si>
  <si>
    <t>EG_LNG_exp', 'AF_LNG_imp'</t>
  </si>
  <si>
    <t>RU_LNG_exp', 'LT_LNG_imp'</t>
  </si>
  <si>
    <t>QA_LNG_exp', 'EG_LNG_imp'</t>
  </si>
  <si>
    <t>IM_LNG_exp', 'ES_LNG_imp'</t>
  </si>
  <si>
    <t>AU_LNG_exp', 'EG_LNG_imp'</t>
  </si>
  <si>
    <t>IM_LNG_exp', 'PT_LNG_imp'</t>
  </si>
  <si>
    <t>RU_LNG_exp', 'EL_LNG_imp'</t>
  </si>
  <si>
    <t>USA_LNG_exp', 'HR_LNG_imp'</t>
  </si>
  <si>
    <t>AU_LNG_exp', 'HR_LNG_imp'</t>
  </si>
  <si>
    <t>USA_LNG_exp', 'IT_LNG_imp'</t>
  </si>
  <si>
    <t>USA_LNG_exp', 'CN_LNG_imp'</t>
  </si>
  <si>
    <t>ME_LNG_exp', 'LT_LNG_imp'</t>
  </si>
  <si>
    <t>RU_LNG_exp', 'FR_LNG_imp'</t>
  </si>
  <si>
    <t>AU_LNG_exp', 'IT_LNG_imp'</t>
  </si>
  <si>
    <t>RU_LNG_exp', 'AF_LNG_imp'</t>
  </si>
  <si>
    <t>ME_LNG_exp', 'EL_LNG_imp'</t>
  </si>
  <si>
    <t>RU_LNG_exp', 'UK_LNG_imp'</t>
  </si>
  <si>
    <t>TT_LNG_exp', 'EG_LNG_imp'</t>
  </si>
  <si>
    <t>IM_LNG_exp', 'LT_LNG_imp'</t>
  </si>
  <si>
    <t>IM_LNG_exp', 'EL_LNG_imp'</t>
  </si>
  <si>
    <t>ME_LNG_exp', 'UK_LNG_imp'</t>
  </si>
  <si>
    <t>QA_LNG_exp', 'AS_LNG_imp'</t>
  </si>
  <si>
    <t>AU_LNG_exp', 'AS_LNG_imp'</t>
  </si>
  <si>
    <t>IM_LNG_exp', 'FR_LNG_imp'</t>
  </si>
  <si>
    <t>IM_LNG_exp', 'AF_LNG_imp'</t>
  </si>
  <si>
    <t>AF_LNG_exp', 'PL_LNG_imp'</t>
  </si>
  <si>
    <t>IM_LNG_exp', 'UK_LNG_imp'</t>
  </si>
  <si>
    <t>USA_LNG_exp', 'IN_LNG_imp'</t>
  </si>
  <si>
    <t>USA_LNG_exp', 'TR_LNG_imp'</t>
  </si>
  <si>
    <t>AU_LNG_exp', 'TR_LNG_imp'</t>
  </si>
  <si>
    <t>TT_LNG_exp', 'AS_LNG_imp'</t>
  </si>
  <si>
    <t>QA_LNG_exp', 'SA_LNG_imp'</t>
  </si>
  <si>
    <t>AU_LNG_exp', 'SA_LNG_imp'</t>
  </si>
  <si>
    <t>QA_LNG_exp', 'BE_LNG_imp'</t>
  </si>
  <si>
    <t>QA_LNG_exp', 'JS_LNG_imp'</t>
  </si>
  <si>
    <t>AU_LNG_exp', 'NL_LNG_imp'</t>
  </si>
  <si>
    <t>EG_LNG_exp', 'EL_LNG_imp'</t>
  </si>
  <si>
    <t>RU_LNG_exp', 'PL_LNG_imp'</t>
  </si>
  <si>
    <t>EG_LNG_exp', 'UK_LNG_imp'</t>
  </si>
  <si>
    <t>ME_LNG_exp', 'PL_LNG_imp'</t>
  </si>
  <si>
    <t>AF_LNG_exp', 'EG_LNG_imp'</t>
  </si>
  <si>
    <t>TT_LNG_exp', 'JS_LNG_imp'</t>
  </si>
  <si>
    <t>IM_LNG_exp', 'PL_LNG_imp'</t>
  </si>
  <si>
    <t>AF_LNG_exp', 'HR_LNG_imp'</t>
  </si>
  <si>
    <t>USA_LNG_exp', 'ES_LNG_imp'</t>
  </si>
  <si>
    <t>QA_LNG_exp', 'CN_LNG_imp'</t>
  </si>
  <si>
    <t>AU_LNG_exp', 'ES_LNG_imp'</t>
  </si>
  <si>
    <t>USA_LNG_exp', 'PT_LNG_imp'</t>
  </si>
  <si>
    <t>QA_LNG_exp', 'PT_LNG_imp'</t>
  </si>
  <si>
    <t>AU_LNG_exp', 'PT_LNG_imp'</t>
  </si>
  <si>
    <t>TT_LNG_exp', 'HR_LNG_imp'</t>
  </si>
  <si>
    <t>RU_LNG_exp', 'EG_LNG_imp'</t>
  </si>
  <si>
    <t>TT_LNG_exp', 'IT_LNG_imp'</t>
  </si>
  <si>
    <t>TT_LNG_exp', 'CN_LNG_imp'</t>
  </si>
  <si>
    <t>AU_LNG_exp', 'LT_LNG_imp'</t>
  </si>
  <si>
    <t>AF_LNG_exp', 'AS_LNG_imp'</t>
  </si>
  <si>
    <t>USA_LNG_exp', 'EL_LNG_imp'</t>
  </si>
  <si>
    <t>BY_Prod', 'BY'</t>
  </si>
  <si>
    <t>EE_Prod', 'EE'</t>
  </si>
  <si>
    <t>FI_Prod', 'FI'</t>
  </si>
  <si>
    <t>LV_Prod', 'LV'</t>
  </si>
  <si>
    <t>LT_Prod', 'LT'</t>
  </si>
  <si>
    <t>LU_Prod', 'LU'</t>
  </si>
  <si>
    <t>MD_Prod', 'MD'</t>
  </si>
  <si>
    <t>MK_Prod', 'MK'</t>
  </si>
  <si>
    <t>PT_Prod', 'PT'</t>
  </si>
  <si>
    <t>CH_Prod', 'CH'</t>
  </si>
  <si>
    <t>JS_Prod', 'JS'</t>
  </si>
  <si>
    <t>Region</t>
  </si>
  <si>
    <t>AF</t>
  </si>
  <si>
    <t>EG</t>
  </si>
  <si>
    <t>QA</t>
  </si>
  <si>
    <t>TT</t>
  </si>
  <si>
    <t>USA</t>
  </si>
  <si>
    <t>QA_LNG_exp', 'LV_LNG_imp'</t>
  </si>
  <si>
    <t>QA_LNG_exp', 'FI_LNG_imp'</t>
  </si>
  <si>
    <t>NO', 'DK'</t>
  </si>
  <si>
    <t>LT', 'PL'</t>
  </si>
  <si>
    <t>IE_LNG_imp', 'IE'</t>
  </si>
  <si>
    <t>DE_LNG_imp', 'DE'</t>
  </si>
  <si>
    <t>DK', 'PL'</t>
  </si>
  <si>
    <t>Flow (GWh</t>
  </si>
  <si>
    <t>PL', 'SK'</t>
  </si>
  <si>
    <t>LV_LNG_imp', 'LV'</t>
  </si>
  <si>
    <t>FI_LNG_imp', 'FI'</t>
  </si>
  <si>
    <t>EE_LNG_imp', 'EE'</t>
  </si>
  <si>
    <t>USA_LNG_exp', 'DE_LNG_imp'</t>
  </si>
  <si>
    <t>USA_LNG_exp', 'IE_LNG_imp'</t>
  </si>
  <si>
    <t>USA_LNG_exp', 'FI_LNG_imp'</t>
  </si>
  <si>
    <t>USA_LNG_exp', 'LV_LNG_imp'</t>
  </si>
  <si>
    <t>USA_LNG_exp', 'EE_LNG_imp'</t>
  </si>
  <si>
    <t>FR', 'DE'</t>
  </si>
  <si>
    <t>SK', 'PL'</t>
  </si>
  <si>
    <t>PL', 'DK'</t>
  </si>
  <si>
    <t>IM_LNG_exp', 'IE_LNG_imp'</t>
  </si>
  <si>
    <t>AU_LNG_exp', 'IE_LNG_imp'</t>
  </si>
  <si>
    <t>EG_LNG_exp', 'EE_LNG_imp'</t>
  </si>
  <si>
    <t>ME_LNG_exp', 'LV_LNG_imp'</t>
  </si>
  <si>
    <t>ME_LNG_exp', 'FI_LNG_imp'</t>
  </si>
  <si>
    <t>RU_LNG_exp', 'EE_LNG_imp'</t>
  </si>
  <si>
    <t>TT_LNG_exp', 'FI_LNG_imp'</t>
  </si>
  <si>
    <t>ME_LNG_exp', 'DE_LNG_imp'</t>
  </si>
  <si>
    <t>AU_LNG_exp', 'EE_LNG_imp'</t>
  </si>
  <si>
    <t>TT_LNG_exp', 'DE_LNG_imp'</t>
  </si>
  <si>
    <t>AF_LNG_exp', 'IE_LNG_imp'</t>
  </si>
  <si>
    <t>RU_LNG_exp', 'LV_LNG_imp'</t>
  </si>
  <si>
    <t>RU_LNG_exp', 'FI_LNG_imp'</t>
  </si>
  <si>
    <t>QA_LNG_exp', 'DE_LNG_imp'</t>
  </si>
  <si>
    <t>AF_LNG_exp', 'EE_LNG_imp'</t>
  </si>
  <si>
    <t>TT_LNG_exp', 'IE_LNG_imp'</t>
  </si>
  <si>
    <t>IM_LNG_exp', 'EE_LNG_imp'</t>
  </si>
  <si>
    <t>EG_LNG_exp', 'LV_LNG_imp'</t>
  </si>
  <si>
    <t>EG_LNG_exp', 'FI_LNG_imp'</t>
  </si>
  <si>
    <t>EG_LNG_exp', 'DE_LNG_imp'</t>
  </si>
  <si>
    <t>IM_LNG_exp', 'FI_LNG_imp'</t>
  </si>
  <si>
    <t>IM_LNG_exp', 'LV_LNG_imp'</t>
  </si>
  <si>
    <t>QA_LNG_exp', 'IE_LNG_imp'</t>
  </si>
  <si>
    <t>AU_LNG_exp', 'LV_LNG_imp'</t>
  </si>
  <si>
    <t>AU_LNG_exp', 'FI_LNG_imp'</t>
  </si>
  <si>
    <t>RU_LNG_exp', 'DE_LNG_imp'</t>
  </si>
  <si>
    <t>AU_LNG_exp', 'DE_LNG_imp'</t>
  </si>
  <si>
    <t>QA_LNG_exp', 'EE_LNG_imp'</t>
  </si>
  <si>
    <t>AF_LNG_exp', 'LV_LNG_imp'</t>
  </si>
  <si>
    <t>AF_LNG_exp', 'FI_LNG_imp'</t>
  </si>
  <si>
    <t>ME_LNG_exp', 'IE_LNG_imp'</t>
  </si>
  <si>
    <t>AF_LNG_exp', 'DE_LNG_imp'</t>
  </si>
  <si>
    <t>RU_LNG_exp', 'IE_LNG_imp'</t>
  </si>
  <si>
    <t>ME_LNG_exp', 'EE_LNG_imp'</t>
  </si>
  <si>
    <t>TT_LNG_exp', 'EE_LNG_imp'</t>
  </si>
  <si>
    <t>IM_LNG_exp', 'DE_LNG_imp'</t>
  </si>
  <si>
    <t>TT_LNG_exp', 'LV_LNG_imp'</t>
  </si>
  <si>
    <t>EG_LNG_exp', 'IE_LNG_imp'</t>
  </si>
  <si>
    <t>NO_LNG_exp', 'IT_LNG_imp'</t>
  </si>
  <si>
    <t>NO_LNG_exp', 'PT_LNG_imp'</t>
  </si>
  <si>
    <t>NO_LNG_exp', 'ES_LNG_imp'</t>
  </si>
  <si>
    <t>NO_LNG_exp', 'FR_LNG_imp'</t>
  </si>
  <si>
    <t>NO_LNG_exp', 'EL_LNG_imp'</t>
  </si>
  <si>
    <t>NO_LNG_exp', 'LV_LNG_imp'</t>
  </si>
  <si>
    <t>NO_LNG_exp', 'TR_LNG_imp'</t>
  </si>
  <si>
    <t>NO_LNG_exp', 'HR_LNG_imp'</t>
  </si>
  <si>
    <t>NO_LNG_exp', 'EE_LNG_imp'</t>
  </si>
  <si>
    <t>NO_LNG_exp', 'DE_LNG_imp'</t>
  </si>
  <si>
    <t>NO_LNG_exp', 'FI_LNG_imp'</t>
  </si>
  <si>
    <t>NO_LNG_exp', 'IE_LNG_imp'</t>
  </si>
  <si>
    <t>NO_LNG_exp', 'PL_LNG_imp'</t>
  </si>
  <si>
    <t>NO_LNG_exp', 'UK_LNG_imp'</t>
  </si>
  <si>
    <t>NO_LNG_exp', 'LT_LNG_imp'</t>
  </si>
  <si>
    <t>NO_LNG_exp', 'BE_LNG_imp'</t>
  </si>
  <si>
    <t>NO_LNG_exp', 'NL_LNG_imp'</t>
  </si>
  <si>
    <t>NO', 'NO_LNG_exp'</t>
  </si>
  <si>
    <t>NO_LNG_exp', 'CN_LNG_imp'</t>
  </si>
  <si>
    <t>NO_LNG_exp', 'SA_LNG_imp'</t>
  </si>
  <si>
    <t>NO_LNG_exp', 'IN_LNG_imp'</t>
  </si>
  <si>
    <t>NO_LNG_exp', 'JS_LNG_imp'</t>
  </si>
  <si>
    <t>NO_LNG_exp', 'AF_LNG_imp'</t>
  </si>
  <si>
    <t>NO_LNG_exp', 'AS_LNG_imp'</t>
  </si>
  <si>
    <t>NO_LNG_exp', 'EG_LNG_imp'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</si>
</sst>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0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0" fillId="0" borderId="0" xfId="0" quotePrefix="1"/>
    <xf numFmtId="0" fontId="3" fillId="0" borderId="1" xfId="0" applyFont="1" applyBorder="1" applyAlignment="1">
      <alignment horizontal="center" vertical="top"/>
    </xf>
    <xf numFmtId="4" fontId="0" fillId="0" borderId="0" xfId="0" applyNumberFormat="1"/>
    <xf numFmtId="0" fontId="2" fillId="2" borderId="3" xfId="0" applyFont="1" applyFill="1" applyBorder="1"/>
  </cellXfs>
  <cellStyles count="1"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06-42F0-A2C1-63A0D1BFBE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06-42F0-A2C1-63A0D1BFBE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06-42F0-A2C1-63A0D1BFBE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E06-42F0-A2C1-63A0D1BFBE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E06-42F0-A2C1-63A0D1BFBEC0}"/>
              </c:ext>
            </c:extLst>
          </c:dPt>
          <c:cat>
            <c:strRef>
              <c:f>LNG_Sources!$D$2:$D$6</c:f>
              <c:strCache>
                <c:ptCount val="5"/>
                <c:pt idx="0">
                  <c:v>AF</c:v>
                </c:pt>
                <c:pt idx="1">
                  <c:v>EG</c:v>
                </c:pt>
                <c:pt idx="2">
                  <c:v>QA</c:v>
                </c:pt>
                <c:pt idx="3">
                  <c:v>TT</c:v>
                </c:pt>
                <c:pt idx="4">
                  <c:v>USA</c:v>
                </c:pt>
              </c:strCache>
            </c:strRef>
          </c:cat>
          <c:val>
            <c:numRef>
              <c:f>LNG_Sources!$E$2:$E$6</c:f>
              <c:numCache>
                <c:formatCode>#,##0.00</c:formatCode>
                <c:ptCount val="5"/>
                <c:pt idx="0">
                  <c:v>292335.82209085289</c:v>
                </c:pt>
                <c:pt idx="1">
                  <c:v>0</c:v>
                </c:pt>
                <c:pt idx="2">
                  <c:v>0</c:v>
                </c:pt>
                <c:pt idx="3">
                  <c:v>3106.5989325080009</c:v>
                </c:pt>
                <c:pt idx="4">
                  <c:v>1338185.0543291934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EB-4EA3-8862-FA16E9831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20</xdr:row>
      <xdr:rowOff>33337</xdr:rowOff>
    </xdr:from>
    <xdr:to>
      <xdr:col>20</xdr:col>
      <xdr:colOff>371475</xdr:colOff>
      <xdr:row>35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85FF77-4419-FF17-FAF8-9D0E015EE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C1A0C6-C4C4-4C45-B104-B3FE75F0BAEF}" name="Table1" displayName="Table1" ref="A1:E454" totalsRowShown="0" headerRowDxfId="10">
  <autoFilter ref="A1:E454" xr:uid="{F8C1A0C6-C4C4-4C45-B104-B3FE75F0BAEF}"/>
  <sortState xmlns:xlrd2="http://schemas.microsoft.com/office/spreadsheetml/2017/richdata2" ref="A2:E429">
    <sortCondition ref="A1:A429"/>
  </sortState>
  <tableColumns count="5">
    <tableColumn id="1" xr3:uid="{EDC06B4A-496B-4E5E-ADDB-C8366DA2F7CA}" name="Column1" dataDxfId="9"/>
    <tableColumn id="2" xr3:uid="{CCDC4B9D-ABBF-404F-B073-562B735615DA}" name="Commodity"/>
    <tableColumn id="3" xr3:uid="{AA66E3A0-18A3-4298-A944-9648AEFDC782}" name="Edge"/>
    <tableColumn id="4" xr3:uid="{2B54A453-DE4A-459E-9A0B-D43757EE9861}" name="Flow (GWh"/>
    <tableColumn id="5" xr3:uid="{119519B3-6352-4397-AAC6-AEDCCEBC723C}" name="Shar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39A84A-377F-4921-AB1E-F9821BDD1C2B}" name="Table5" displayName="Table5" ref="A1:C20" totalsRowShown="0">
  <autoFilter ref="A1:C20" xr:uid="{6D39A84A-377F-4921-AB1E-F9821BDD1C2B}"/>
  <sortState xmlns:xlrd2="http://schemas.microsoft.com/office/spreadsheetml/2017/richdata2" ref="A2:C20">
    <sortCondition descending="1" ref="C1:C20"/>
  </sortState>
  <tableColumns count="3">
    <tableColumn id="1" xr3:uid="{0E30B145-4D3F-4FAD-BD41-21ABAB04B6EC}" name="Edge"/>
    <tableColumn id="2" xr3:uid="{757D861D-FB27-46FF-B0C9-F12A4872D22A}" name="Flow (GWh)" dataDxfId="1">
      <calculatedColumnFormula>VLOOKUP($A2,Raw!$C$3:$E$454,2,FALSE)</calculatedColumnFormula>
    </tableColumn>
    <tableColumn id="3" xr3:uid="{B42BA0CA-AAF3-4240-B01E-874DB68E1F64}" name="Share" dataDxfId="0">
      <calculatedColumnFormula>VLOOKUP($A2,Raw!$C$3:$E$454,3,FALSE)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17075B-B51B-429B-8BA8-43E190BF8519}" name="Table2" displayName="Table2" ref="A1:C17" totalsRowShown="0">
  <autoFilter ref="A1:C17" xr:uid="{3417075B-B51B-429B-8BA8-43E190BF8519}"/>
  <tableColumns count="3">
    <tableColumn id="1" xr3:uid="{A239A1DC-0210-4956-ABE7-EF6CDA5A30E2}" name="Edge"/>
    <tableColumn id="2" xr3:uid="{322E7DE0-B95E-46AC-9403-C71D0E63B73A}" name="Flow (GWh)" dataDxfId="2">
      <calculatedColumnFormula>VLOOKUP(LNG_Import_use!$A2,Raw!$C$3:$E$454,2,FALSE)</calculatedColumnFormula>
    </tableColumn>
    <tableColumn id="3" xr3:uid="{E19B88D8-3893-4610-AB1D-CF00C32B1D5C}" name="Share" dataDxfId="8">
      <calculatedColumnFormula>VLOOKUP(LNG_Import_use!$A2,Raw!$C$3:$E$429,3,FALSE)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372A6F-EB83-42B1-A6B1-D9A865C31E2A}" name="Table6" displayName="Table6" ref="A1:B103" totalsRowShown="0">
  <autoFilter ref="A1:B103" xr:uid="{A8372A6F-EB83-42B1-A6B1-D9A865C31E2A}"/>
  <tableColumns count="2">
    <tableColumn id="1" xr3:uid="{D3B0A0F4-AE4B-4C05-803A-8265FB2E0BEC}" name="Edge"/>
    <tableColumn id="2" xr3:uid="{3D272239-DFA1-4C23-990B-17340DB0F202}" name="Flow (GWh)" dataDxfId="7">
      <calculatedColumnFormula>SUMIFS(Raw!$D$2:$D$454,Raw!$C$2:$C$454,"*"&amp;LNG_Sources!$A2&amp;"*")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22FFF2-C470-41D5-B466-2B2A16A0702F}" name="Table7" displayName="Table7" ref="D1:E6" totalsRowShown="0" headerRowDxfId="6" headerRowBorderDxfId="5">
  <autoFilter ref="D1:E6" xr:uid="{1122FFF2-C470-41D5-B466-2B2A16A0702F}"/>
  <tableColumns count="2">
    <tableColumn id="1" xr3:uid="{4B792274-18C2-4C26-B54A-695915F3118E}" name="Region"/>
    <tableColumn id="2" xr3:uid="{46C98E86-4B19-4A99-BF1A-17F24AC916F1}" name="Flow (GWh)" dataDxfId="4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21B5DA-0937-487A-A3DF-77ACBB8999F9}" name="Table3" displayName="Table3" ref="A1:B38" totalsRowShown="0">
  <autoFilter ref="A1:B38" xr:uid="{8121B5DA-0937-487A-A3DF-77ACBB8999F9}"/>
  <tableColumns count="2">
    <tableColumn id="1" xr3:uid="{03B06CF4-5F36-4B7E-8CC9-8D06BB4532D5}" name="Edge"/>
    <tableColumn id="2" xr3:uid="{1AD1E774-B856-4665-89D5-9C7DC08BC3A8}" name="Flow (GWh)" dataDxfId="3">
      <calculatedColumnFormula>VLOOKUP($A2,Raw!$C$3:$E$429,2,FALSE)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54"/>
  <sheetViews>
    <sheetView topLeftCell="A262" workbookViewId="0">
      <selection activeCell="N459" sqref="N459"/>
    </sheetView>
  </sheetViews>
  <sheetFormatPr defaultRowHeight="14.5" x14ac:dyDescent="0.35"/>
  <cols>
    <col min="1" max="1" width="10.26953125" customWidth="1"/>
    <col min="2" max="2" width="12.54296875" customWidth="1"/>
    <col min="3" max="3" width="26.08984375" customWidth="1"/>
    <col min="4" max="4" width="13.36328125" customWidth="1"/>
  </cols>
  <sheetData>
    <row r="1" spans="1:9" x14ac:dyDescent="0.35">
      <c r="A1" t="s">
        <v>4</v>
      </c>
      <c r="B1" s="1" t="s">
        <v>0</v>
      </c>
      <c r="C1" s="1" t="s">
        <v>1</v>
      </c>
      <c r="D1" s="4" t="s">
        <v>390</v>
      </c>
      <c r="E1" s="1" t="s">
        <v>2</v>
      </c>
    </row>
    <row r="2" spans="1:9" x14ac:dyDescent="0.35">
      <c r="A2" s="1">
        <v>0</v>
      </c>
      <c r="B2" t="s">
        <v>3</v>
      </c>
      <c r="C2" s="3" t="s">
        <v>206</v>
      </c>
      <c r="D2">
        <v>0</v>
      </c>
      <c r="E2">
        <v>0</v>
      </c>
      <c r="H2" s="3"/>
      <c r="I2" s="3"/>
    </row>
    <row r="3" spans="1:9" x14ac:dyDescent="0.35">
      <c r="A3" s="1">
        <v>1</v>
      </c>
      <c r="B3" t="s">
        <v>3</v>
      </c>
      <c r="C3" s="3" t="s">
        <v>176</v>
      </c>
      <c r="D3" s="5">
        <v>0</v>
      </c>
      <c r="E3">
        <v>0</v>
      </c>
      <c r="H3" s="3"/>
      <c r="I3" s="3"/>
    </row>
    <row r="4" spans="1:9" x14ac:dyDescent="0.35">
      <c r="A4" s="1">
        <v>2</v>
      </c>
      <c r="B4" t="s">
        <v>3</v>
      </c>
      <c r="C4" s="3" t="s">
        <v>44</v>
      </c>
      <c r="D4" s="5">
        <v>60648.99492757181</v>
      </c>
      <c r="E4">
        <v>0.33656396584677523</v>
      </c>
      <c r="H4" s="3"/>
      <c r="I4" s="3"/>
    </row>
    <row r="5" spans="1:9" x14ac:dyDescent="0.35">
      <c r="A5" s="1">
        <v>3</v>
      </c>
      <c r="B5" t="s">
        <v>3</v>
      </c>
      <c r="C5" s="3" t="s">
        <v>202</v>
      </c>
      <c r="D5" s="5">
        <v>0</v>
      </c>
      <c r="E5">
        <v>0</v>
      </c>
      <c r="H5" s="3"/>
      <c r="I5" s="3"/>
    </row>
    <row r="6" spans="1:9" x14ac:dyDescent="0.35">
      <c r="A6" s="1">
        <v>4</v>
      </c>
      <c r="B6" t="s">
        <v>3</v>
      </c>
      <c r="C6" s="3" t="s">
        <v>389</v>
      </c>
      <c r="D6" s="5">
        <v>112059.5436666465</v>
      </c>
      <c r="E6">
        <v>0.95464069776670146</v>
      </c>
      <c r="H6" s="3"/>
      <c r="I6" s="3"/>
    </row>
    <row r="7" spans="1:9" x14ac:dyDescent="0.35">
      <c r="A7" s="1">
        <v>5</v>
      </c>
      <c r="B7" t="s">
        <v>3</v>
      </c>
      <c r="C7" s="3" t="s">
        <v>186</v>
      </c>
      <c r="D7">
        <v>0</v>
      </c>
      <c r="E7">
        <v>0</v>
      </c>
      <c r="H7" s="3"/>
      <c r="I7" s="3"/>
    </row>
    <row r="8" spans="1:9" x14ac:dyDescent="0.35">
      <c r="A8" s="1">
        <v>6</v>
      </c>
      <c r="B8" t="s">
        <v>3</v>
      </c>
      <c r="C8" s="3" t="s">
        <v>191</v>
      </c>
      <c r="D8">
        <v>0</v>
      </c>
      <c r="E8">
        <v>0</v>
      </c>
      <c r="H8" s="3"/>
      <c r="I8" s="3"/>
    </row>
    <row r="9" spans="1:9" x14ac:dyDescent="0.35">
      <c r="A9" s="1">
        <v>7</v>
      </c>
      <c r="B9" t="s">
        <v>3</v>
      </c>
      <c r="C9" s="3" t="s">
        <v>19</v>
      </c>
      <c r="D9" s="5">
        <v>3447.5654573478319</v>
      </c>
      <c r="E9">
        <v>0.28381564947871368</v>
      </c>
      <c r="H9" s="3"/>
      <c r="I9" s="3"/>
    </row>
    <row r="10" spans="1:9" x14ac:dyDescent="0.35">
      <c r="A10" s="1">
        <v>8</v>
      </c>
      <c r="B10" t="s">
        <v>3</v>
      </c>
      <c r="C10" s="3" t="s">
        <v>161</v>
      </c>
      <c r="D10" s="5">
        <v>0</v>
      </c>
      <c r="E10">
        <v>0</v>
      </c>
      <c r="H10" s="3"/>
      <c r="I10" s="3"/>
    </row>
    <row r="11" spans="1:9" x14ac:dyDescent="0.35">
      <c r="A11" s="1">
        <v>9</v>
      </c>
      <c r="B11" t="s">
        <v>3</v>
      </c>
      <c r="C11" s="3" t="s">
        <v>22</v>
      </c>
      <c r="D11">
        <v>3613.770355847626</v>
      </c>
      <c r="E11">
        <v>0.14624432350003541</v>
      </c>
      <c r="H11" s="3"/>
      <c r="I11" s="3"/>
    </row>
    <row r="12" spans="1:9" x14ac:dyDescent="0.35">
      <c r="A12" s="1">
        <v>10</v>
      </c>
      <c r="B12" t="s">
        <v>3</v>
      </c>
      <c r="C12" s="3" t="s">
        <v>42</v>
      </c>
      <c r="D12">
        <v>0</v>
      </c>
      <c r="E12">
        <v>0</v>
      </c>
      <c r="H12" s="3"/>
      <c r="I12" s="3"/>
    </row>
    <row r="13" spans="1:9" x14ac:dyDescent="0.35">
      <c r="A13" s="1">
        <v>11</v>
      </c>
      <c r="B13" t="s">
        <v>3</v>
      </c>
      <c r="C13" s="3" t="s">
        <v>35</v>
      </c>
      <c r="D13">
        <v>0</v>
      </c>
      <c r="E13">
        <v>0</v>
      </c>
      <c r="H13" s="3"/>
      <c r="I13" s="3"/>
    </row>
    <row r="14" spans="1:9" x14ac:dyDescent="0.35">
      <c r="A14" s="1">
        <v>12</v>
      </c>
      <c r="B14" t="s">
        <v>3</v>
      </c>
      <c r="C14" s="3" t="s">
        <v>205</v>
      </c>
      <c r="D14">
        <v>0</v>
      </c>
      <c r="E14">
        <v>0</v>
      </c>
      <c r="H14" s="3"/>
      <c r="I14" s="3"/>
    </row>
    <row r="15" spans="1:9" x14ac:dyDescent="0.35">
      <c r="A15" s="1">
        <v>13</v>
      </c>
      <c r="B15" t="s">
        <v>3</v>
      </c>
      <c r="C15" s="3" t="s">
        <v>13</v>
      </c>
      <c r="D15" s="5">
        <v>0</v>
      </c>
      <c r="E15">
        <v>0</v>
      </c>
      <c r="H15" s="3"/>
      <c r="I15" s="3"/>
    </row>
    <row r="16" spans="1:9" x14ac:dyDescent="0.35">
      <c r="A16" s="1">
        <v>14</v>
      </c>
      <c r="B16" t="s">
        <v>3</v>
      </c>
      <c r="C16" s="3" t="s">
        <v>157</v>
      </c>
      <c r="D16" s="5">
        <v>0</v>
      </c>
      <c r="E16">
        <v>0</v>
      </c>
      <c r="H16" s="3"/>
      <c r="I16" s="3"/>
    </row>
    <row r="17" spans="1:9" x14ac:dyDescent="0.35">
      <c r="A17" s="1">
        <v>15</v>
      </c>
      <c r="B17" t="s">
        <v>3</v>
      </c>
      <c r="C17" s="3" t="s">
        <v>156</v>
      </c>
      <c r="D17">
        <v>0</v>
      </c>
      <c r="E17">
        <v>0</v>
      </c>
      <c r="H17" s="3"/>
      <c r="I17" s="3"/>
    </row>
    <row r="18" spans="1:9" x14ac:dyDescent="0.35">
      <c r="A18" s="1">
        <v>16</v>
      </c>
      <c r="B18" t="s">
        <v>3</v>
      </c>
      <c r="C18" s="3" t="s">
        <v>31</v>
      </c>
      <c r="D18">
        <v>14231.35</v>
      </c>
      <c r="E18">
        <v>1</v>
      </c>
      <c r="H18" s="3"/>
      <c r="I18" s="3"/>
    </row>
    <row r="19" spans="1:9" x14ac:dyDescent="0.35">
      <c r="A19" s="1">
        <v>17</v>
      </c>
      <c r="B19" t="s">
        <v>3</v>
      </c>
      <c r="C19" s="3" t="s">
        <v>192</v>
      </c>
      <c r="D19" s="5">
        <v>0</v>
      </c>
      <c r="E19">
        <v>0</v>
      </c>
      <c r="H19" s="3"/>
      <c r="I19" s="3"/>
    </row>
    <row r="20" spans="1:9" x14ac:dyDescent="0.35">
      <c r="A20" s="1">
        <v>18</v>
      </c>
      <c r="B20" t="s">
        <v>3</v>
      </c>
      <c r="C20" s="3" t="s">
        <v>171</v>
      </c>
      <c r="D20">
        <v>0</v>
      </c>
      <c r="E20">
        <v>0</v>
      </c>
      <c r="H20" s="3"/>
      <c r="I20" s="3"/>
    </row>
    <row r="21" spans="1:9" x14ac:dyDescent="0.35">
      <c r="A21" s="1">
        <v>19</v>
      </c>
      <c r="B21" t="s">
        <v>3</v>
      </c>
      <c r="C21" s="3" t="s">
        <v>34</v>
      </c>
      <c r="D21" s="5">
        <v>0</v>
      </c>
      <c r="E21">
        <v>0</v>
      </c>
      <c r="H21" s="3"/>
      <c r="I21" s="3"/>
    </row>
    <row r="22" spans="1:9" x14ac:dyDescent="0.35">
      <c r="A22" s="1">
        <v>20</v>
      </c>
      <c r="B22" t="s">
        <v>3</v>
      </c>
      <c r="C22" s="3" t="s">
        <v>201</v>
      </c>
      <c r="D22" s="5">
        <v>0</v>
      </c>
      <c r="E22">
        <v>0</v>
      </c>
      <c r="H22" s="3"/>
      <c r="I22" s="3"/>
    </row>
    <row r="23" spans="1:9" x14ac:dyDescent="0.35">
      <c r="A23" s="1">
        <v>21</v>
      </c>
      <c r="B23" t="s">
        <v>3</v>
      </c>
      <c r="C23" s="3" t="s">
        <v>188</v>
      </c>
      <c r="D23">
        <v>0</v>
      </c>
      <c r="E23">
        <v>0</v>
      </c>
      <c r="H23" s="3"/>
      <c r="I23" s="3"/>
    </row>
    <row r="24" spans="1:9" x14ac:dyDescent="0.35">
      <c r="A24" s="1">
        <v>22</v>
      </c>
      <c r="B24" t="s">
        <v>3</v>
      </c>
      <c r="C24" s="3" t="s">
        <v>38</v>
      </c>
      <c r="D24">
        <v>0</v>
      </c>
      <c r="E24">
        <v>0</v>
      </c>
      <c r="H24" s="3"/>
      <c r="I24" s="3"/>
    </row>
    <row r="25" spans="1:9" x14ac:dyDescent="0.35">
      <c r="A25" s="1">
        <v>23</v>
      </c>
      <c r="B25" t="s">
        <v>3</v>
      </c>
      <c r="C25" s="3" t="s">
        <v>194</v>
      </c>
      <c r="D25" s="5">
        <v>0</v>
      </c>
      <c r="E25">
        <v>0</v>
      </c>
      <c r="H25" s="3"/>
      <c r="I25" s="3"/>
    </row>
    <row r="26" spans="1:9" x14ac:dyDescent="0.35">
      <c r="A26" s="1">
        <v>24</v>
      </c>
      <c r="B26" t="s">
        <v>3</v>
      </c>
      <c r="C26" s="3" t="s">
        <v>23</v>
      </c>
      <c r="D26">
        <v>0</v>
      </c>
      <c r="E26">
        <v>0</v>
      </c>
      <c r="H26" s="3"/>
      <c r="I26" s="3"/>
    </row>
    <row r="27" spans="1:9" x14ac:dyDescent="0.35">
      <c r="A27" s="1">
        <v>25</v>
      </c>
      <c r="B27" t="s">
        <v>3</v>
      </c>
      <c r="C27" s="3" t="s">
        <v>9</v>
      </c>
      <c r="D27" s="5">
        <v>163980.03162800669</v>
      </c>
      <c r="E27">
        <v>0.37329485718710093</v>
      </c>
      <c r="H27" s="3"/>
      <c r="I27" s="3"/>
    </row>
    <row r="28" spans="1:9" x14ac:dyDescent="0.35">
      <c r="A28" s="1">
        <v>26</v>
      </c>
      <c r="B28" t="s">
        <v>3</v>
      </c>
      <c r="C28" s="3" t="s">
        <v>8</v>
      </c>
      <c r="D28">
        <v>0</v>
      </c>
      <c r="E28">
        <v>0</v>
      </c>
      <c r="H28" s="3"/>
      <c r="I28" s="3"/>
    </row>
    <row r="29" spans="1:9" x14ac:dyDescent="0.35">
      <c r="A29" s="1">
        <v>27</v>
      </c>
      <c r="B29" t="s">
        <v>3</v>
      </c>
      <c r="C29" s="3" t="s">
        <v>24</v>
      </c>
      <c r="D29" s="5">
        <v>26216.60367714076</v>
      </c>
      <c r="E29">
        <v>0.15622294601673289</v>
      </c>
      <c r="H29" s="3"/>
      <c r="I29" s="3"/>
    </row>
    <row r="30" spans="1:9" x14ac:dyDescent="0.35">
      <c r="A30" s="1">
        <v>28</v>
      </c>
      <c r="B30" t="s">
        <v>3</v>
      </c>
      <c r="C30" s="3" t="s">
        <v>12</v>
      </c>
      <c r="D30">
        <v>0</v>
      </c>
      <c r="E30">
        <v>0</v>
      </c>
      <c r="H30" s="3"/>
      <c r="I30" s="3"/>
    </row>
    <row r="31" spans="1:9" x14ac:dyDescent="0.35">
      <c r="A31" s="1">
        <v>29</v>
      </c>
      <c r="B31" t="s">
        <v>3</v>
      </c>
      <c r="C31" s="3" t="s">
        <v>17</v>
      </c>
      <c r="D31">
        <v>31679.616798112689</v>
      </c>
      <c r="E31">
        <v>0.12208263109876021</v>
      </c>
      <c r="H31" s="3"/>
      <c r="I31" s="3"/>
    </row>
    <row r="32" spans="1:9" x14ac:dyDescent="0.35">
      <c r="A32" s="1">
        <v>30</v>
      </c>
      <c r="B32" t="s">
        <v>3</v>
      </c>
      <c r="C32" s="3" t="s">
        <v>401</v>
      </c>
      <c r="D32" s="5">
        <v>0</v>
      </c>
      <c r="E32">
        <v>0</v>
      </c>
      <c r="H32" s="3"/>
      <c r="I32" s="3"/>
    </row>
    <row r="33" spans="1:9" x14ac:dyDescent="0.35">
      <c r="A33" s="1">
        <v>31</v>
      </c>
      <c r="B33" t="s">
        <v>3</v>
      </c>
      <c r="C33" s="3" t="s">
        <v>40</v>
      </c>
      <c r="D33">
        <v>229566.87717450791</v>
      </c>
      <c r="E33">
        <v>0.44733310698670647</v>
      </c>
      <c r="H33" s="3"/>
      <c r="I33" s="3"/>
    </row>
    <row r="34" spans="1:9" x14ac:dyDescent="0.35">
      <c r="A34" s="1">
        <v>32</v>
      </c>
      <c r="B34" t="s">
        <v>3</v>
      </c>
      <c r="C34" s="3" t="s">
        <v>180</v>
      </c>
      <c r="D34">
        <v>0</v>
      </c>
      <c r="E34">
        <v>0</v>
      </c>
      <c r="H34" s="3"/>
      <c r="I34" s="3"/>
    </row>
    <row r="35" spans="1:9" x14ac:dyDescent="0.35">
      <c r="A35" s="1">
        <v>33</v>
      </c>
      <c r="B35" t="s">
        <v>3</v>
      </c>
      <c r="C35" s="3" t="s">
        <v>6</v>
      </c>
      <c r="D35">
        <v>5602.6756765704631</v>
      </c>
      <c r="E35">
        <v>0.36570171690932468</v>
      </c>
      <c r="H35" s="3"/>
      <c r="I35" s="3"/>
    </row>
    <row r="36" spans="1:9" x14ac:dyDescent="0.35">
      <c r="A36" s="1">
        <v>34</v>
      </c>
      <c r="B36" t="s">
        <v>3</v>
      </c>
      <c r="C36" s="3" t="s">
        <v>203</v>
      </c>
      <c r="D36">
        <v>0</v>
      </c>
      <c r="E36">
        <v>0</v>
      </c>
      <c r="H36" s="3"/>
      <c r="I36" s="3"/>
    </row>
    <row r="37" spans="1:9" x14ac:dyDescent="0.35">
      <c r="A37" s="1">
        <v>35</v>
      </c>
      <c r="B37" t="s">
        <v>3</v>
      </c>
      <c r="C37" s="3" t="s">
        <v>160</v>
      </c>
      <c r="D37">
        <v>0</v>
      </c>
      <c r="E37">
        <v>0</v>
      </c>
      <c r="H37" s="3"/>
      <c r="I37" s="3"/>
    </row>
    <row r="38" spans="1:9" x14ac:dyDescent="0.35">
      <c r="A38" s="1">
        <v>36</v>
      </c>
      <c r="B38" t="s">
        <v>3</v>
      </c>
      <c r="C38" s="3" t="s">
        <v>178</v>
      </c>
      <c r="D38">
        <v>0</v>
      </c>
      <c r="E38">
        <v>0</v>
      </c>
      <c r="H38" s="3"/>
      <c r="I38" s="3"/>
    </row>
    <row r="39" spans="1:9" x14ac:dyDescent="0.35">
      <c r="A39" s="1">
        <v>37</v>
      </c>
      <c r="B39" t="s">
        <v>3</v>
      </c>
      <c r="C39" s="3" t="s">
        <v>174</v>
      </c>
      <c r="D39">
        <v>0</v>
      </c>
      <c r="E39">
        <v>0</v>
      </c>
      <c r="H39" s="3"/>
      <c r="I39" s="3"/>
    </row>
    <row r="40" spans="1:9" x14ac:dyDescent="0.35">
      <c r="A40" s="1">
        <v>38</v>
      </c>
      <c r="B40" t="s">
        <v>3</v>
      </c>
      <c r="C40" s="3" t="s">
        <v>25</v>
      </c>
      <c r="D40">
        <v>0</v>
      </c>
      <c r="E40">
        <v>0</v>
      </c>
      <c r="H40" s="3"/>
      <c r="I40" s="3"/>
    </row>
    <row r="41" spans="1:9" x14ac:dyDescent="0.35">
      <c r="A41" s="1">
        <v>39</v>
      </c>
      <c r="B41" t="s">
        <v>3</v>
      </c>
      <c r="C41" s="3" t="s">
        <v>185</v>
      </c>
      <c r="D41" s="5">
        <v>0</v>
      </c>
      <c r="E41">
        <v>0</v>
      </c>
      <c r="H41" s="3"/>
      <c r="I41" s="3"/>
    </row>
    <row r="42" spans="1:9" x14ac:dyDescent="0.35">
      <c r="A42" s="1">
        <v>40</v>
      </c>
      <c r="B42" t="s">
        <v>3</v>
      </c>
      <c r="C42" s="3" t="s">
        <v>193</v>
      </c>
      <c r="D42">
        <v>0</v>
      </c>
      <c r="E42">
        <v>0</v>
      </c>
      <c r="H42" s="3"/>
      <c r="I42" s="3"/>
    </row>
    <row r="43" spans="1:9" x14ac:dyDescent="0.35">
      <c r="A43" s="1">
        <v>41</v>
      </c>
      <c r="B43" t="s">
        <v>3</v>
      </c>
      <c r="C43" s="3" t="s">
        <v>183</v>
      </c>
      <c r="D43" s="5">
        <v>6778.1013452471088</v>
      </c>
      <c r="E43">
        <v>0.34581267545456029</v>
      </c>
      <c r="H43" s="3"/>
      <c r="I43" s="3"/>
    </row>
    <row r="44" spans="1:9" x14ac:dyDescent="0.35">
      <c r="A44" s="1">
        <v>42</v>
      </c>
      <c r="B44" t="s">
        <v>3</v>
      </c>
      <c r="C44" s="3" t="s">
        <v>165</v>
      </c>
      <c r="D44" s="5">
        <v>0</v>
      </c>
      <c r="E44">
        <v>0</v>
      </c>
      <c r="H44" s="3"/>
      <c r="I44" s="3"/>
    </row>
    <row r="45" spans="1:9" x14ac:dyDescent="0.35">
      <c r="A45" s="1">
        <v>43</v>
      </c>
      <c r="B45" t="s">
        <v>3</v>
      </c>
      <c r="C45" s="3" t="s">
        <v>210</v>
      </c>
      <c r="D45">
        <v>0</v>
      </c>
      <c r="E45">
        <v>0</v>
      </c>
      <c r="H45" s="3"/>
      <c r="I45" s="3"/>
    </row>
    <row r="46" spans="1:9" x14ac:dyDescent="0.35">
      <c r="A46" s="1">
        <v>44</v>
      </c>
      <c r="B46" t="s">
        <v>3</v>
      </c>
      <c r="C46" s="3" t="s">
        <v>155</v>
      </c>
      <c r="D46" s="5">
        <v>0</v>
      </c>
      <c r="E46">
        <v>0</v>
      </c>
      <c r="H46" s="3"/>
      <c r="I46" s="3"/>
    </row>
    <row r="47" spans="1:9" x14ac:dyDescent="0.35">
      <c r="A47" s="1">
        <v>45</v>
      </c>
      <c r="B47" t="s">
        <v>3</v>
      </c>
      <c r="C47" s="3" t="s">
        <v>11</v>
      </c>
      <c r="D47" s="5">
        <v>0</v>
      </c>
      <c r="E47">
        <v>0</v>
      </c>
      <c r="H47" s="3"/>
      <c r="I47" s="3"/>
    </row>
    <row r="48" spans="1:9" x14ac:dyDescent="0.35">
      <c r="A48" s="1">
        <v>46</v>
      </c>
      <c r="B48" t="s">
        <v>3</v>
      </c>
      <c r="C48" s="3" t="s">
        <v>173</v>
      </c>
      <c r="D48">
        <v>0</v>
      </c>
      <c r="E48">
        <v>0</v>
      </c>
      <c r="H48" s="3"/>
      <c r="I48" s="3"/>
    </row>
    <row r="49" spans="1:9" x14ac:dyDescent="0.35">
      <c r="A49" s="1">
        <v>47</v>
      </c>
      <c r="B49" t="s">
        <v>3</v>
      </c>
      <c r="C49" s="3" t="s">
        <v>172</v>
      </c>
      <c r="D49">
        <v>0</v>
      </c>
      <c r="E49">
        <v>0</v>
      </c>
      <c r="H49" s="3"/>
      <c r="I49" s="3"/>
    </row>
    <row r="50" spans="1:9" x14ac:dyDescent="0.35">
      <c r="A50" s="1">
        <v>48</v>
      </c>
      <c r="B50" t="s">
        <v>3</v>
      </c>
      <c r="C50" s="3" t="s">
        <v>164</v>
      </c>
      <c r="D50" s="5">
        <v>0</v>
      </c>
      <c r="E50">
        <v>0</v>
      </c>
      <c r="H50" s="3"/>
      <c r="I50" s="3"/>
    </row>
    <row r="51" spans="1:9" x14ac:dyDescent="0.35">
      <c r="A51" s="1">
        <v>49</v>
      </c>
      <c r="B51" t="s">
        <v>3</v>
      </c>
      <c r="C51" s="3" t="s">
        <v>50</v>
      </c>
      <c r="D51">
        <v>165424.94103341969</v>
      </c>
      <c r="E51">
        <v>0.24509586379142681</v>
      </c>
      <c r="H51" s="3"/>
      <c r="I51" s="3"/>
    </row>
    <row r="52" spans="1:9" x14ac:dyDescent="0.35">
      <c r="A52" s="1">
        <v>50</v>
      </c>
      <c r="B52" t="s">
        <v>3</v>
      </c>
      <c r="C52" s="3" t="s">
        <v>51</v>
      </c>
      <c r="D52">
        <v>0</v>
      </c>
      <c r="E52">
        <v>0</v>
      </c>
      <c r="H52" s="3"/>
      <c r="I52" s="3"/>
    </row>
    <row r="53" spans="1:9" x14ac:dyDescent="0.35">
      <c r="A53" s="1">
        <v>51</v>
      </c>
      <c r="B53" t="s">
        <v>3</v>
      </c>
      <c r="C53" s="3" t="s">
        <v>195</v>
      </c>
      <c r="D53">
        <v>0</v>
      </c>
      <c r="E53">
        <v>0</v>
      </c>
      <c r="H53" s="3"/>
      <c r="I53" s="3"/>
    </row>
    <row r="54" spans="1:9" x14ac:dyDescent="0.35">
      <c r="A54" s="1">
        <v>52</v>
      </c>
      <c r="B54" t="s">
        <v>3</v>
      </c>
      <c r="C54" s="3" t="s">
        <v>391</v>
      </c>
      <c r="D54" s="5">
        <v>58165.512818501527</v>
      </c>
      <c r="E54">
        <v>0.91616401843024975</v>
      </c>
      <c r="H54" s="3"/>
      <c r="I54" s="3"/>
    </row>
    <row r="55" spans="1:9" x14ac:dyDescent="0.35">
      <c r="A55" s="1">
        <v>53</v>
      </c>
      <c r="B55" t="s">
        <v>3</v>
      </c>
      <c r="C55" s="3" t="s">
        <v>184</v>
      </c>
      <c r="D55" s="5">
        <v>0</v>
      </c>
      <c r="E55">
        <v>0</v>
      </c>
      <c r="H55" s="3"/>
      <c r="I55" s="3"/>
    </row>
    <row r="56" spans="1:9" x14ac:dyDescent="0.35">
      <c r="A56" s="1">
        <v>54</v>
      </c>
      <c r="B56" t="s">
        <v>3</v>
      </c>
      <c r="C56" s="3" t="s">
        <v>198</v>
      </c>
      <c r="D56" s="5">
        <v>0</v>
      </c>
      <c r="E56">
        <v>0</v>
      </c>
      <c r="H56" s="3"/>
      <c r="I56" s="3"/>
    </row>
    <row r="57" spans="1:9" x14ac:dyDescent="0.35">
      <c r="A57" s="1">
        <v>55</v>
      </c>
      <c r="B57" t="s">
        <v>3</v>
      </c>
      <c r="C57" s="3" t="s">
        <v>386</v>
      </c>
      <c r="D57" s="5">
        <v>21195.258000000002</v>
      </c>
      <c r="E57">
        <v>1</v>
      </c>
      <c r="H57" s="3"/>
      <c r="I57" s="3"/>
    </row>
    <row r="58" spans="1:9" x14ac:dyDescent="0.35">
      <c r="A58" s="1">
        <v>56</v>
      </c>
      <c r="B58" t="s">
        <v>3</v>
      </c>
      <c r="C58" s="3" t="s">
        <v>30</v>
      </c>
      <c r="D58" s="5">
        <v>0</v>
      </c>
      <c r="E58">
        <v>0</v>
      </c>
      <c r="H58" s="3"/>
      <c r="I58" s="3"/>
    </row>
    <row r="59" spans="1:9" x14ac:dyDescent="0.35">
      <c r="A59" s="1">
        <v>57</v>
      </c>
      <c r="B59" t="s">
        <v>3</v>
      </c>
      <c r="C59" s="3" t="s">
        <v>196</v>
      </c>
      <c r="D59">
        <v>0</v>
      </c>
      <c r="E59">
        <v>0</v>
      </c>
      <c r="H59" s="3"/>
      <c r="I59" s="3"/>
    </row>
    <row r="60" spans="1:9" x14ac:dyDescent="0.35">
      <c r="A60" s="1">
        <v>58</v>
      </c>
      <c r="B60" t="s">
        <v>3</v>
      </c>
      <c r="C60" s="3" t="s">
        <v>163</v>
      </c>
      <c r="D60" s="5">
        <v>0</v>
      </c>
      <c r="E60">
        <v>0</v>
      </c>
      <c r="H60" s="3"/>
      <c r="I60" s="3"/>
    </row>
    <row r="61" spans="1:9" x14ac:dyDescent="0.35">
      <c r="A61" s="1">
        <v>59</v>
      </c>
      <c r="B61" t="s">
        <v>3</v>
      </c>
      <c r="C61" s="3" t="s">
        <v>18</v>
      </c>
      <c r="D61" s="5">
        <v>70828.25</v>
      </c>
      <c r="E61">
        <v>1</v>
      </c>
      <c r="H61" s="3"/>
      <c r="I61" s="3"/>
    </row>
    <row r="62" spans="1:9" x14ac:dyDescent="0.35">
      <c r="A62" s="1">
        <v>60</v>
      </c>
      <c r="B62" t="s">
        <v>3</v>
      </c>
      <c r="C62" s="3" t="s">
        <v>28</v>
      </c>
      <c r="D62" s="5">
        <v>63612.772870000001</v>
      </c>
      <c r="E62">
        <v>0.1070525611221433</v>
      </c>
      <c r="H62" s="3"/>
      <c r="I62" s="3"/>
    </row>
    <row r="63" spans="1:9" x14ac:dyDescent="0.35">
      <c r="A63" s="1">
        <v>61</v>
      </c>
      <c r="B63" t="s">
        <v>3</v>
      </c>
      <c r="C63" s="3" t="s">
        <v>197</v>
      </c>
      <c r="D63">
        <v>0</v>
      </c>
      <c r="E63">
        <v>0</v>
      </c>
      <c r="H63" s="3"/>
      <c r="I63" s="3"/>
    </row>
    <row r="64" spans="1:9" x14ac:dyDescent="0.35">
      <c r="A64" s="1">
        <v>62</v>
      </c>
      <c r="B64" t="s">
        <v>3</v>
      </c>
      <c r="C64" s="3" t="s">
        <v>37</v>
      </c>
      <c r="D64" s="5">
        <v>0</v>
      </c>
      <c r="E64">
        <v>0</v>
      </c>
      <c r="H64" s="3"/>
      <c r="I64" s="3"/>
    </row>
    <row r="65" spans="1:9" x14ac:dyDescent="0.35">
      <c r="A65" s="1">
        <v>63</v>
      </c>
      <c r="B65" t="s">
        <v>3</v>
      </c>
      <c r="C65" s="3" t="s">
        <v>162</v>
      </c>
      <c r="D65">
        <v>0</v>
      </c>
      <c r="E65">
        <v>0</v>
      </c>
      <c r="H65" s="3"/>
      <c r="I65" s="3"/>
    </row>
    <row r="66" spans="1:9" x14ac:dyDescent="0.35">
      <c r="A66" s="1">
        <v>64</v>
      </c>
      <c r="B66" t="s">
        <v>3</v>
      </c>
      <c r="C66" s="3" t="s">
        <v>33</v>
      </c>
      <c r="D66">
        <v>447490</v>
      </c>
      <c r="E66">
        <v>1</v>
      </c>
      <c r="H66" s="3"/>
      <c r="I66" s="3"/>
    </row>
    <row r="67" spans="1:9" x14ac:dyDescent="0.35">
      <c r="A67" s="1">
        <v>65</v>
      </c>
      <c r="B67" t="s">
        <v>3</v>
      </c>
      <c r="C67" s="3" t="s">
        <v>153</v>
      </c>
      <c r="D67" s="5">
        <v>0</v>
      </c>
      <c r="E67">
        <v>0</v>
      </c>
      <c r="H67" s="3"/>
      <c r="I67" s="3"/>
    </row>
    <row r="68" spans="1:9" x14ac:dyDescent="0.35">
      <c r="A68" s="1">
        <v>66</v>
      </c>
      <c r="B68" t="s">
        <v>3</v>
      </c>
      <c r="C68" s="3" t="s">
        <v>15</v>
      </c>
      <c r="D68" s="5">
        <v>0</v>
      </c>
      <c r="E68">
        <v>0</v>
      </c>
      <c r="H68" s="3"/>
      <c r="I68" s="3"/>
    </row>
    <row r="69" spans="1:9" x14ac:dyDescent="0.35">
      <c r="A69" s="1">
        <v>67</v>
      </c>
      <c r="B69" t="s">
        <v>3</v>
      </c>
      <c r="C69" s="3" t="s">
        <v>32</v>
      </c>
      <c r="D69">
        <v>0</v>
      </c>
      <c r="E69">
        <v>0</v>
      </c>
      <c r="H69" s="3"/>
      <c r="I69" s="3"/>
    </row>
    <row r="70" spans="1:9" x14ac:dyDescent="0.35">
      <c r="A70" s="1">
        <v>68</v>
      </c>
      <c r="B70" t="s">
        <v>3</v>
      </c>
      <c r="C70" s="3" t="s">
        <v>208</v>
      </c>
      <c r="D70">
        <v>40632.438500863384</v>
      </c>
      <c r="E70">
        <v>0.72721289075930173</v>
      </c>
      <c r="H70" s="3"/>
      <c r="I70" s="3"/>
    </row>
    <row r="71" spans="1:9" x14ac:dyDescent="0.35">
      <c r="A71" s="1">
        <v>69</v>
      </c>
      <c r="B71" t="s">
        <v>3</v>
      </c>
      <c r="C71" s="3" t="s">
        <v>207</v>
      </c>
      <c r="D71">
        <v>0</v>
      </c>
      <c r="E71">
        <v>0</v>
      </c>
      <c r="H71" s="3"/>
      <c r="I71" s="3"/>
    </row>
    <row r="72" spans="1:9" x14ac:dyDescent="0.35">
      <c r="A72" s="1">
        <v>70</v>
      </c>
      <c r="B72" t="s">
        <v>3</v>
      </c>
      <c r="C72" s="3" t="s">
        <v>154</v>
      </c>
      <c r="D72" s="5">
        <v>0</v>
      </c>
      <c r="E72">
        <v>0</v>
      </c>
      <c r="H72" s="3"/>
      <c r="I72" s="3"/>
    </row>
    <row r="73" spans="1:9" x14ac:dyDescent="0.35">
      <c r="A73" s="1">
        <v>71</v>
      </c>
      <c r="B73" t="s">
        <v>3</v>
      </c>
      <c r="C73" s="3" t="s">
        <v>168</v>
      </c>
      <c r="D73">
        <v>0</v>
      </c>
      <c r="E73">
        <v>0</v>
      </c>
      <c r="H73" s="3"/>
      <c r="I73" s="3"/>
    </row>
    <row r="74" spans="1:9" x14ac:dyDescent="0.35">
      <c r="A74" s="1">
        <v>72</v>
      </c>
      <c r="B74" t="s">
        <v>3</v>
      </c>
      <c r="C74" s="3" t="s">
        <v>7</v>
      </c>
      <c r="D74">
        <v>15121.25441570124</v>
      </c>
      <c r="E74">
        <v>0.81391147916684548</v>
      </c>
      <c r="H74" s="3"/>
      <c r="I74" s="3"/>
    </row>
    <row r="75" spans="1:9" x14ac:dyDescent="0.35">
      <c r="A75" s="1">
        <v>73</v>
      </c>
      <c r="B75" t="s">
        <v>3</v>
      </c>
      <c r="C75" s="3" t="s">
        <v>187</v>
      </c>
      <c r="D75">
        <v>60231.107402548907</v>
      </c>
      <c r="E75">
        <v>0.95623070411846223</v>
      </c>
      <c r="H75" s="3"/>
      <c r="I75" s="3"/>
    </row>
    <row r="76" spans="1:9" x14ac:dyDescent="0.35">
      <c r="A76" s="1">
        <v>74</v>
      </c>
      <c r="B76" t="s">
        <v>3</v>
      </c>
      <c r="C76" s="3" t="s">
        <v>177</v>
      </c>
      <c r="D76" s="5">
        <v>0</v>
      </c>
      <c r="E76">
        <v>0</v>
      </c>
      <c r="H76" s="3"/>
      <c r="I76" s="3"/>
    </row>
    <row r="77" spans="1:9" x14ac:dyDescent="0.35">
      <c r="A77" s="1">
        <v>75</v>
      </c>
      <c r="B77" t="s">
        <v>3</v>
      </c>
      <c r="C77" s="3" t="s">
        <v>20</v>
      </c>
      <c r="D77">
        <v>321094.73993453069</v>
      </c>
      <c r="E77">
        <v>0.91294273169259899</v>
      </c>
      <c r="H77" s="3"/>
      <c r="I77" s="3"/>
    </row>
    <row r="78" spans="1:9" x14ac:dyDescent="0.35">
      <c r="A78" s="1">
        <v>76</v>
      </c>
      <c r="B78" t="s">
        <v>3</v>
      </c>
      <c r="C78" s="3" t="s">
        <v>400</v>
      </c>
      <c r="D78">
        <v>0</v>
      </c>
      <c r="E78">
        <v>0</v>
      </c>
      <c r="H78" s="3"/>
      <c r="I78" s="3"/>
    </row>
    <row r="79" spans="1:9" x14ac:dyDescent="0.35">
      <c r="A79" s="1">
        <v>77</v>
      </c>
      <c r="B79" t="s">
        <v>3</v>
      </c>
      <c r="C79" s="3" t="s">
        <v>21</v>
      </c>
      <c r="D79" s="5">
        <v>36565.69681353934</v>
      </c>
      <c r="E79">
        <v>0.26020776953239172</v>
      </c>
      <c r="H79" s="3"/>
      <c r="I79" s="3"/>
    </row>
    <row r="80" spans="1:9" x14ac:dyDescent="0.35">
      <c r="A80" s="1">
        <v>78</v>
      </c>
      <c r="B80" t="s">
        <v>3</v>
      </c>
      <c r="C80" s="3" t="s">
        <v>182</v>
      </c>
      <c r="D80" s="5">
        <v>0</v>
      </c>
      <c r="E80">
        <v>0</v>
      </c>
      <c r="H80" s="3"/>
      <c r="I80" s="3"/>
    </row>
    <row r="81" spans="1:9" x14ac:dyDescent="0.35">
      <c r="A81" s="1">
        <v>79</v>
      </c>
      <c r="B81" t="s">
        <v>3</v>
      </c>
      <c r="C81" s="3" t="s">
        <v>16</v>
      </c>
      <c r="D81">
        <v>169.92212476766139</v>
      </c>
      <c r="E81">
        <v>8.0818719139039055E-4</v>
      </c>
      <c r="H81" s="3"/>
      <c r="I81" s="3"/>
    </row>
    <row r="82" spans="1:9" x14ac:dyDescent="0.35">
      <c r="A82" s="1">
        <v>80</v>
      </c>
      <c r="B82" t="s">
        <v>3</v>
      </c>
      <c r="C82" s="3" t="s">
        <v>181</v>
      </c>
      <c r="D82">
        <v>0</v>
      </c>
      <c r="E82">
        <v>0</v>
      </c>
      <c r="H82" s="3"/>
      <c r="I82" s="3"/>
    </row>
    <row r="83" spans="1:9" x14ac:dyDescent="0.35">
      <c r="A83" s="1">
        <v>81</v>
      </c>
      <c r="B83" t="s">
        <v>3</v>
      </c>
      <c r="C83" s="3" t="s">
        <v>199</v>
      </c>
      <c r="D83">
        <v>123041.5</v>
      </c>
      <c r="E83">
        <v>1</v>
      </c>
      <c r="H83" s="3"/>
      <c r="I83" s="3"/>
    </row>
    <row r="84" spans="1:9" x14ac:dyDescent="0.35">
      <c r="A84" s="1">
        <v>82</v>
      </c>
      <c r="B84" t="s">
        <v>3</v>
      </c>
      <c r="C84" s="3" t="s">
        <v>190</v>
      </c>
      <c r="D84" s="5">
        <v>10171.07915437571</v>
      </c>
      <c r="E84">
        <v>9.9237785918663973E-2</v>
      </c>
      <c r="H84" s="3"/>
      <c r="I84" s="3"/>
    </row>
    <row r="85" spans="1:9" x14ac:dyDescent="0.35">
      <c r="A85" s="1">
        <v>83</v>
      </c>
      <c r="B85" t="s">
        <v>3</v>
      </c>
      <c r="C85" s="3" t="s">
        <v>53</v>
      </c>
      <c r="D85" s="5">
        <v>0</v>
      </c>
      <c r="E85">
        <v>0</v>
      </c>
      <c r="H85" s="3"/>
      <c r="I85" s="3"/>
    </row>
    <row r="86" spans="1:9" x14ac:dyDescent="0.35">
      <c r="A86" s="1">
        <v>84</v>
      </c>
      <c r="B86" t="s">
        <v>3</v>
      </c>
      <c r="C86" s="3" t="s">
        <v>170</v>
      </c>
      <c r="D86">
        <v>0</v>
      </c>
      <c r="E86">
        <v>0</v>
      </c>
      <c r="H86" s="3"/>
      <c r="I86" s="3"/>
    </row>
    <row r="87" spans="1:9" x14ac:dyDescent="0.35">
      <c r="A87" s="1">
        <v>85</v>
      </c>
      <c r="B87" t="s">
        <v>3</v>
      </c>
      <c r="C87" s="3" t="s">
        <v>47</v>
      </c>
      <c r="D87" s="5">
        <v>5110</v>
      </c>
      <c r="E87">
        <v>1</v>
      </c>
      <c r="H87" s="3"/>
      <c r="I87" s="3"/>
    </row>
    <row r="88" spans="1:9" x14ac:dyDescent="0.35">
      <c r="A88" s="1">
        <v>86</v>
      </c>
      <c r="B88" t="s">
        <v>3</v>
      </c>
      <c r="C88" s="3" t="s">
        <v>179</v>
      </c>
      <c r="D88" s="5">
        <v>0</v>
      </c>
      <c r="E88">
        <v>0</v>
      </c>
      <c r="H88" s="3"/>
      <c r="I88" s="3"/>
    </row>
    <row r="89" spans="1:9" x14ac:dyDescent="0.35">
      <c r="A89" s="1">
        <v>87</v>
      </c>
      <c r="B89" t="s">
        <v>3</v>
      </c>
      <c r="C89" s="3" t="s">
        <v>402</v>
      </c>
      <c r="D89" s="5">
        <v>0</v>
      </c>
      <c r="E89">
        <v>0</v>
      </c>
      <c r="H89" s="3"/>
      <c r="I89" s="3"/>
    </row>
    <row r="90" spans="1:9" x14ac:dyDescent="0.35">
      <c r="A90" s="1">
        <v>88</v>
      </c>
      <c r="B90" t="s">
        <v>3</v>
      </c>
      <c r="C90" s="3" t="s">
        <v>14</v>
      </c>
      <c r="D90" s="5">
        <v>1491.8375189927231</v>
      </c>
      <c r="E90">
        <v>0.1280459298067706</v>
      </c>
      <c r="H90" s="3"/>
      <c r="I90" s="3"/>
    </row>
    <row r="91" spans="1:9" x14ac:dyDescent="0.35">
      <c r="A91" s="1">
        <v>89</v>
      </c>
      <c r="B91" t="s">
        <v>3</v>
      </c>
      <c r="C91" s="3" t="s">
        <v>26</v>
      </c>
      <c r="D91" s="5">
        <v>9329.2506674511114</v>
      </c>
      <c r="E91">
        <v>5.247298474590243E-2</v>
      </c>
      <c r="H91" s="3"/>
      <c r="I91" s="3"/>
    </row>
    <row r="92" spans="1:9" x14ac:dyDescent="0.35">
      <c r="A92" s="1">
        <v>90</v>
      </c>
      <c r="B92" t="s">
        <v>3</v>
      </c>
      <c r="C92" s="3" t="s">
        <v>204</v>
      </c>
      <c r="D92" s="5">
        <v>0</v>
      </c>
      <c r="E92">
        <v>0</v>
      </c>
      <c r="H92" s="3"/>
      <c r="I92" s="3"/>
    </row>
    <row r="93" spans="1:9" x14ac:dyDescent="0.35">
      <c r="A93" s="1">
        <v>91</v>
      </c>
      <c r="B93" t="s">
        <v>3</v>
      </c>
      <c r="C93" s="3" t="s">
        <v>43</v>
      </c>
      <c r="D93">
        <v>358668.84920827998</v>
      </c>
      <c r="E93">
        <v>0.85152026117205193</v>
      </c>
      <c r="H93" s="3"/>
      <c r="I93" s="3"/>
    </row>
    <row r="94" spans="1:9" x14ac:dyDescent="0.35">
      <c r="A94" s="1">
        <v>92</v>
      </c>
      <c r="B94" t="s">
        <v>3</v>
      </c>
      <c r="C94" s="3" t="s">
        <v>52</v>
      </c>
      <c r="D94">
        <v>0</v>
      </c>
      <c r="E94">
        <v>0</v>
      </c>
      <c r="H94" s="3"/>
      <c r="I94" s="3"/>
    </row>
    <row r="95" spans="1:9" x14ac:dyDescent="0.35">
      <c r="A95" s="1">
        <v>93</v>
      </c>
      <c r="B95" t="s">
        <v>3</v>
      </c>
      <c r="C95" s="3" t="s">
        <v>385</v>
      </c>
      <c r="D95">
        <v>117384</v>
      </c>
      <c r="E95">
        <v>1</v>
      </c>
      <c r="H95" s="3"/>
      <c r="I95" s="3"/>
    </row>
    <row r="96" spans="1:9" x14ac:dyDescent="0.35">
      <c r="A96" s="1">
        <v>94</v>
      </c>
      <c r="B96" t="s">
        <v>3</v>
      </c>
      <c r="C96" s="3" t="s">
        <v>36</v>
      </c>
      <c r="D96">
        <v>0</v>
      </c>
      <c r="E96">
        <v>0</v>
      </c>
      <c r="H96" s="3"/>
      <c r="I96" s="3"/>
    </row>
    <row r="97" spans="1:9" x14ac:dyDescent="0.35">
      <c r="A97" s="1">
        <v>95</v>
      </c>
      <c r="B97" t="s">
        <v>3</v>
      </c>
      <c r="C97" s="3" t="s">
        <v>10</v>
      </c>
      <c r="D97" s="5">
        <v>0</v>
      </c>
      <c r="E97">
        <v>0</v>
      </c>
      <c r="H97" s="3"/>
      <c r="I97" s="3"/>
    </row>
    <row r="98" spans="1:9" x14ac:dyDescent="0.35">
      <c r="A98" s="1">
        <v>96</v>
      </c>
      <c r="B98" t="s">
        <v>3</v>
      </c>
      <c r="C98" s="3" t="s">
        <v>45</v>
      </c>
      <c r="D98" s="5">
        <v>0</v>
      </c>
      <c r="E98">
        <v>0</v>
      </c>
      <c r="H98" s="3"/>
      <c r="I98" s="3"/>
    </row>
    <row r="99" spans="1:9" x14ac:dyDescent="0.35">
      <c r="A99" s="1">
        <v>97</v>
      </c>
      <c r="B99" t="s">
        <v>3</v>
      </c>
      <c r="C99" s="3" t="s">
        <v>211</v>
      </c>
      <c r="D99">
        <v>0</v>
      </c>
      <c r="E99">
        <v>0</v>
      </c>
      <c r="H99" s="3"/>
      <c r="I99" s="3"/>
    </row>
    <row r="100" spans="1:9" x14ac:dyDescent="0.35">
      <c r="A100" s="1">
        <v>98</v>
      </c>
      <c r="B100" t="s">
        <v>3</v>
      </c>
      <c r="C100" s="3" t="s">
        <v>29</v>
      </c>
      <c r="D100">
        <v>8931.6695877324019</v>
      </c>
      <c r="E100">
        <v>0.43932365597168788</v>
      </c>
      <c r="H100" s="3"/>
      <c r="I100" s="3"/>
    </row>
    <row r="101" spans="1:9" x14ac:dyDescent="0.35">
      <c r="A101" s="1">
        <v>99</v>
      </c>
      <c r="B101" t="s">
        <v>3</v>
      </c>
      <c r="C101" s="3" t="s">
        <v>200</v>
      </c>
      <c r="D101">
        <v>0</v>
      </c>
      <c r="E101">
        <v>0</v>
      </c>
      <c r="H101" s="3"/>
      <c r="I101" s="3"/>
    </row>
    <row r="102" spans="1:9" x14ac:dyDescent="0.35">
      <c r="A102" s="1">
        <v>100</v>
      </c>
      <c r="B102" t="s">
        <v>3</v>
      </c>
      <c r="C102" s="3" t="s">
        <v>167</v>
      </c>
      <c r="D102">
        <v>0</v>
      </c>
      <c r="E102">
        <v>0</v>
      </c>
      <c r="H102" s="3"/>
      <c r="I102" s="3"/>
    </row>
    <row r="103" spans="1:9" x14ac:dyDescent="0.35">
      <c r="A103" s="1">
        <v>101</v>
      </c>
      <c r="B103" t="s">
        <v>3</v>
      </c>
      <c r="C103" s="3" t="s">
        <v>5</v>
      </c>
      <c r="D103" s="5">
        <v>0</v>
      </c>
      <c r="E103">
        <v>0</v>
      </c>
      <c r="H103" s="3"/>
      <c r="I103" s="3"/>
    </row>
    <row r="104" spans="1:9" x14ac:dyDescent="0.35">
      <c r="A104" s="1">
        <v>102</v>
      </c>
      <c r="B104" t="s">
        <v>3</v>
      </c>
      <c r="C104" s="3" t="s">
        <v>169</v>
      </c>
      <c r="D104">
        <v>0</v>
      </c>
      <c r="E104">
        <v>0</v>
      </c>
      <c r="H104" s="3"/>
      <c r="I104" s="3"/>
    </row>
    <row r="105" spans="1:9" x14ac:dyDescent="0.35">
      <c r="A105" s="1">
        <v>103</v>
      </c>
      <c r="B105" t="s">
        <v>3</v>
      </c>
      <c r="C105" s="3" t="s">
        <v>158</v>
      </c>
      <c r="D105" s="5">
        <v>0</v>
      </c>
      <c r="E105">
        <v>0</v>
      </c>
      <c r="H105" s="3"/>
      <c r="I105" s="3"/>
    </row>
    <row r="106" spans="1:9" x14ac:dyDescent="0.35">
      <c r="A106" s="1">
        <v>104</v>
      </c>
      <c r="B106" t="s">
        <v>3</v>
      </c>
      <c r="C106" s="3" t="s">
        <v>27</v>
      </c>
      <c r="D106">
        <v>6137.3681928279766</v>
      </c>
      <c r="E106">
        <v>7.9414299912205374E-2</v>
      </c>
      <c r="H106" s="3"/>
      <c r="I106" s="3"/>
    </row>
    <row r="107" spans="1:9" x14ac:dyDescent="0.35">
      <c r="A107" s="1">
        <v>105</v>
      </c>
      <c r="B107" t="s">
        <v>3</v>
      </c>
      <c r="C107" s="3" t="s">
        <v>41</v>
      </c>
      <c r="D107">
        <v>6997.2659465473271</v>
      </c>
      <c r="E107">
        <v>0.63901972114587458</v>
      </c>
      <c r="H107" s="3"/>
      <c r="I107" s="3"/>
    </row>
    <row r="108" spans="1:9" x14ac:dyDescent="0.35">
      <c r="A108" s="1">
        <v>106</v>
      </c>
      <c r="B108" t="s">
        <v>3</v>
      </c>
      <c r="C108" s="3" t="s">
        <v>159</v>
      </c>
      <c r="D108" s="5">
        <v>0</v>
      </c>
      <c r="E108">
        <v>0</v>
      </c>
      <c r="H108" s="3"/>
      <c r="I108" s="3"/>
    </row>
    <row r="109" spans="1:9" x14ac:dyDescent="0.35">
      <c r="A109" s="1">
        <v>107</v>
      </c>
      <c r="B109" t="s">
        <v>3</v>
      </c>
      <c r="C109" s="3" t="s">
        <v>49</v>
      </c>
      <c r="D109">
        <v>26810.07971851595</v>
      </c>
      <c r="E109">
        <v>0.28357761254502961</v>
      </c>
      <c r="H109" s="3"/>
      <c r="I109" s="3"/>
    </row>
    <row r="110" spans="1:9" x14ac:dyDescent="0.35">
      <c r="A110" s="1">
        <v>108</v>
      </c>
      <c r="B110" t="s">
        <v>3</v>
      </c>
      <c r="C110" s="3" t="s">
        <v>48</v>
      </c>
      <c r="D110" s="5">
        <v>0</v>
      </c>
      <c r="E110">
        <v>0</v>
      </c>
      <c r="H110" s="3"/>
      <c r="I110" s="3"/>
    </row>
    <row r="111" spans="1:9" x14ac:dyDescent="0.35">
      <c r="A111" s="1">
        <v>109</v>
      </c>
      <c r="B111" t="s">
        <v>3</v>
      </c>
      <c r="C111" s="3" t="s">
        <v>39</v>
      </c>
      <c r="D111" s="5">
        <v>0</v>
      </c>
      <c r="E111">
        <v>0</v>
      </c>
      <c r="H111" s="3"/>
      <c r="I111" s="3"/>
    </row>
    <row r="112" spans="1:9" x14ac:dyDescent="0.35">
      <c r="A112" s="1">
        <v>110</v>
      </c>
      <c r="B112" t="s">
        <v>3</v>
      </c>
      <c r="C112" s="3" t="s">
        <v>175</v>
      </c>
      <c r="D112" s="5">
        <v>7370.6027501020581</v>
      </c>
      <c r="E112">
        <v>0.1565746467555279</v>
      </c>
      <c r="H112" s="3"/>
      <c r="I112" s="3"/>
    </row>
    <row r="113" spans="1:9" x14ac:dyDescent="0.35">
      <c r="A113" s="1">
        <v>111</v>
      </c>
      <c r="B113" t="s">
        <v>3</v>
      </c>
      <c r="C113" s="3" t="s">
        <v>209</v>
      </c>
      <c r="D113" s="5">
        <v>0</v>
      </c>
      <c r="E113">
        <v>0</v>
      </c>
      <c r="H113" s="3"/>
      <c r="I113" s="3"/>
    </row>
    <row r="114" spans="1:9" x14ac:dyDescent="0.35">
      <c r="A114" s="1">
        <v>112</v>
      </c>
      <c r="B114" t="s">
        <v>3</v>
      </c>
      <c r="C114" s="3" t="s">
        <v>166</v>
      </c>
      <c r="D114" s="5">
        <v>0</v>
      </c>
      <c r="E114">
        <v>0</v>
      </c>
      <c r="H114" s="3"/>
      <c r="I114" s="3"/>
    </row>
    <row r="115" spans="1:9" x14ac:dyDescent="0.35">
      <c r="A115" s="1">
        <v>113</v>
      </c>
      <c r="B115" t="s">
        <v>3</v>
      </c>
      <c r="C115" s="3" t="s">
        <v>46</v>
      </c>
      <c r="D115" s="5">
        <v>375739.51248100732</v>
      </c>
      <c r="E115">
        <v>0.89168477471547403</v>
      </c>
      <c r="H115" s="3"/>
      <c r="I115" s="3"/>
    </row>
    <row r="116" spans="1:9" x14ac:dyDescent="0.35">
      <c r="A116" s="1">
        <v>114</v>
      </c>
      <c r="B116" t="s">
        <v>3</v>
      </c>
      <c r="C116" s="3" t="s">
        <v>189</v>
      </c>
      <c r="D116" s="5">
        <v>0</v>
      </c>
      <c r="E116">
        <v>0</v>
      </c>
      <c r="H116" s="3"/>
      <c r="I116" s="3"/>
    </row>
    <row r="117" spans="1:9" x14ac:dyDescent="0.35">
      <c r="A117" s="1">
        <v>115</v>
      </c>
      <c r="B117" t="s">
        <v>3</v>
      </c>
      <c r="C117" s="3" t="s">
        <v>57</v>
      </c>
      <c r="D117" s="5">
        <v>158153.15305077279</v>
      </c>
      <c r="E117">
        <v>0.31604121073398189</v>
      </c>
      <c r="H117" s="3"/>
      <c r="I117" s="3"/>
    </row>
    <row r="118" spans="1:9" x14ac:dyDescent="0.35">
      <c r="A118" s="1">
        <v>116</v>
      </c>
      <c r="B118" t="s">
        <v>3</v>
      </c>
      <c r="C118" s="3" t="s">
        <v>55</v>
      </c>
      <c r="D118" s="5">
        <v>209514.51681471179</v>
      </c>
      <c r="E118">
        <v>0.82638455897871399</v>
      </c>
      <c r="H118" s="3"/>
      <c r="I118" s="3"/>
    </row>
    <row r="119" spans="1:9" x14ac:dyDescent="0.35">
      <c r="A119" s="1">
        <v>117</v>
      </c>
      <c r="B119" t="s">
        <v>3</v>
      </c>
      <c r="C119" s="3" t="s">
        <v>64</v>
      </c>
      <c r="D119" s="5">
        <v>357542.03265889653</v>
      </c>
      <c r="E119">
        <v>0.92647871334075271</v>
      </c>
      <c r="H119" s="3"/>
      <c r="I119" s="3"/>
    </row>
    <row r="120" spans="1:9" x14ac:dyDescent="0.35">
      <c r="A120" s="1">
        <v>118</v>
      </c>
      <c r="B120" t="s">
        <v>3</v>
      </c>
      <c r="C120" s="3" t="s">
        <v>62</v>
      </c>
      <c r="D120" s="5">
        <v>36490.417710000002</v>
      </c>
      <c r="E120">
        <v>0.93373637947799393</v>
      </c>
      <c r="H120" s="3"/>
      <c r="I120" s="3"/>
    </row>
    <row r="121" spans="1:9" x14ac:dyDescent="0.35">
      <c r="A121" s="1">
        <v>119</v>
      </c>
      <c r="B121" t="s">
        <v>3</v>
      </c>
      <c r="C121" s="3" t="s">
        <v>393</v>
      </c>
      <c r="D121" s="5">
        <v>11669.450833333331</v>
      </c>
      <c r="E121">
        <v>0.2654259259259259</v>
      </c>
      <c r="H121" s="3"/>
      <c r="I121" s="3"/>
    </row>
    <row r="122" spans="1:9" x14ac:dyDescent="0.35">
      <c r="A122" s="1">
        <v>120</v>
      </c>
      <c r="B122" t="s">
        <v>3</v>
      </c>
      <c r="C122" s="3" t="s">
        <v>387</v>
      </c>
      <c r="D122" s="5">
        <v>0</v>
      </c>
      <c r="E122">
        <v>0</v>
      </c>
      <c r="H122" s="3"/>
      <c r="I122" s="3"/>
    </row>
    <row r="123" spans="1:9" x14ac:dyDescent="0.35">
      <c r="A123" s="1">
        <v>121</v>
      </c>
      <c r="B123" t="s">
        <v>3</v>
      </c>
      <c r="C123" s="3" t="s">
        <v>392</v>
      </c>
      <c r="D123" s="5">
        <v>11108.459480847619</v>
      </c>
      <c r="E123">
        <v>0.75799791749216139</v>
      </c>
      <c r="H123" s="3"/>
      <c r="I123" s="3"/>
    </row>
    <row r="124" spans="1:9" x14ac:dyDescent="0.35">
      <c r="A124" s="1">
        <v>122</v>
      </c>
      <c r="B124" t="s">
        <v>3</v>
      </c>
      <c r="C124" s="3" t="s">
        <v>56</v>
      </c>
      <c r="D124" s="5">
        <v>139365.0872146152</v>
      </c>
      <c r="E124">
        <v>0.93232643088161837</v>
      </c>
      <c r="H124" s="3"/>
      <c r="I124" s="3"/>
    </row>
    <row r="125" spans="1:9" x14ac:dyDescent="0.35">
      <c r="A125" s="1">
        <v>123</v>
      </c>
      <c r="B125" t="s">
        <v>3</v>
      </c>
      <c r="C125" s="3" t="s">
        <v>58</v>
      </c>
      <c r="D125">
        <v>162993.22167908089</v>
      </c>
      <c r="E125">
        <v>0.2486293875059008</v>
      </c>
      <c r="H125" s="3"/>
      <c r="I125" s="3"/>
    </row>
    <row r="126" spans="1:9" x14ac:dyDescent="0.35">
      <c r="A126" s="1">
        <v>124</v>
      </c>
      <c r="B126" t="s">
        <v>3</v>
      </c>
      <c r="C126" s="3" t="s">
        <v>59</v>
      </c>
      <c r="D126" s="5">
        <v>25402</v>
      </c>
      <c r="E126">
        <v>1</v>
      </c>
      <c r="H126" s="3"/>
      <c r="I126" s="3"/>
    </row>
    <row r="127" spans="1:9" x14ac:dyDescent="0.35">
      <c r="A127" s="1">
        <v>125</v>
      </c>
      <c r="B127" t="s">
        <v>3</v>
      </c>
      <c r="C127" s="3" t="s">
        <v>61</v>
      </c>
      <c r="D127" s="5">
        <v>90625.036269031407</v>
      </c>
      <c r="E127">
        <v>0.19284507555061939</v>
      </c>
      <c r="H127" s="3"/>
      <c r="I127" s="3"/>
    </row>
    <row r="128" spans="1:9" x14ac:dyDescent="0.35">
      <c r="A128" s="1">
        <v>126</v>
      </c>
      <c r="B128" t="s">
        <v>3</v>
      </c>
      <c r="C128" s="3" t="s">
        <v>388</v>
      </c>
      <c r="D128">
        <v>183773.7</v>
      </c>
      <c r="E128">
        <v>1</v>
      </c>
      <c r="H128" s="3"/>
      <c r="I128" s="3"/>
    </row>
    <row r="129" spans="1:9" x14ac:dyDescent="0.35">
      <c r="A129" s="1">
        <v>127</v>
      </c>
      <c r="B129" t="s">
        <v>3</v>
      </c>
      <c r="C129" s="3" t="s">
        <v>394</v>
      </c>
      <c r="D129" s="5">
        <v>0</v>
      </c>
      <c r="E129">
        <v>0</v>
      </c>
      <c r="H129" s="3"/>
      <c r="I129" s="3"/>
    </row>
    <row r="130" spans="1:9" x14ac:dyDescent="0.35">
      <c r="A130" s="1">
        <v>128</v>
      </c>
      <c r="B130" t="s">
        <v>3</v>
      </c>
      <c r="C130" s="3" t="s">
        <v>60</v>
      </c>
      <c r="D130" s="5">
        <v>81091</v>
      </c>
      <c r="E130">
        <v>0.99999999999999978</v>
      </c>
      <c r="H130" s="3"/>
      <c r="I130" s="3"/>
    </row>
    <row r="131" spans="1:9" x14ac:dyDescent="0.35">
      <c r="A131" s="1">
        <v>129</v>
      </c>
      <c r="B131" t="s">
        <v>3</v>
      </c>
      <c r="C131" s="3" t="s">
        <v>65</v>
      </c>
      <c r="D131" s="5">
        <v>43774.399641264652</v>
      </c>
      <c r="E131">
        <v>0.58953832410257845</v>
      </c>
      <c r="H131" s="3"/>
      <c r="I131" s="3"/>
    </row>
    <row r="132" spans="1:9" x14ac:dyDescent="0.35">
      <c r="A132" s="1">
        <v>130</v>
      </c>
      <c r="B132" t="s">
        <v>3</v>
      </c>
      <c r="C132" s="3" t="s">
        <v>54</v>
      </c>
      <c r="D132">
        <v>122125</v>
      </c>
      <c r="E132">
        <v>1</v>
      </c>
      <c r="H132" s="3"/>
      <c r="I132" s="3"/>
    </row>
    <row r="133" spans="1:9" x14ac:dyDescent="0.35">
      <c r="A133" s="1">
        <v>131</v>
      </c>
      <c r="B133" t="s">
        <v>3</v>
      </c>
      <c r="C133" s="3" t="s">
        <v>63</v>
      </c>
      <c r="D133" s="5">
        <v>0</v>
      </c>
      <c r="E133">
        <v>0</v>
      </c>
      <c r="H133" s="3"/>
      <c r="I133" s="3"/>
    </row>
    <row r="134" spans="1:9" x14ac:dyDescent="0.35">
      <c r="A134" s="1">
        <v>132</v>
      </c>
      <c r="B134" t="s">
        <v>3</v>
      </c>
      <c r="C134" s="3" t="s">
        <v>69</v>
      </c>
      <c r="D134" s="5">
        <v>99377.293947232887</v>
      </c>
      <c r="E134">
        <v>9.9377294046610175E-5</v>
      </c>
      <c r="H134" s="3"/>
      <c r="I134" s="3"/>
    </row>
    <row r="135" spans="1:9" x14ac:dyDescent="0.35">
      <c r="A135" s="1">
        <v>133</v>
      </c>
      <c r="B135" t="s">
        <v>3</v>
      </c>
      <c r="C135" s="3" t="s">
        <v>70</v>
      </c>
      <c r="D135" s="5">
        <v>1489880.99670054</v>
      </c>
      <c r="E135">
        <v>1.489880998190421E-3</v>
      </c>
      <c r="H135" s="3"/>
      <c r="I135" s="3"/>
    </row>
    <row r="136" spans="1:9" x14ac:dyDescent="0.35">
      <c r="A136" s="1">
        <v>134</v>
      </c>
      <c r="B136" t="s">
        <v>3</v>
      </c>
      <c r="C136" s="3" t="s">
        <v>213</v>
      </c>
      <c r="D136" s="5">
        <v>0</v>
      </c>
      <c r="E136">
        <v>0</v>
      </c>
      <c r="H136" s="3"/>
      <c r="I136" s="3"/>
    </row>
    <row r="137" spans="1:9" x14ac:dyDescent="0.35">
      <c r="A137" s="1">
        <v>135</v>
      </c>
      <c r="B137" t="s">
        <v>3</v>
      </c>
      <c r="C137" s="3" t="s">
        <v>67</v>
      </c>
      <c r="D137" s="5">
        <v>488874.32838911802</v>
      </c>
      <c r="E137">
        <v>4.8887432887799226E-4</v>
      </c>
      <c r="H137" s="3"/>
      <c r="I137" s="3"/>
    </row>
    <row r="138" spans="1:9" x14ac:dyDescent="0.35">
      <c r="A138" s="1">
        <v>136</v>
      </c>
      <c r="B138" t="s">
        <v>3</v>
      </c>
      <c r="C138" s="3" t="s">
        <v>68</v>
      </c>
      <c r="D138" s="5">
        <v>1036775.1747611969</v>
      </c>
      <c r="E138">
        <v>1.0367751757979721E-3</v>
      </c>
      <c r="H138" s="3"/>
      <c r="I138" s="3"/>
    </row>
    <row r="139" spans="1:9" x14ac:dyDescent="0.35">
      <c r="A139" s="1">
        <v>137</v>
      </c>
      <c r="B139" t="s">
        <v>3</v>
      </c>
      <c r="C139" s="3" t="s">
        <v>212</v>
      </c>
      <c r="D139" s="5">
        <v>28762.640962058911</v>
      </c>
      <c r="E139">
        <v>2.8762640990821551E-5</v>
      </c>
      <c r="H139" s="3"/>
      <c r="I139" s="3"/>
    </row>
    <row r="140" spans="1:9" x14ac:dyDescent="0.35">
      <c r="A140" s="1">
        <v>138</v>
      </c>
      <c r="B140" t="s">
        <v>3</v>
      </c>
      <c r="C140" s="3" t="s">
        <v>66</v>
      </c>
      <c r="D140">
        <v>303112.47827525338</v>
      </c>
      <c r="E140">
        <v>3.0311247857836592E-4</v>
      </c>
      <c r="H140" s="3"/>
      <c r="I140" s="3"/>
    </row>
    <row r="141" spans="1:9" x14ac:dyDescent="0.35">
      <c r="A141" s="1">
        <v>139</v>
      </c>
      <c r="B141" t="s">
        <v>3</v>
      </c>
      <c r="C141" s="3" t="s">
        <v>75</v>
      </c>
      <c r="D141">
        <v>1454063.9768085009</v>
      </c>
      <c r="E141">
        <v>1.4540639782625649E-3</v>
      </c>
      <c r="H141" s="3"/>
      <c r="I141" s="3"/>
    </row>
    <row r="142" spans="1:9" x14ac:dyDescent="0.35">
      <c r="A142" s="1">
        <v>140</v>
      </c>
      <c r="B142" t="s">
        <v>3</v>
      </c>
      <c r="C142" s="3" t="s">
        <v>78</v>
      </c>
      <c r="D142">
        <v>525837.83202316845</v>
      </c>
      <c r="E142">
        <v>5.2583783254900633E-4</v>
      </c>
      <c r="H142" s="3"/>
      <c r="I142" s="3"/>
    </row>
    <row r="143" spans="1:9" x14ac:dyDescent="0.35">
      <c r="A143" s="1">
        <v>141</v>
      </c>
      <c r="B143" t="s">
        <v>3</v>
      </c>
      <c r="C143" s="3" t="s">
        <v>458</v>
      </c>
      <c r="D143">
        <v>0</v>
      </c>
      <c r="E143">
        <v>0</v>
      </c>
      <c r="H143" s="3"/>
      <c r="I143" s="3"/>
    </row>
    <row r="144" spans="1:9" x14ac:dyDescent="0.35">
      <c r="A144" s="1">
        <v>142</v>
      </c>
      <c r="B144" t="s">
        <v>3</v>
      </c>
      <c r="C144" s="3" t="s">
        <v>71</v>
      </c>
      <c r="D144" s="5">
        <v>102483.8928797409</v>
      </c>
      <c r="E144">
        <v>1.024838929822248E-4</v>
      </c>
      <c r="H144" s="3"/>
      <c r="I144" s="3"/>
    </row>
    <row r="145" spans="1:9" x14ac:dyDescent="0.35">
      <c r="A145" s="1">
        <v>143</v>
      </c>
      <c r="B145" t="s">
        <v>3</v>
      </c>
      <c r="C145" s="3" t="s">
        <v>77</v>
      </c>
      <c r="D145">
        <v>1318825.7609406009</v>
      </c>
      <c r="E145">
        <v>1.3188257622594271E-3</v>
      </c>
      <c r="H145" s="3"/>
      <c r="I145" s="3"/>
    </row>
    <row r="146" spans="1:9" x14ac:dyDescent="0.35">
      <c r="A146" s="1">
        <v>144</v>
      </c>
      <c r="B146" t="s">
        <v>3</v>
      </c>
      <c r="C146" s="3" t="s">
        <v>73</v>
      </c>
      <c r="D146">
        <v>292335.82209085289</v>
      </c>
      <c r="E146">
        <v>2.923358223831888E-4</v>
      </c>
      <c r="H146" s="3"/>
      <c r="I146" s="3"/>
    </row>
    <row r="147" spans="1:9" x14ac:dyDescent="0.35">
      <c r="A147" s="1">
        <v>145</v>
      </c>
      <c r="B147" t="s">
        <v>3</v>
      </c>
      <c r="C147" s="3" t="s">
        <v>74</v>
      </c>
      <c r="D147" s="5">
        <v>0</v>
      </c>
      <c r="E147">
        <v>0</v>
      </c>
      <c r="H147" s="3"/>
      <c r="I147" s="3"/>
    </row>
    <row r="148" spans="1:9" x14ac:dyDescent="0.35">
      <c r="A148" s="1">
        <v>146</v>
      </c>
      <c r="B148" t="s">
        <v>3</v>
      </c>
      <c r="C148" s="3" t="s">
        <v>214</v>
      </c>
      <c r="D148" s="5">
        <v>0</v>
      </c>
      <c r="E148">
        <v>0</v>
      </c>
      <c r="H148" s="3"/>
      <c r="I148" s="3"/>
    </row>
    <row r="149" spans="1:9" x14ac:dyDescent="0.35">
      <c r="A149" s="1">
        <v>147</v>
      </c>
      <c r="B149" t="s">
        <v>3</v>
      </c>
      <c r="C149" s="3" t="s">
        <v>72</v>
      </c>
      <c r="D149">
        <v>764279.93870664702</v>
      </c>
      <c r="E149">
        <v>7.6427993947092692E-4</v>
      </c>
      <c r="H149" s="3"/>
      <c r="I149" s="3"/>
    </row>
    <row r="150" spans="1:9" x14ac:dyDescent="0.35">
      <c r="A150" s="1">
        <v>148</v>
      </c>
      <c r="B150" t="s">
        <v>3</v>
      </c>
      <c r="C150" s="3" t="s">
        <v>76</v>
      </c>
      <c r="D150" s="5">
        <v>622583.16493844218</v>
      </c>
      <c r="E150">
        <v>6.225831655610253E-4</v>
      </c>
      <c r="H150" s="3"/>
      <c r="I150" s="3"/>
    </row>
    <row r="151" spans="1:9" x14ac:dyDescent="0.35">
      <c r="A151" s="1">
        <v>149</v>
      </c>
      <c r="B151" t="s">
        <v>3</v>
      </c>
      <c r="C151" s="3" t="s">
        <v>220</v>
      </c>
      <c r="D151" s="5">
        <v>0</v>
      </c>
      <c r="E151">
        <v>0</v>
      </c>
      <c r="H151" s="3"/>
      <c r="I151" s="3"/>
    </row>
    <row r="152" spans="1:9" x14ac:dyDescent="0.35">
      <c r="A152" s="1">
        <v>150</v>
      </c>
      <c r="B152" t="s">
        <v>3</v>
      </c>
      <c r="C152" s="3" t="s">
        <v>216</v>
      </c>
      <c r="D152" s="5">
        <v>0</v>
      </c>
      <c r="E152">
        <v>0</v>
      </c>
      <c r="H152" s="3"/>
      <c r="I152" s="3"/>
    </row>
    <row r="153" spans="1:9" x14ac:dyDescent="0.35">
      <c r="A153" s="1">
        <v>151</v>
      </c>
      <c r="B153" t="s">
        <v>3</v>
      </c>
      <c r="C153" s="3" t="s">
        <v>219</v>
      </c>
      <c r="D153">
        <v>0</v>
      </c>
      <c r="E153">
        <v>0</v>
      </c>
      <c r="H153" s="3"/>
      <c r="I153" s="3"/>
    </row>
    <row r="154" spans="1:9" x14ac:dyDescent="0.35">
      <c r="A154" s="1">
        <v>152</v>
      </c>
      <c r="B154" t="s">
        <v>3</v>
      </c>
      <c r="C154" s="3" t="s">
        <v>218</v>
      </c>
      <c r="D154" s="5">
        <v>0</v>
      </c>
      <c r="E154">
        <v>0</v>
      </c>
      <c r="H154" s="3"/>
      <c r="I154" s="3"/>
    </row>
    <row r="155" spans="1:9" x14ac:dyDescent="0.35">
      <c r="A155" s="1">
        <v>153</v>
      </c>
      <c r="B155" t="s">
        <v>3</v>
      </c>
      <c r="C155" s="3" t="s">
        <v>82</v>
      </c>
      <c r="D155">
        <v>371260</v>
      </c>
      <c r="E155">
        <v>1</v>
      </c>
      <c r="H155" s="3"/>
      <c r="I155" s="3"/>
    </row>
    <row r="156" spans="1:9" x14ac:dyDescent="0.35">
      <c r="A156" s="1">
        <v>154</v>
      </c>
      <c r="B156" t="s">
        <v>3</v>
      </c>
      <c r="C156" s="3" t="s">
        <v>217</v>
      </c>
      <c r="D156">
        <v>0</v>
      </c>
      <c r="E156">
        <v>0</v>
      </c>
      <c r="H156" s="3"/>
      <c r="I156" s="3"/>
    </row>
    <row r="157" spans="1:9" x14ac:dyDescent="0.35">
      <c r="A157" s="1">
        <v>155</v>
      </c>
      <c r="B157" t="s">
        <v>3</v>
      </c>
      <c r="C157" s="3" t="s">
        <v>80</v>
      </c>
      <c r="D157">
        <v>305882.06813020923</v>
      </c>
      <c r="E157">
        <v>0.86967493497728121</v>
      </c>
      <c r="H157" s="3"/>
      <c r="I157" s="3"/>
    </row>
    <row r="158" spans="1:9" x14ac:dyDescent="0.35">
      <c r="A158" s="1">
        <v>156</v>
      </c>
      <c r="B158" t="s">
        <v>3</v>
      </c>
      <c r="C158" s="3" t="s">
        <v>79</v>
      </c>
      <c r="D158">
        <v>17468.613377422091</v>
      </c>
      <c r="E158">
        <v>5.4017673491581583E-2</v>
      </c>
      <c r="H158" s="3"/>
      <c r="I158" s="3"/>
    </row>
    <row r="159" spans="1:9" x14ac:dyDescent="0.35">
      <c r="A159" s="1">
        <v>157</v>
      </c>
      <c r="B159" t="s">
        <v>3</v>
      </c>
      <c r="C159" s="3" t="s">
        <v>83</v>
      </c>
      <c r="D159">
        <v>293099.99999999988</v>
      </c>
      <c r="E159">
        <v>1</v>
      </c>
      <c r="H159" s="3"/>
      <c r="I159" s="3"/>
    </row>
    <row r="160" spans="1:9" x14ac:dyDescent="0.35">
      <c r="A160" s="1">
        <v>158</v>
      </c>
      <c r="B160" t="s">
        <v>3</v>
      </c>
      <c r="C160" s="3" t="s">
        <v>215</v>
      </c>
      <c r="D160">
        <v>0</v>
      </c>
      <c r="E160">
        <v>0</v>
      </c>
      <c r="H160" s="3"/>
      <c r="I160" s="3"/>
    </row>
    <row r="161" spans="1:9" x14ac:dyDescent="0.35">
      <c r="A161" s="1">
        <v>159</v>
      </c>
      <c r="B161" t="s">
        <v>3</v>
      </c>
      <c r="C161" s="3" t="s">
        <v>81</v>
      </c>
      <c r="D161" s="5">
        <v>0</v>
      </c>
      <c r="E161">
        <v>0</v>
      </c>
      <c r="H161" s="3"/>
      <c r="I161" s="3"/>
    </row>
    <row r="162" spans="1:9" x14ac:dyDescent="0.35">
      <c r="A162" s="1">
        <v>160</v>
      </c>
      <c r="B162" t="s">
        <v>3</v>
      </c>
      <c r="C162" s="3" t="s">
        <v>263</v>
      </c>
      <c r="D162">
        <v>0</v>
      </c>
      <c r="E162">
        <v>0</v>
      </c>
      <c r="H162" s="3"/>
      <c r="I162" s="3"/>
    </row>
    <row r="163" spans="1:9" x14ac:dyDescent="0.35">
      <c r="A163" s="1">
        <v>161</v>
      </c>
      <c r="B163" t="s">
        <v>3</v>
      </c>
      <c r="C163" s="3" t="s">
        <v>262</v>
      </c>
      <c r="D163">
        <v>0</v>
      </c>
      <c r="E163">
        <v>0</v>
      </c>
      <c r="H163" s="3"/>
      <c r="I163" s="3"/>
    </row>
    <row r="164" spans="1:9" x14ac:dyDescent="0.35">
      <c r="A164" s="1">
        <v>162</v>
      </c>
      <c r="B164" t="s">
        <v>3</v>
      </c>
      <c r="C164" s="3" t="s">
        <v>315</v>
      </c>
      <c r="D164">
        <v>0</v>
      </c>
      <c r="E164">
        <v>0</v>
      </c>
      <c r="H164" s="3"/>
      <c r="I164" s="3"/>
    </row>
    <row r="165" spans="1:9" x14ac:dyDescent="0.35">
      <c r="A165" s="1">
        <v>163</v>
      </c>
      <c r="B165" t="s">
        <v>3</v>
      </c>
      <c r="C165" s="3" t="s">
        <v>435</v>
      </c>
      <c r="D165">
        <v>0</v>
      </c>
      <c r="E165">
        <v>0</v>
      </c>
      <c r="H165" s="3"/>
      <c r="I165" s="3"/>
    </row>
    <row r="166" spans="1:9" x14ac:dyDescent="0.35">
      <c r="A166" s="1">
        <v>164</v>
      </c>
      <c r="B166" t="s">
        <v>3</v>
      </c>
      <c r="C166" s="3" t="s">
        <v>354</v>
      </c>
      <c r="D166">
        <v>414192.00982275419</v>
      </c>
      <c r="E166">
        <v>4.1419201023694619E-4</v>
      </c>
      <c r="H166" s="3"/>
      <c r="I166" s="3"/>
    </row>
    <row r="167" spans="1:9" x14ac:dyDescent="0.35">
      <c r="A167" s="1">
        <v>165</v>
      </c>
      <c r="B167" t="s">
        <v>3</v>
      </c>
      <c r="C167" s="3" t="s">
        <v>264</v>
      </c>
      <c r="D167">
        <v>0</v>
      </c>
      <c r="E167">
        <v>0</v>
      </c>
      <c r="H167" s="3"/>
      <c r="I167" s="3"/>
    </row>
    <row r="168" spans="1:9" x14ac:dyDescent="0.35">
      <c r="A168" s="1">
        <v>166</v>
      </c>
      <c r="B168" t="s">
        <v>3</v>
      </c>
      <c r="C168" s="3" t="s">
        <v>441</v>
      </c>
      <c r="D168">
        <v>0</v>
      </c>
      <c r="E168">
        <v>0</v>
      </c>
      <c r="H168" s="3"/>
      <c r="I168" s="3"/>
    </row>
    <row r="169" spans="1:9" x14ac:dyDescent="0.35">
      <c r="A169" s="1">
        <v>167</v>
      </c>
      <c r="B169" t="s">
        <v>3</v>
      </c>
      <c r="C169" s="3" t="s">
        <v>447</v>
      </c>
      <c r="D169">
        <v>0</v>
      </c>
      <c r="E169">
        <v>0</v>
      </c>
      <c r="H169" s="3"/>
      <c r="I169" s="3"/>
    </row>
    <row r="170" spans="1:9" x14ac:dyDescent="0.35">
      <c r="A170" s="1">
        <v>168</v>
      </c>
      <c r="B170" t="s">
        <v>3</v>
      </c>
      <c r="C170" s="3" t="s">
        <v>278</v>
      </c>
      <c r="D170">
        <v>0</v>
      </c>
      <c r="E170">
        <v>0</v>
      </c>
      <c r="H170" s="3"/>
      <c r="I170" s="3"/>
    </row>
    <row r="171" spans="1:9" x14ac:dyDescent="0.35">
      <c r="A171" s="1">
        <v>169</v>
      </c>
      <c r="B171" t="s">
        <v>3</v>
      </c>
      <c r="C171" s="3" t="s">
        <v>312</v>
      </c>
      <c r="D171">
        <v>0</v>
      </c>
      <c r="E171">
        <v>0</v>
      </c>
      <c r="H171" s="3"/>
      <c r="I171" s="3"/>
    </row>
    <row r="172" spans="1:9" x14ac:dyDescent="0.35">
      <c r="A172" s="1">
        <v>170</v>
      </c>
      <c r="B172" t="s">
        <v>3</v>
      </c>
      <c r="C172" s="3" t="s">
        <v>270</v>
      </c>
      <c r="D172">
        <v>0</v>
      </c>
      <c r="E172">
        <v>0</v>
      </c>
      <c r="H172" s="3"/>
      <c r="I172" s="3"/>
    </row>
    <row r="173" spans="1:9" x14ac:dyDescent="0.35">
      <c r="A173" s="1">
        <v>171</v>
      </c>
      <c r="B173" t="s">
        <v>3</v>
      </c>
      <c r="C173" s="3" t="s">
        <v>448</v>
      </c>
      <c r="D173">
        <v>0</v>
      </c>
      <c r="E173">
        <v>0</v>
      </c>
      <c r="H173" s="3"/>
      <c r="I173" s="3"/>
    </row>
    <row r="174" spans="1:9" x14ac:dyDescent="0.35">
      <c r="A174" s="1">
        <v>172</v>
      </c>
      <c r="B174" t="s">
        <v>3</v>
      </c>
      <c r="C174" s="3" t="s">
        <v>279</v>
      </c>
      <c r="D174" s="5">
        <v>0</v>
      </c>
      <c r="E174">
        <v>0</v>
      </c>
      <c r="H174" s="3"/>
      <c r="I174" s="3"/>
    </row>
    <row r="175" spans="1:9" x14ac:dyDescent="0.35">
      <c r="A175" s="1">
        <v>173</v>
      </c>
      <c r="B175" t="s">
        <v>3</v>
      </c>
      <c r="C175" s="3" t="s">
        <v>324</v>
      </c>
      <c r="D175">
        <v>0</v>
      </c>
      <c r="E175">
        <v>0</v>
      </c>
      <c r="H175" s="3"/>
      <c r="I175" s="3"/>
    </row>
    <row r="176" spans="1:9" x14ac:dyDescent="0.35">
      <c r="A176" s="1">
        <v>174</v>
      </c>
      <c r="B176" t="s">
        <v>3</v>
      </c>
      <c r="C176" s="3" t="s">
        <v>323</v>
      </c>
      <c r="D176" s="5">
        <v>0</v>
      </c>
      <c r="E176">
        <v>0</v>
      </c>
      <c r="H176" s="3"/>
      <c r="I176" s="3"/>
    </row>
    <row r="177" spans="1:9" x14ac:dyDescent="0.35">
      <c r="A177" s="1">
        <v>175</v>
      </c>
      <c r="B177" t="s">
        <v>3</v>
      </c>
      <c r="C177" s="3" t="s">
        <v>433</v>
      </c>
      <c r="D177" s="5">
        <v>0</v>
      </c>
      <c r="E177">
        <v>0</v>
      </c>
      <c r="H177" s="3"/>
      <c r="I177" s="3"/>
    </row>
    <row r="178" spans="1:9" x14ac:dyDescent="0.35">
      <c r="A178" s="1">
        <v>176</v>
      </c>
      <c r="B178" t="s">
        <v>3</v>
      </c>
      <c r="C178" s="3" t="s">
        <v>331</v>
      </c>
      <c r="D178">
        <v>0</v>
      </c>
      <c r="E178">
        <v>0</v>
      </c>
      <c r="H178" s="3"/>
      <c r="I178" s="3"/>
    </row>
    <row r="179" spans="1:9" x14ac:dyDescent="0.35">
      <c r="A179" s="1">
        <v>177</v>
      </c>
      <c r="B179" t="s">
        <v>3</v>
      </c>
      <c r="C179" s="3" t="s">
        <v>456</v>
      </c>
      <c r="D179">
        <v>0</v>
      </c>
      <c r="E179">
        <v>0</v>
      </c>
      <c r="H179" s="3"/>
      <c r="I179" s="3"/>
    </row>
    <row r="180" spans="1:9" x14ac:dyDescent="0.35">
      <c r="A180" s="1">
        <v>178</v>
      </c>
      <c r="B180" t="s">
        <v>3</v>
      </c>
      <c r="C180" s="3" t="s">
        <v>449</v>
      </c>
      <c r="D180">
        <v>0</v>
      </c>
      <c r="E180">
        <v>0</v>
      </c>
      <c r="H180" s="3"/>
      <c r="I180" s="3"/>
    </row>
    <row r="181" spans="1:9" x14ac:dyDescent="0.35">
      <c r="A181" s="1">
        <v>179</v>
      </c>
      <c r="B181" t="s">
        <v>3</v>
      </c>
      <c r="C181" s="3" t="s">
        <v>106</v>
      </c>
      <c r="D181" s="5">
        <v>622583.16493844218</v>
      </c>
      <c r="E181">
        <v>6.225831655610253E-4</v>
      </c>
      <c r="H181" s="3"/>
      <c r="I181" s="3"/>
    </row>
    <row r="182" spans="1:9" x14ac:dyDescent="0.35">
      <c r="A182" s="1">
        <v>180</v>
      </c>
      <c r="B182" t="s">
        <v>3</v>
      </c>
      <c r="C182" s="3" t="s">
        <v>383</v>
      </c>
      <c r="D182" s="5">
        <v>0</v>
      </c>
      <c r="E182">
        <v>0</v>
      </c>
      <c r="H182" s="3"/>
      <c r="I182" s="3"/>
    </row>
    <row r="183" spans="1:9" x14ac:dyDescent="0.35">
      <c r="A183" s="1">
        <v>181</v>
      </c>
      <c r="B183" t="s">
        <v>3</v>
      </c>
      <c r="C183" s="3" t="s">
        <v>266</v>
      </c>
      <c r="D183">
        <v>0</v>
      </c>
      <c r="E183">
        <v>0</v>
      </c>
      <c r="H183" s="3"/>
      <c r="I183" s="3"/>
    </row>
    <row r="184" spans="1:9" x14ac:dyDescent="0.35">
      <c r="A184" s="1">
        <v>182</v>
      </c>
      <c r="B184" t="s">
        <v>3</v>
      </c>
      <c r="C184" s="3" t="s">
        <v>99</v>
      </c>
      <c r="D184">
        <v>0</v>
      </c>
      <c r="E184">
        <v>0</v>
      </c>
      <c r="H184" s="3"/>
      <c r="I184" s="3"/>
    </row>
    <row r="185" spans="1:9" x14ac:dyDescent="0.35">
      <c r="A185" s="1">
        <v>183</v>
      </c>
      <c r="B185" t="s">
        <v>3</v>
      </c>
      <c r="C185" s="3" t="s">
        <v>288</v>
      </c>
      <c r="D185">
        <v>0</v>
      </c>
      <c r="E185">
        <v>0</v>
      </c>
      <c r="H185" s="3"/>
      <c r="I185" s="3"/>
    </row>
    <row r="186" spans="1:9" x14ac:dyDescent="0.35">
      <c r="A186" s="1">
        <v>184</v>
      </c>
      <c r="B186" t="s">
        <v>3</v>
      </c>
      <c r="C186" s="3" t="s">
        <v>450</v>
      </c>
      <c r="D186">
        <v>0</v>
      </c>
      <c r="E186">
        <v>0</v>
      </c>
      <c r="H186" s="3"/>
      <c r="I186" s="3"/>
    </row>
    <row r="187" spans="1:9" x14ac:dyDescent="0.35">
      <c r="A187" s="1">
        <v>185</v>
      </c>
      <c r="B187" t="s">
        <v>3</v>
      </c>
      <c r="C187" s="3" t="s">
        <v>311</v>
      </c>
      <c r="D187">
        <v>28762.640962058911</v>
      </c>
      <c r="E187">
        <v>2.8762640990821551E-5</v>
      </c>
      <c r="H187" s="3"/>
      <c r="I187" s="3"/>
    </row>
    <row r="188" spans="1:9" x14ac:dyDescent="0.35">
      <c r="A188" s="1">
        <v>186</v>
      </c>
      <c r="B188" t="s">
        <v>3</v>
      </c>
      <c r="C188" s="3" t="s">
        <v>321</v>
      </c>
      <c r="D188">
        <v>0</v>
      </c>
      <c r="E188">
        <v>0</v>
      </c>
      <c r="H188" s="3"/>
      <c r="I188" s="3"/>
    </row>
    <row r="189" spans="1:9" x14ac:dyDescent="0.35">
      <c r="A189" s="1">
        <v>187</v>
      </c>
      <c r="B189" t="s">
        <v>3</v>
      </c>
      <c r="C189" s="3" t="s">
        <v>233</v>
      </c>
      <c r="D189">
        <v>0</v>
      </c>
      <c r="E189">
        <v>0</v>
      </c>
      <c r="H189" s="3"/>
      <c r="I189" s="3"/>
    </row>
    <row r="190" spans="1:9" x14ac:dyDescent="0.35">
      <c r="A190" s="1">
        <v>188</v>
      </c>
      <c r="B190" t="s">
        <v>3</v>
      </c>
      <c r="C190" s="3" t="s">
        <v>96</v>
      </c>
      <c r="D190">
        <v>0</v>
      </c>
      <c r="E190">
        <v>0</v>
      </c>
      <c r="H190" s="3"/>
      <c r="I190" s="3"/>
    </row>
    <row r="191" spans="1:9" x14ac:dyDescent="0.35">
      <c r="A191" s="1">
        <v>189</v>
      </c>
      <c r="B191" t="s">
        <v>3</v>
      </c>
      <c r="C191" s="3" t="s">
        <v>416</v>
      </c>
      <c r="D191">
        <v>0</v>
      </c>
      <c r="E191">
        <v>0</v>
      </c>
      <c r="H191" s="3"/>
      <c r="I191" s="3"/>
    </row>
    <row r="192" spans="1:9" x14ac:dyDescent="0.35">
      <c r="A192" s="1">
        <v>190</v>
      </c>
      <c r="B192" t="s">
        <v>3</v>
      </c>
      <c r="C192" s="3" t="s">
        <v>287</v>
      </c>
      <c r="D192">
        <v>0</v>
      </c>
      <c r="E192">
        <v>0</v>
      </c>
      <c r="H192" s="3"/>
      <c r="I192" s="3"/>
    </row>
    <row r="193" spans="1:9" x14ac:dyDescent="0.35">
      <c r="A193" s="1">
        <v>191</v>
      </c>
      <c r="B193" t="s">
        <v>3</v>
      </c>
      <c r="C193" s="3" t="s">
        <v>274</v>
      </c>
      <c r="D193" s="5">
        <v>0</v>
      </c>
      <c r="E193">
        <v>0</v>
      </c>
      <c r="H193" s="3"/>
      <c r="I193" s="3"/>
    </row>
    <row r="194" spans="1:9" x14ac:dyDescent="0.35">
      <c r="A194" s="1">
        <v>192</v>
      </c>
      <c r="B194" t="s">
        <v>3</v>
      </c>
      <c r="C194" s="3" t="s">
        <v>291</v>
      </c>
      <c r="D194">
        <v>0</v>
      </c>
      <c r="E194">
        <v>0</v>
      </c>
      <c r="H194" s="3"/>
      <c r="I194" s="3"/>
    </row>
    <row r="195" spans="1:9" x14ac:dyDescent="0.35">
      <c r="A195" s="1">
        <v>193</v>
      </c>
      <c r="B195" t="s">
        <v>3</v>
      </c>
      <c r="C195" s="3" t="s">
        <v>426</v>
      </c>
      <c r="D195" s="5">
        <v>0</v>
      </c>
      <c r="E195">
        <v>0</v>
      </c>
      <c r="H195" s="3"/>
      <c r="I195" s="3"/>
    </row>
    <row r="196" spans="1:9" x14ac:dyDescent="0.35">
      <c r="A196" s="1">
        <v>194</v>
      </c>
      <c r="B196" t="s">
        <v>3</v>
      </c>
      <c r="C196" s="3" t="s">
        <v>459</v>
      </c>
      <c r="D196">
        <v>0</v>
      </c>
      <c r="E196">
        <v>0</v>
      </c>
      <c r="H196" s="3"/>
      <c r="I196" s="3"/>
    </row>
    <row r="197" spans="1:9" x14ac:dyDescent="0.35">
      <c r="A197" s="1">
        <v>195</v>
      </c>
      <c r="B197" t="s">
        <v>3</v>
      </c>
      <c r="C197" s="3" t="s">
        <v>252</v>
      </c>
      <c r="D197">
        <v>0</v>
      </c>
      <c r="E197">
        <v>0</v>
      </c>
      <c r="H197" s="3"/>
      <c r="I197" s="3"/>
    </row>
    <row r="198" spans="1:9" x14ac:dyDescent="0.35">
      <c r="A198" s="1">
        <v>196</v>
      </c>
      <c r="B198" t="s">
        <v>3</v>
      </c>
      <c r="C198" s="3" t="s">
        <v>299</v>
      </c>
      <c r="D198">
        <v>0</v>
      </c>
      <c r="E198">
        <v>0</v>
      </c>
      <c r="H198" s="3"/>
      <c r="I198" s="3"/>
    </row>
    <row r="199" spans="1:9" x14ac:dyDescent="0.35">
      <c r="A199" s="1">
        <v>197</v>
      </c>
      <c r="B199" t="s">
        <v>3</v>
      </c>
      <c r="C199" s="3" t="s">
        <v>336</v>
      </c>
      <c r="D199">
        <v>0</v>
      </c>
      <c r="E199">
        <v>0</v>
      </c>
      <c r="H199" s="3"/>
      <c r="I199" s="3"/>
    </row>
    <row r="200" spans="1:9" x14ac:dyDescent="0.35">
      <c r="A200" s="1">
        <v>198</v>
      </c>
      <c r="B200" t="s">
        <v>3</v>
      </c>
      <c r="C200" s="3" t="s">
        <v>313</v>
      </c>
      <c r="D200">
        <v>0</v>
      </c>
      <c r="E200">
        <v>0</v>
      </c>
      <c r="H200" s="3"/>
      <c r="I200" s="3"/>
    </row>
    <row r="201" spans="1:9" x14ac:dyDescent="0.35">
      <c r="A201" s="1">
        <v>199</v>
      </c>
      <c r="B201" t="s">
        <v>3</v>
      </c>
      <c r="C201" s="3" t="s">
        <v>356</v>
      </c>
      <c r="D201">
        <v>43774.399641264652</v>
      </c>
      <c r="E201">
        <v>4.3774399685039051E-5</v>
      </c>
      <c r="H201" s="3"/>
      <c r="I201" s="3"/>
    </row>
    <row r="202" spans="1:9" x14ac:dyDescent="0.35">
      <c r="A202" s="1">
        <v>200</v>
      </c>
      <c r="B202" t="s">
        <v>3</v>
      </c>
      <c r="C202" s="3" t="s">
        <v>293</v>
      </c>
      <c r="D202">
        <v>0</v>
      </c>
      <c r="E202">
        <v>0</v>
      </c>
      <c r="H202" s="3"/>
      <c r="I202" s="3"/>
    </row>
    <row r="203" spans="1:9" x14ac:dyDescent="0.35">
      <c r="A203" s="1">
        <v>201</v>
      </c>
      <c r="B203" t="s">
        <v>3</v>
      </c>
      <c r="C203" s="3" t="s">
        <v>344</v>
      </c>
      <c r="D203">
        <v>0</v>
      </c>
      <c r="E203">
        <v>0</v>
      </c>
      <c r="H203" s="3"/>
      <c r="I203" s="3"/>
    </row>
    <row r="204" spans="1:9" x14ac:dyDescent="0.35">
      <c r="A204" s="1">
        <v>202</v>
      </c>
      <c r="B204" t="s">
        <v>3</v>
      </c>
      <c r="C204" s="3" t="s">
        <v>429</v>
      </c>
      <c r="D204">
        <v>0</v>
      </c>
      <c r="E204">
        <v>0</v>
      </c>
      <c r="H204" s="3"/>
      <c r="I204" s="3"/>
    </row>
    <row r="205" spans="1:9" x14ac:dyDescent="0.35">
      <c r="A205" s="1">
        <v>203</v>
      </c>
      <c r="B205" t="s">
        <v>3</v>
      </c>
      <c r="C205" s="3" t="s">
        <v>342</v>
      </c>
      <c r="D205">
        <v>0</v>
      </c>
      <c r="E205">
        <v>0</v>
      </c>
      <c r="H205" s="3"/>
      <c r="I205" s="3"/>
    </row>
    <row r="206" spans="1:9" x14ac:dyDescent="0.35">
      <c r="A206" s="1">
        <v>204</v>
      </c>
      <c r="B206" t="s">
        <v>3</v>
      </c>
      <c r="C206" s="3" t="s">
        <v>430</v>
      </c>
      <c r="D206">
        <v>0</v>
      </c>
      <c r="E206">
        <v>0</v>
      </c>
      <c r="H206" s="3"/>
      <c r="I206" s="3"/>
    </row>
    <row r="207" spans="1:9" x14ac:dyDescent="0.35">
      <c r="A207" s="1">
        <v>205</v>
      </c>
      <c r="B207" t="s">
        <v>3</v>
      </c>
      <c r="C207" s="3" t="s">
        <v>446</v>
      </c>
      <c r="D207">
        <v>0</v>
      </c>
      <c r="E207">
        <v>0</v>
      </c>
      <c r="H207" s="3"/>
      <c r="I207" s="3"/>
    </row>
    <row r="208" spans="1:9" x14ac:dyDescent="0.35">
      <c r="A208" s="1">
        <v>206</v>
      </c>
      <c r="B208" t="s">
        <v>3</v>
      </c>
      <c r="C208" s="3" t="s">
        <v>384</v>
      </c>
      <c r="D208">
        <v>0</v>
      </c>
      <c r="E208">
        <v>0</v>
      </c>
      <c r="H208" s="3"/>
      <c r="I208" s="3"/>
    </row>
    <row r="209" spans="1:9" x14ac:dyDescent="0.35">
      <c r="A209" s="1">
        <v>207</v>
      </c>
      <c r="B209" t="s">
        <v>3</v>
      </c>
      <c r="C209" s="3" t="s">
        <v>303</v>
      </c>
      <c r="D209">
        <v>0</v>
      </c>
      <c r="E209">
        <v>0</v>
      </c>
      <c r="H209" s="3"/>
      <c r="I209" s="3"/>
    </row>
    <row r="210" spans="1:9" x14ac:dyDescent="0.35">
      <c r="A210" s="1">
        <v>208</v>
      </c>
      <c r="B210" t="s">
        <v>3</v>
      </c>
      <c r="C210" s="3" t="s">
        <v>242</v>
      </c>
      <c r="D210">
        <v>209514.51681471179</v>
      </c>
      <c r="E210">
        <v>2.095145170242263E-4</v>
      </c>
      <c r="H210" s="3"/>
      <c r="I210" s="3"/>
    </row>
    <row r="211" spans="1:9" x14ac:dyDescent="0.35">
      <c r="A211" s="1">
        <v>209</v>
      </c>
      <c r="B211" t="s">
        <v>3</v>
      </c>
      <c r="C211" s="3" t="s">
        <v>261</v>
      </c>
      <c r="D211">
        <v>0</v>
      </c>
      <c r="E211">
        <v>0</v>
      </c>
      <c r="H211" s="3"/>
      <c r="I211" s="3"/>
    </row>
    <row r="212" spans="1:9" x14ac:dyDescent="0.35">
      <c r="A212" s="1">
        <v>210</v>
      </c>
      <c r="B212" t="s">
        <v>3</v>
      </c>
      <c r="C212" s="3" t="s">
        <v>460</v>
      </c>
      <c r="D212">
        <v>0</v>
      </c>
      <c r="E212">
        <v>0</v>
      </c>
      <c r="H212" s="3"/>
      <c r="I212" s="3"/>
    </row>
    <row r="213" spans="1:9" x14ac:dyDescent="0.35">
      <c r="A213" s="1">
        <v>211</v>
      </c>
      <c r="B213" t="s">
        <v>3</v>
      </c>
      <c r="C213" s="3" t="s">
        <v>461</v>
      </c>
      <c r="D213">
        <v>0</v>
      </c>
      <c r="E213">
        <v>0</v>
      </c>
      <c r="H213" s="3"/>
      <c r="I213" s="3"/>
    </row>
    <row r="214" spans="1:9" x14ac:dyDescent="0.35">
      <c r="A214" s="1">
        <v>212</v>
      </c>
      <c r="B214" t="s">
        <v>3</v>
      </c>
      <c r="C214" s="3" t="s">
        <v>89</v>
      </c>
      <c r="D214">
        <v>0</v>
      </c>
      <c r="E214">
        <v>0</v>
      </c>
      <c r="H214" s="3"/>
      <c r="I214" s="3"/>
    </row>
    <row r="215" spans="1:9" x14ac:dyDescent="0.35">
      <c r="A215" s="1">
        <v>213</v>
      </c>
      <c r="B215" t="s">
        <v>3</v>
      </c>
      <c r="C215" s="3" t="s">
        <v>343</v>
      </c>
      <c r="D215">
        <v>83884.303491416329</v>
      </c>
      <c r="E215">
        <v>8.3884303575300638E-5</v>
      </c>
      <c r="H215" s="3"/>
      <c r="I215" s="3"/>
    </row>
    <row r="216" spans="1:9" x14ac:dyDescent="0.35">
      <c r="A216" s="1">
        <v>214</v>
      </c>
      <c r="B216" t="s">
        <v>3</v>
      </c>
      <c r="C216" s="3" t="s">
        <v>338</v>
      </c>
      <c r="D216">
        <v>0</v>
      </c>
      <c r="E216">
        <v>0</v>
      </c>
      <c r="H216" s="3"/>
      <c r="I216" s="3"/>
    </row>
    <row r="217" spans="1:9" x14ac:dyDescent="0.35">
      <c r="A217" s="1">
        <v>215</v>
      </c>
      <c r="B217" t="s">
        <v>3</v>
      </c>
      <c r="C217" s="3" t="s">
        <v>361</v>
      </c>
      <c r="D217">
        <v>0</v>
      </c>
      <c r="E217">
        <v>0</v>
      </c>
      <c r="H217" s="3"/>
      <c r="I217" s="3"/>
    </row>
    <row r="218" spans="1:9" x14ac:dyDescent="0.35">
      <c r="A218" s="1">
        <v>216</v>
      </c>
      <c r="B218" t="s">
        <v>3</v>
      </c>
      <c r="C218" s="3" t="s">
        <v>276</v>
      </c>
      <c r="D218">
        <v>0</v>
      </c>
      <c r="E218">
        <v>0</v>
      </c>
      <c r="H218" s="3"/>
      <c r="I218" s="3"/>
    </row>
    <row r="219" spans="1:9" x14ac:dyDescent="0.35">
      <c r="A219" s="1">
        <v>217</v>
      </c>
      <c r="B219" t="s">
        <v>3</v>
      </c>
      <c r="C219" s="3" t="s">
        <v>307</v>
      </c>
      <c r="D219">
        <v>0</v>
      </c>
      <c r="E219">
        <v>0</v>
      </c>
      <c r="H219" s="3"/>
      <c r="I219" s="3"/>
    </row>
    <row r="220" spans="1:9" x14ac:dyDescent="0.35">
      <c r="A220" s="1">
        <v>218</v>
      </c>
      <c r="B220" t="s">
        <v>3</v>
      </c>
      <c r="C220" s="3" t="s">
        <v>335</v>
      </c>
      <c r="D220">
        <v>0</v>
      </c>
      <c r="E220">
        <v>0</v>
      </c>
      <c r="H220" s="3"/>
      <c r="I220" s="3"/>
    </row>
    <row r="221" spans="1:9" x14ac:dyDescent="0.35">
      <c r="A221" s="1">
        <v>219</v>
      </c>
      <c r="B221" t="s">
        <v>3</v>
      </c>
      <c r="C221" s="3" t="s">
        <v>317</v>
      </c>
      <c r="D221">
        <v>0</v>
      </c>
      <c r="E221">
        <v>0</v>
      </c>
      <c r="H221" s="3"/>
      <c r="I221" s="3"/>
    </row>
    <row r="222" spans="1:9" x14ac:dyDescent="0.35">
      <c r="A222" s="1">
        <v>220</v>
      </c>
      <c r="B222" t="s">
        <v>3</v>
      </c>
      <c r="C222" s="3" t="s">
        <v>304</v>
      </c>
      <c r="D222">
        <v>0</v>
      </c>
      <c r="E222">
        <v>0</v>
      </c>
      <c r="H222" s="3"/>
      <c r="I222" s="3"/>
    </row>
    <row r="223" spans="1:9" x14ac:dyDescent="0.35">
      <c r="A223" s="1">
        <v>221</v>
      </c>
      <c r="B223" t="s">
        <v>3</v>
      </c>
      <c r="C223" s="3" t="s">
        <v>251</v>
      </c>
      <c r="D223">
        <v>0</v>
      </c>
      <c r="E223">
        <v>0</v>
      </c>
      <c r="H223" s="3"/>
      <c r="I223" s="3"/>
    </row>
    <row r="224" spans="1:9" x14ac:dyDescent="0.35">
      <c r="A224" s="1">
        <v>222</v>
      </c>
      <c r="B224" t="s">
        <v>3</v>
      </c>
      <c r="C224" s="3" t="s">
        <v>411</v>
      </c>
      <c r="D224">
        <v>0</v>
      </c>
      <c r="E224">
        <v>0</v>
      </c>
      <c r="H224" s="3"/>
      <c r="I224" s="3"/>
    </row>
    <row r="225" spans="1:9" x14ac:dyDescent="0.35">
      <c r="A225" s="1">
        <v>223</v>
      </c>
      <c r="B225" t="s">
        <v>3</v>
      </c>
      <c r="C225" s="3" t="s">
        <v>345</v>
      </c>
      <c r="D225">
        <v>0</v>
      </c>
      <c r="E225">
        <v>0</v>
      </c>
      <c r="H225" s="3"/>
      <c r="I225" s="3"/>
    </row>
    <row r="226" spans="1:9" x14ac:dyDescent="0.35">
      <c r="A226" s="1">
        <v>224</v>
      </c>
      <c r="B226" t="s">
        <v>3</v>
      </c>
      <c r="C226" s="3" t="s">
        <v>305</v>
      </c>
      <c r="D226">
        <v>115878.92247930809</v>
      </c>
      <c r="E226">
        <v>1.1587892259518701E-4</v>
      </c>
      <c r="H226" s="3"/>
      <c r="I226" s="3"/>
    </row>
    <row r="227" spans="1:9" x14ac:dyDescent="0.35">
      <c r="A227" s="1">
        <v>225</v>
      </c>
      <c r="B227" t="s">
        <v>3</v>
      </c>
      <c r="C227" s="3" t="s">
        <v>364</v>
      </c>
      <c r="D227">
        <v>0</v>
      </c>
      <c r="E227">
        <v>0</v>
      </c>
      <c r="H227" s="3"/>
      <c r="I227" s="3"/>
    </row>
    <row r="228" spans="1:9" x14ac:dyDescent="0.35">
      <c r="A228" s="1">
        <v>226</v>
      </c>
      <c r="B228" t="s">
        <v>3</v>
      </c>
      <c r="C228" s="3" t="s">
        <v>424</v>
      </c>
      <c r="D228">
        <v>0</v>
      </c>
      <c r="E228">
        <v>0</v>
      </c>
      <c r="H228" s="3"/>
      <c r="I228" s="3"/>
    </row>
    <row r="229" spans="1:9" x14ac:dyDescent="0.35">
      <c r="A229" s="1">
        <v>227</v>
      </c>
      <c r="B229" t="s">
        <v>3</v>
      </c>
      <c r="C229" s="3" t="s">
        <v>309</v>
      </c>
      <c r="D229">
        <v>0</v>
      </c>
      <c r="E229">
        <v>0</v>
      </c>
      <c r="H229" s="3"/>
      <c r="I229" s="3"/>
    </row>
    <row r="230" spans="1:9" x14ac:dyDescent="0.35">
      <c r="A230" s="1">
        <v>228</v>
      </c>
      <c r="B230" t="s">
        <v>3</v>
      </c>
      <c r="C230" s="3" t="s">
        <v>107</v>
      </c>
      <c r="D230">
        <v>36490.417710000002</v>
      </c>
      <c r="E230">
        <v>3.649041774649042E-5</v>
      </c>
      <c r="H230" s="3"/>
      <c r="I230" s="3"/>
    </row>
    <row r="231" spans="1:9" x14ac:dyDescent="0.35">
      <c r="A231" s="1">
        <v>229</v>
      </c>
      <c r="B231" t="s">
        <v>3</v>
      </c>
      <c r="C231" s="3" t="s">
        <v>229</v>
      </c>
      <c r="D231" s="5">
        <v>0</v>
      </c>
      <c r="E231">
        <v>0</v>
      </c>
      <c r="H231" s="3"/>
      <c r="I231" s="3"/>
    </row>
    <row r="232" spans="1:9" x14ac:dyDescent="0.35">
      <c r="A232" s="1">
        <v>230</v>
      </c>
      <c r="B232" t="s">
        <v>3</v>
      </c>
      <c r="C232" s="3" t="s">
        <v>243</v>
      </c>
      <c r="D232" s="5">
        <v>0</v>
      </c>
      <c r="E232">
        <v>0</v>
      </c>
      <c r="H232" s="3"/>
      <c r="I232" s="3"/>
    </row>
    <row r="233" spans="1:9" x14ac:dyDescent="0.35">
      <c r="A233" s="1">
        <v>231</v>
      </c>
      <c r="B233" t="s">
        <v>3</v>
      </c>
      <c r="C233" s="3" t="s">
        <v>308</v>
      </c>
      <c r="D233">
        <v>0</v>
      </c>
      <c r="E233">
        <v>0</v>
      </c>
      <c r="H233" s="3"/>
      <c r="I233" s="3"/>
    </row>
    <row r="234" spans="1:9" x14ac:dyDescent="0.35">
      <c r="A234" s="1">
        <v>232</v>
      </c>
      <c r="B234" t="s">
        <v>3</v>
      </c>
      <c r="C234" s="3" t="s">
        <v>351</v>
      </c>
      <c r="D234">
        <v>0</v>
      </c>
      <c r="E234">
        <v>0</v>
      </c>
      <c r="H234" s="3"/>
      <c r="I234" s="3"/>
    </row>
    <row r="235" spans="1:9" x14ac:dyDescent="0.35">
      <c r="A235" s="1">
        <v>233</v>
      </c>
      <c r="B235" t="s">
        <v>3</v>
      </c>
      <c r="C235" s="3" t="s">
        <v>339</v>
      </c>
      <c r="D235">
        <v>0</v>
      </c>
      <c r="E235">
        <v>0</v>
      </c>
      <c r="H235" s="3"/>
      <c r="I235" s="3"/>
    </row>
    <row r="236" spans="1:9" x14ac:dyDescent="0.35">
      <c r="A236" s="1">
        <v>234</v>
      </c>
      <c r="B236" t="s">
        <v>3</v>
      </c>
      <c r="C236" s="3" t="s">
        <v>451</v>
      </c>
      <c r="D236">
        <v>0</v>
      </c>
      <c r="E236">
        <v>0</v>
      </c>
      <c r="H236" s="3"/>
      <c r="I236" s="3"/>
    </row>
    <row r="237" spans="1:9" x14ac:dyDescent="0.35">
      <c r="A237" s="1">
        <v>235</v>
      </c>
      <c r="B237" t="s">
        <v>3</v>
      </c>
      <c r="C237" s="3" t="s">
        <v>267</v>
      </c>
      <c r="D237">
        <v>0</v>
      </c>
      <c r="E237">
        <v>0</v>
      </c>
      <c r="H237" s="3"/>
      <c r="I237" s="3"/>
    </row>
    <row r="238" spans="1:9" x14ac:dyDescent="0.35">
      <c r="A238" s="1">
        <v>236</v>
      </c>
      <c r="B238" t="s">
        <v>3</v>
      </c>
      <c r="C238" s="3" t="s">
        <v>286</v>
      </c>
      <c r="D238">
        <v>0</v>
      </c>
      <c r="E238">
        <v>0</v>
      </c>
      <c r="H238" s="3"/>
      <c r="I238" s="3"/>
    </row>
    <row r="239" spans="1:9" x14ac:dyDescent="0.35">
      <c r="A239" s="1">
        <v>237</v>
      </c>
      <c r="B239" t="s">
        <v>3</v>
      </c>
      <c r="C239" s="3" t="s">
        <v>298</v>
      </c>
      <c r="D239">
        <v>0</v>
      </c>
      <c r="E239">
        <v>0</v>
      </c>
      <c r="H239" s="3"/>
      <c r="I239" s="3"/>
    </row>
    <row r="240" spans="1:9" x14ac:dyDescent="0.35">
      <c r="A240" s="1">
        <v>238</v>
      </c>
      <c r="B240" t="s">
        <v>3</v>
      </c>
      <c r="C240" s="3" t="s">
        <v>282</v>
      </c>
      <c r="D240">
        <v>0</v>
      </c>
      <c r="E240">
        <v>0</v>
      </c>
      <c r="H240" s="3"/>
      <c r="I240" s="3"/>
    </row>
    <row r="241" spans="1:9" x14ac:dyDescent="0.35">
      <c r="A241" s="1">
        <v>239</v>
      </c>
      <c r="B241" t="s">
        <v>3</v>
      </c>
      <c r="C241" s="3" t="s">
        <v>462</v>
      </c>
      <c r="D241">
        <v>0</v>
      </c>
      <c r="E241">
        <v>0</v>
      </c>
      <c r="H241" s="3"/>
      <c r="I241" s="3"/>
    </row>
    <row r="242" spans="1:9" x14ac:dyDescent="0.35">
      <c r="A242" s="1">
        <v>240</v>
      </c>
      <c r="B242" t="s">
        <v>3</v>
      </c>
      <c r="C242" s="3" t="s">
        <v>340</v>
      </c>
      <c r="D242">
        <v>0</v>
      </c>
      <c r="E242">
        <v>0</v>
      </c>
      <c r="H242" s="3"/>
      <c r="I242" s="3"/>
    </row>
    <row r="243" spans="1:9" x14ac:dyDescent="0.35">
      <c r="A243" s="1">
        <v>241</v>
      </c>
      <c r="B243" t="s">
        <v>3</v>
      </c>
      <c r="C243" s="3" t="s">
        <v>438</v>
      </c>
      <c r="D243">
        <v>0</v>
      </c>
      <c r="E243">
        <v>0</v>
      </c>
      <c r="H243" s="3"/>
      <c r="I243" s="3"/>
    </row>
    <row r="244" spans="1:9" x14ac:dyDescent="0.35">
      <c r="A244" s="1">
        <v>242</v>
      </c>
      <c r="B244" t="s">
        <v>3</v>
      </c>
      <c r="C244" s="3" t="s">
        <v>84</v>
      </c>
      <c r="D244" s="5">
        <v>303112.47827525338</v>
      </c>
      <c r="E244">
        <v>3.0311247857836592E-4</v>
      </c>
      <c r="H244" s="3"/>
      <c r="I244" s="3"/>
    </row>
    <row r="245" spans="1:9" x14ac:dyDescent="0.35">
      <c r="A245" s="1">
        <v>243</v>
      </c>
      <c r="B245" t="s">
        <v>3</v>
      </c>
      <c r="C245" s="3" t="s">
        <v>357</v>
      </c>
      <c r="D245">
        <v>0</v>
      </c>
      <c r="E245">
        <v>0</v>
      </c>
      <c r="H245" s="3"/>
      <c r="I245" s="3"/>
    </row>
    <row r="246" spans="1:9" x14ac:dyDescent="0.35">
      <c r="A246" s="1">
        <v>244</v>
      </c>
      <c r="B246" t="s">
        <v>3</v>
      </c>
      <c r="C246" s="3" t="s">
        <v>425</v>
      </c>
      <c r="D246">
        <v>0</v>
      </c>
      <c r="E246">
        <v>0</v>
      </c>
      <c r="H246" s="3"/>
      <c r="I246" s="3"/>
    </row>
    <row r="247" spans="1:9" x14ac:dyDescent="0.35">
      <c r="A247" s="1">
        <v>245</v>
      </c>
      <c r="B247" t="s">
        <v>3</v>
      </c>
      <c r="C247" s="3" t="s">
        <v>455</v>
      </c>
      <c r="D247">
        <v>0</v>
      </c>
      <c r="E247">
        <v>0</v>
      </c>
      <c r="H247" s="3"/>
      <c r="I247" s="3"/>
    </row>
    <row r="248" spans="1:9" x14ac:dyDescent="0.35">
      <c r="A248" s="1">
        <v>246</v>
      </c>
      <c r="B248" t="s">
        <v>3</v>
      </c>
      <c r="C248" s="3" t="s">
        <v>431</v>
      </c>
      <c r="D248">
        <v>0</v>
      </c>
      <c r="E248">
        <v>0</v>
      </c>
      <c r="H248" s="3"/>
      <c r="I248" s="3"/>
    </row>
    <row r="249" spans="1:9" x14ac:dyDescent="0.35">
      <c r="A249" s="1">
        <v>247</v>
      </c>
      <c r="B249" t="s">
        <v>3</v>
      </c>
      <c r="C249" s="3" t="s">
        <v>347</v>
      </c>
      <c r="D249">
        <v>0</v>
      </c>
      <c r="E249">
        <v>0</v>
      </c>
      <c r="H249" s="3"/>
      <c r="I249" s="3"/>
    </row>
    <row r="250" spans="1:9" x14ac:dyDescent="0.35">
      <c r="A250" s="1">
        <v>248</v>
      </c>
      <c r="B250" t="s">
        <v>3</v>
      </c>
      <c r="C250" s="3" t="s">
        <v>349</v>
      </c>
      <c r="D250">
        <v>0</v>
      </c>
      <c r="E250">
        <v>0</v>
      </c>
      <c r="H250" s="3"/>
      <c r="I250" s="3"/>
    </row>
    <row r="251" spans="1:9" x14ac:dyDescent="0.35">
      <c r="A251" s="1">
        <v>249</v>
      </c>
      <c r="B251" t="s">
        <v>3</v>
      </c>
      <c r="C251" s="3" t="s">
        <v>334</v>
      </c>
      <c r="D251">
        <v>0</v>
      </c>
      <c r="E251">
        <v>0</v>
      </c>
      <c r="H251" s="3"/>
      <c r="I251" s="3"/>
    </row>
    <row r="252" spans="1:9" x14ac:dyDescent="0.35">
      <c r="A252" s="1">
        <v>250</v>
      </c>
      <c r="B252" t="s">
        <v>3</v>
      </c>
      <c r="C252" s="3" t="s">
        <v>325</v>
      </c>
      <c r="D252" s="5">
        <v>0</v>
      </c>
      <c r="E252">
        <v>0</v>
      </c>
      <c r="H252" s="3"/>
      <c r="I252" s="3"/>
    </row>
    <row r="253" spans="1:9" x14ac:dyDescent="0.35">
      <c r="A253" s="1">
        <v>251</v>
      </c>
      <c r="B253" t="s">
        <v>3</v>
      </c>
      <c r="C253" s="3" t="s">
        <v>272</v>
      </c>
      <c r="D253">
        <v>0</v>
      </c>
      <c r="E253">
        <v>0</v>
      </c>
      <c r="H253" s="3"/>
      <c r="I253" s="3"/>
    </row>
    <row r="254" spans="1:9" x14ac:dyDescent="0.35">
      <c r="A254" s="1">
        <v>252</v>
      </c>
      <c r="B254" t="s">
        <v>3</v>
      </c>
      <c r="C254" s="3" t="s">
        <v>341</v>
      </c>
      <c r="D254">
        <v>0</v>
      </c>
      <c r="E254">
        <v>0</v>
      </c>
      <c r="H254" s="3"/>
      <c r="I254" s="3"/>
    </row>
    <row r="255" spans="1:9" x14ac:dyDescent="0.35">
      <c r="A255" s="1">
        <v>253</v>
      </c>
      <c r="B255" t="s">
        <v>3</v>
      </c>
      <c r="C255" s="3" t="s">
        <v>277</v>
      </c>
      <c r="D255">
        <v>0</v>
      </c>
      <c r="E255">
        <v>0</v>
      </c>
      <c r="H255" s="3"/>
      <c r="I255" s="3"/>
    </row>
    <row r="256" spans="1:9" x14ac:dyDescent="0.35">
      <c r="A256" s="1">
        <v>254</v>
      </c>
      <c r="B256" t="s">
        <v>3</v>
      </c>
      <c r="C256" s="3" t="s">
        <v>86</v>
      </c>
      <c r="D256">
        <v>0</v>
      </c>
      <c r="E256">
        <v>0</v>
      </c>
      <c r="H256" s="3"/>
      <c r="I256" s="3"/>
    </row>
    <row r="257" spans="1:9" x14ac:dyDescent="0.35">
      <c r="A257" s="1">
        <v>255</v>
      </c>
      <c r="B257" t="s">
        <v>3</v>
      </c>
      <c r="C257" s="3" t="s">
        <v>253</v>
      </c>
      <c r="D257">
        <v>0</v>
      </c>
      <c r="E257">
        <v>0</v>
      </c>
      <c r="H257" s="3"/>
      <c r="I257" s="3"/>
    </row>
    <row r="258" spans="1:9" x14ac:dyDescent="0.35">
      <c r="A258" s="1">
        <v>256</v>
      </c>
      <c r="B258" t="s">
        <v>3</v>
      </c>
      <c r="C258" s="3" t="s">
        <v>238</v>
      </c>
      <c r="D258">
        <v>0</v>
      </c>
      <c r="E258">
        <v>0</v>
      </c>
      <c r="H258" s="3"/>
      <c r="I258" s="3"/>
    </row>
    <row r="259" spans="1:9" x14ac:dyDescent="0.35">
      <c r="A259" s="1">
        <v>257</v>
      </c>
      <c r="B259" t="s">
        <v>3</v>
      </c>
      <c r="C259" s="3" t="s">
        <v>419</v>
      </c>
      <c r="D259">
        <v>0</v>
      </c>
      <c r="E259">
        <v>0</v>
      </c>
      <c r="H259" s="3"/>
      <c r="I259" s="3"/>
    </row>
    <row r="260" spans="1:9" x14ac:dyDescent="0.35">
      <c r="A260" s="1">
        <v>258</v>
      </c>
      <c r="B260" t="s">
        <v>3</v>
      </c>
      <c r="C260" s="3" t="s">
        <v>326</v>
      </c>
      <c r="D260">
        <v>0</v>
      </c>
      <c r="E260">
        <v>0</v>
      </c>
      <c r="H260" s="3"/>
      <c r="I260" s="3"/>
    </row>
    <row r="261" spans="1:9" x14ac:dyDescent="0.35">
      <c r="A261" s="1">
        <v>259</v>
      </c>
      <c r="B261" t="s">
        <v>3</v>
      </c>
      <c r="C261" s="3" t="s">
        <v>365</v>
      </c>
      <c r="D261" s="5">
        <v>39303.694723858876</v>
      </c>
      <c r="E261">
        <v>3.9303694763162569E-5</v>
      </c>
      <c r="H261" s="3"/>
      <c r="I261" s="3"/>
    </row>
    <row r="262" spans="1:9" x14ac:dyDescent="0.35">
      <c r="A262" s="1">
        <v>260</v>
      </c>
      <c r="B262" t="s">
        <v>3</v>
      </c>
      <c r="C262" s="3" t="s">
        <v>396</v>
      </c>
      <c r="D262">
        <v>0</v>
      </c>
      <c r="E262">
        <v>0</v>
      </c>
      <c r="H262" s="3"/>
      <c r="I262" s="3"/>
    </row>
    <row r="263" spans="1:9" x14ac:dyDescent="0.35">
      <c r="A263" s="1">
        <v>261</v>
      </c>
      <c r="B263" t="s">
        <v>3</v>
      </c>
      <c r="C263" s="3" t="s">
        <v>300</v>
      </c>
      <c r="D263">
        <v>0</v>
      </c>
      <c r="E263">
        <v>0</v>
      </c>
      <c r="H263" s="3"/>
      <c r="I263" s="3"/>
    </row>
    <row r="264" spans="1:9" x14ac:dyDescent="0.35">
      <c r="A264" s="1">
        <v>262</v>
      </c>
      <c r="B264" t="s">
        <v>3</v>
      </c>
      <c r="C264" s="3" t="s">
        <v>434</v>
      </c>
      <c r="D264">
        <v>0</v>
      </c>
      <c r="E264">
        <v>0</v>
      </c>
      <c r="H264" s="3"/>
      <c r="I264" s="3"/>
    </row>
    <row r="265" spans="1:9" x14ac:dyDescent="0.35">
      <c r="A265" s="1">
        <v>263</v>
      </c>
      <c r="B265" t="s">
        <v>3</v>
      </c>
      <c r="C265" s="3" t="s">
        <v>423</v>
      </c>
      <c r="D265">
        <v>0</v>
      </c>
      <c r="E265">
        <v>0</v>
      </c>
      <c r="H265" s="3"/>
      <c r="I265" s="3"/>
    </row>
    <row r="266" spans="1:9" x14ac:dyDescent="0.35">
      <c r="A266" s="1">
        <v>264</v>
      </c>
      <c r="B266" t="s">
        <v>3</v>
      </c>
      <c r="C266" s="3" t="s">
        <v>268</v>
      </c>
      <c r="D266">
        <v>0</v>
      </c>
      <c r="E266">
        <v>0</v>
      </c>
      <c r="H266" s="3"/>
      <c r="I266" s="3"/>
    </row>
    <row r="267" spans="1:9" x14ac:dyDescent="0.35">
      <c r="A267" s="1">
        <v>265</v>
      </c>
      <c r="B267" t="s">
        <v>3</v>
      </c>
      <c r="C267" s="3" t="s">
        <v>239</v>
      </c>
      <c r="D267">
        <v>0</v>
      </c>
      <c r="E267">
        <v>0</v>
      </c>
      <c r="H267" s="3"/>
      <c r="I267" s="3"/>
    </row>
    <row r="268" spans="1:9" x14ac:dyDescent="0.35">
      <c r="A268" s="1">
        <v>266</v>
      </c>
      <c r="B268" t="s">
        <v>3</v>
      </c>
      <c r="C268" s="3" t="s">
        <v>329</v>
      </c>
      <c r="D268">
        <v>0</v>
      </c>
      <c r="E268">
        <v>0</v>
      </c>
      <c r="H268" s="3"/>
      <c r="I268" s="3"/>
    </row>
    <row r="269" spans="1:9" x14ac:dyDescent="0.35">
      <c r="A269" s="1">
        <v>267</v>
      </c>
      <c r="B269" t="s">
        <v>3</v>
      </c>
      <c r="C269" s="3" t="s">
        <v>294</v>
      </c>
      <c r="D269">
        <v>0</v>
      </c>
      <c r="E269">
        <v>0</v>
      </c>
      <c r="H269" s="3"/>
      <c r="I269" s="3"/>
    </row>
    <row r="270" spans="1:9" x14ac:dyDescent="0.35">
      <c r="A270" s="1">
        <v>268</v>
      </c>
      <c r="B270" t="s">
        <v>3</v>
      </c>
      <c r="C270" s="3" t="s">
        <v>412</v>
      </c>
      <c r="D270">
        <v>0</v>
      </c>
      <c r="E270">
        <v>0</v>
      </c>
      <c r="H270" s="3"/>
      <c r="I270" s="3"/>
    </row>
    <row r="271" spans="1:9" x14ac:dyDescent="0.35">
      <c r="A271" s="1">
        <v>269</v>
      </c>
      <c r="B271" t="s">
        <v>3</v>
      </c>
      <c r="C271" s="3" t="s">
        <v>224</v>
      </c>
      <c r="D271">
        <v>0</v>
      </c>
      <c r="E271">
        <v>0</v>
      </c>
      <c r="H271" s="3"/>
      <c r="I271" s="3"/>
    </row>
    <row r="272" spans="1:9" x14ac:dyDescent="0.35">
      <c r="A272" s="1">
        <v>270</v>
      </c>
      <c r="B272" t="s">
        <v>3</v>
      </c>
      <c r="C272" s="3" t="s">
        <v>223</v>
      </c>
      <c r="D272">
        <v>0</v>
      </c>
      <c r="E272">
        <v>0</v>
      </c>
      <c r="H272" s="3"/>
      <c r="I272" s="3"/>
    </row>
    <row r="273" spans="1:9" x14ac:dyDescent="0.35">
      <c r="A273" s="1">
        <v>271</v>
      </c>
      <c r="B273" t="s">
        <v>3</v>
      </c>
      <c r="C273" s="3" t="s">
        <v>360</v>
      </c>
      <c r="D273">
        <v>0</v>
      </c>
      <c r="E273">
        <v>0</v>
      </c>
      <c r="H273" s="3"/>
      <c r="I273" s="3"/>
    </row>
    <row r="274" spans="1:9" x14ac:dyDescent="0.35">
      <c r="A274" s="1">
        <v>272</v>
      </c>
      <c r="B274" t="s">
        <v>3</v>
      </c>
      <c r="C274" s="3" t="s">
        <v>346</v>
      </c>
      <c r="D274">
        <v>0</v>
      </c>
      <c r="E274">
        <v>0</v>
      </c>
      <c r="H274" s="3"/>
      <c r="I274" s="3"/>
    </row>
    <row r="275" spans="1:9" x14ac:dyDescent="0.35">
      <c r="A275" s="1">
        <v>273</v>
      </c>
      <c r="B275" t="s">
        <v>3</v>
      </c>
      <c r="C275" s="3" t="s">
        <v>352</v>
      </c>
      <c r="D275">
        <v>0</v>
      </c>
      <c r="E275">
        <v>0</v>
      </c>
      <c r="H275" s="3"/>
      <c r="I275" s="3"/>
    </row>
    <row r="276" spans="1:9" x14ac:dyDescent="0.35">
      <c r="A276" s="1">
        <v>274</v>
      </c>
      <c r="B276" t="s">
        <v>3</v>
      </c>
      <c r="C276" s="3" t="s">
        <v>445</v>
      </c>
      <c r="D276">
        <v>0</v>
      </c>
      <c r="E276">
        <v>0</v>
      </c>
      <c r="H276" s="3"/>
      <c r="I276" s="3"/>
    </row>
    <row r="277" spans="1:9" x14ac:dyDescent="0.35">
      <c r="A277" s="1">
        <v>275</v>
      </c>
      <c r="B277" t="s">
        <v>3</v>
      </c>
      <c r="C277" s="3" t="s">
        <v>442</v>
      </c>
      <c r="D277">
        <v>0</v>
      </c>
      <c r="E277">
        <v>0</v>
      </c>
      <c r="H277" s="3"/>
      <c r="I277" s="3"/>
    </row>
    <row r="278" spans="1:9" x14ac:dyDescent="0.35">
      <c r="A278" s="1">
        <v>276</v>
      </c>
      <c r="B278" t="s">
        <v>3</v>
      </c>
      <c r="C278" s="3" t="s">
        <v>232</v>
      </c>
      <c r="D278">
        <v>0</v>
      </c>
      <c r="E278">
        <v>0</v>
      </c>
      <c r="H278" s="3"/>
      <c r="I278" s="3"/>
    </row>
    <row r="279" spans="1:9" x14ac:dyDescent="0.35">
      <c r="A279" s="1">
        <v>277</v>
      </c>
      <c r="B279" t="s">
        <v>3</v>
      </c>
      <c r="C279" s="3" t="s">
        <v>417</v>
      </c>
      <c r="D279">
        <v>0</v>
      </c>
      <c r="E279">
        <v>0</v>
      </c>
      <c r="H279" s="3"/>
      <c r="I279" s="3"/>
    </row>
    <row r="280" spans="1:9" x14ac:dyDescent="0.35">
      <c r="A280" s="1">
        <v>278</v>
      </c>
      <c r="B280" t="s">
        <v>3</v>
      </c>
      <c r="C280" s="3" t="s">
        <v>452</v>
      </c>
      <c r="D280">
        <v>0</v>
      </c>
      <c r="E280">
        <v>0</v>
      </c>
      <c r="H280" s="3"/>
      <c r="I280" s="3"/>
    </row>
    <row r="281" spans="1:9" x14ac:dyDescent="0.35">
      <c r="A281" s="1">
        <v>279</v>
      </c>
      <c r="B281" t="s">
        <v>3</v>
      </c>
      <c r="C281" s="3" t="s">
        <v>235</v>
      </c>
      <c r="D281">
        <v>3106.5989325080009</v>
      </c>
      <c r="E281">
        <v>3.1065989356146E-6</v>
      </c>
      <c r="H281" s="3"/>
      <c r="I281" s="3"/>
    </row>
    <row r="282" spans="1:9" x14ac:dyDescent="0.35">
      <c r="A282" s="1">
        <v>280</v>
      </c>
      <c r="B282" t="s">
        <v>3</v>
      </c>
      <c r="C282" s="3" t="s">
        <v>406</v>
      </c>
      <c r="D282">
        <v>0</v>
      </c>
      <c r="E282">
        <v>0</v>
      </c>
      <c r="H282" s="3"/>
      <c r="I282" s="3"/>
    </row>
    <row r="283" spans="1:9" x14ac:dyDescent="0.35">
      <c r="A283" s="1">
        <v>281</v>
      </c>
      <c r="B283" t="s">
        <v>3</v>
      </c>
      <c r="C283" s="3" t="s">
        <v>222</v>
      </c>
      <c r="D283">
        <v>357542.03265889653</v>
      </c>
      <c r="E283">
        <v>3.5754203301643851E-4</v>
      </c>
      <c r="H283" s="3"/>
      <c r="I283" s="3"/>
    </row>
    <row r="284" spans="1:9" x14ac:dyDescent="0.35">
      <c r="A284" s="1">
        <v>282</v>
      </c>
      <c r="B284" t="s">
        <v>3</v>
      </c>
      <c r="C284" s="3" t="s">
        <v>432</v>
      </c>
      <c r="D284">
        <v>0</v>
      </c>
      <c r="E284">
        <v>0</v>
      </c>
      <c r="H284" s="3"/>
      <c r="I284" s="3"/>
    </row>
    <row r="285" spans="1:9" x14ac:dyDescent="0.35">
      <c r="A285" s="1">
        <v>283</v>
      </c>
      <c r="B285" t="s">
        <v>3</v>
      </c>
      <c r="C285" s="3" t="s">
        <v>289</v>
      </c>
      <c r="D285">
        <v>0</v>
      </c>
      <c r="E285">
        <v>0</v>
      </c>
      <c r="H285" s="3"/>
      <c r="I285" s="3"/>
    </row>
    <row r="286" spans="1:9" x14ac:dyDescent="0.35">
      <c r="A286" s="1">
        <v>284</v>
      </c>
      <c r="B286" t="s">
        <v>3</v>
      </c>
      <c r="C286" s="3" t="s">
        <v>359</v>
      </c>
      <c r="D286">
        <v>0</v>
      </c>
      <c r="E286">
        <v>0</v>
      </c>
      <c r="H286" s="3"/>
      <c r="I286" s="3"/>
    </row>
    <row r="287" spans="1:9" x14ac:dyDescent="0.35">
      <c r="A287" s="1">
        <v>285</v>
      </c>
      <c r="B287" t="s">
        <v>3</v>
      </c>
      <c r="C287" s="3" t="s">
        <v>221</v>
      </c>
      <c r="D287">
        <v>0</v>
      </c>
      <c r="E287">
        <v>0</v>
      </c>
      <c r="H287" s="3"/>
      <c r="I287" s="3"/>
    </row>
    <row r="288" spans="1:9" x14ac:dyDescent="0.35">
      <c r="A288" s="1">
        <v>286</v>
      </c>
      <c r="B288" t="s">
        <v>3</v>
      </c>
      <c r="C288" s="3" t="s">
        <v>348</v>
      </c>
      <c r="D288" s="5">
        <v>0</v>
      </c>
      <c r="E288">
        <v>0</v>
      </c>
      <c r="H288" s="3"/>
      <c r="I288" s="3"/>
    </row>
    <row r="289" spans="1:9" x14ac:dyDescent="0.35">
      <c r="A289" s="1">
        <v>287</v>
      </c>
      <c r="B289" t="s">
        <v>3</v>
      </c>
      <c r="C289" s="3" t="s">
        <v>104</v>
      </c>
      <c r="D289">
        <v>0</v>
      </c>
      <c r="E289">
        <v>0</v>
      </c>
      <c r="H289" s="3"/>
      <c r="I289" s="3"/>
    </row>
    <row r="290" spans="1:9" x14ac:dyDescent="0.35">
      <c r="A290" s="1">
        <v>288</v>
      </c>
      <c r="B290" t="s">
        <v>3</v>
      </c>
      <c r="C290" s="3" t="s">
        <v>437</v>
      </c>
      <c r="D290" s="5">
        <v>0</v>
      </c>
      <c r="E290">
        <v>0</v>
      </c>
      <c r="H290" s="3"/>
      <c r="I290" s="3"/>
    </row>
    <row r="291" spans="1:9" x14ac:dyDescent="0.35">
      <c r="A291" s="1">
        <v>289</v>
      </c>
      <c r="B291" t="s">
        <v>3</v>
      </c>
      <c r="C291" s="3" t="s">
        <v>428</v>
      </c>
      <c r="D291">
        <v>0</v>
      </c>
      <c r="E291">
        <v>0</v>
      </c>
      <c r="H291" s="3"/>
      <c r="I291" s="3"/>
    </row>
    <row r="292" spans="1:9" x14ac:dyDescent="0.35">
      <c r="A292" s="1">
        <v>290</v>
      </c>
      <c r="B292" t="s">
        <v>3</v>
      </c>
      <c r="C292" s="3" t="s">
        <v>427</v>
      </c>
      <c r="D292">
        <v>0</v>
      </c>
      <c r="E292">
        <v>0</v>
      </c>
      <c r="H292" s="3"/>
      <c r="I292" s="3"/>
    </row>
    <row r="293" spans="1:9" x14ac:dyDescent="0.35">
      <c r="A293" s="1">
        <v>291</v>
      </c>
      <c r="B293" t="s">
        <v>3</v>
      </c>
      <c r="C293" s="3" t="s">
        <v>463</v>
      </c>
      <c r="D293">
        <v>0</v>
      </c>
      <c r="E293">
        <v>0</v>
      </c>
      <c r="H293" s="3"/>
      <c r="I293" s="3"/>
    </row>
    <row r="294" spans="1:9" x14ac:dyDescent="0.35">
      <c r="A294" s="1">
        <v>292</v>
      </c>
      <c r="B294" t="s">
        <v>3</v>
      </c>
      <c r="C294" s="3" t="s">
        <v>295</v>
      </c>
      <c r="D294" s="5">
        <v>0</v>
      </c>
      <c r="E294">
        <v>0</v>
      </c>
      <c r="H294" s="3"/>
      <c r="I294" s="3"/>
    </row>
    <row r="295" spans="1:9" x14ac:dyDescent="0.35">
      <c r="A295" s="1">
        <v>293</v>
      </c>
      <c r="B295" t="s">
        <v>3</v>
      </c>
      <c r="C295" s="3" t="s">
        <v>102</v>
      </c>
      <c r="D295">
        <v>0</v>
      </c>
      <c r="E295">
        <v>0</v>
      </c>
      <c r="H295" s="3"/>
      <c r="I295" s="3"/>
    </row>
    <row r="296" spans="1:9" x14ac:dyDescent="0.35">
      <c r="A296" s="1">
        <v>294</v>
      </c>
      <c r="B296" t="s">
        <v>3</v>
      </c>
      <c r="C296" s="3" t="s">
        <v>246</v>
      </c>
      <c r="D296">
        <v>0</v>
      </c>
      <c r="E296">
        <v>0</v>
      </c>
      <c r="H296" s="3"/>
      <c r="I296" s="3"/>
    </row>
    <row r="297" spans="1:9" x14ac:dyDescent="0.35">
      <c r="A297" s="1">
        <v>295</v>
      </c>
      <c r="B297" t="s">
        <v>3</v>
      </c>
      <c r="C297" s="3" t="s">
        <v>269</v>
      </c>
      <c r="D297" s="5">
        <v>0</v>
      </c>
      <c r="E297">
        <v>0</v>
      </c>
      <c r="H297" s="3"/>
      <c r="I297" s="3"/>
    </row>
    <row r="298" spans="1:9" x14ac:dyDescent="0.35">
      <c r="A298" s="1">
        <v>296</v>
      </c>
      <c r="B298" t="s">
        <v>3</v>
      </c>
      <c r="C298" s="3" t="s">
        <v>410</v>
      </c>
      <c r="D298">
        <v>0</v>
      </c>
      <c r="E298">
        <v>0</v>
      </c>
      <c r="H298" s="3"/>
      <c r="I298" s="3"/>
    </row>
    <row r="299" spans="1:9" x14ac:dyDescent="0.35">
      <c r="A299" s="1">
        <v>297</v>
      </c>
      <c r="B299" t="s">
        <v>3</v>
      </c>
      <c r="C299" s="3" t="s">
        <v>440</v>
      </c>
      <c r="D299">
        <v>0</v>
      </c>
      <c r="E299">
        <v>0</v>
      </c>
      <c r="H299" s="3"/>
      <c r="I299" s="3"/>
    </row>
    <row r="300" spans="1:9" x14ac:dyDescent="0.35">
      <c r="A300" s="1">
        <v>298</v>
      </c>
      <c r="B300" t="s">
        <v>3</v>
      </c>
      <c r="C300" s="3" t="s">
        <v>245</v>
      </c>
      <c r="D300">
        <v>0</v>
      </c>
      <c r="E300">
        <v>0</v>
      </c>
      <c r="H300" s="3"/>
      <c r="I300" s="3"/>
    </row>
    <row r="301" spans="1:9" x14ac:dyDescent="0.35">
      <c r="A301" s="1">
        <v>299</v>
      </c>
      <c r="B301" t="s">
        <v>3</v>
      </c>
      <c r="C301" s="3" t="s">
        <v>257</v>
      </c>
      <c r="D301">
        <v>0</v>
      </c>
      <c r="E301">
        <v>0</v>
      </c>
      <c r="H301" s="3"/>
      <c r="I301" s="3"/>
    </row>
    <row r="302" spans="1:9" x14ac:dyDescent="0.35">
      <c r="A302" s="1">
        <v>300</v>
      </c>
      <c r="B302" t="s">
        <v>3</v>
      </c>
      <c r="C302" s="3" t="s">
        <v>284</v>
      </c>
      <c r="D302">
        <v>0</v>
      </c>
      <c r="E302">
        <v>0</v>
      </c>
      <c r="H302" s="3"/>
      <c r="I302" s="3"/>
    </row>
    <row r="303" spans="1:9" x14ac:dyDescent="0.35">
      <c r="A303" s="1">
        <v>301</v>
      </c>
      <c r="B303" t="s">
        <v>3</v>
      </c>
      <c r="C303" s="3" t="s">
        <v>444</v>
      </c>
      <c r="D303" s="5">
        <v>0</v>
      </c>
      <c r="E303">
        <v>0</v>
      </c>
      <c r="H303" s="3"/>
      <c r="I303" s="3"/>
    </row>
    <row r="304" spans="1:9" x14ac:dyDescent="0.35">
      <c r="A304" s="1">
        <v>302</v>
      </c>
      <c r="B304" t="s">
        <v>3</v>
      </c>
      <c r="C304" s="3" t="s">
        <v>250</v>
      </c>
      <c r="D304">
        <v>0</v>
      </c>
      <c r="E304">
        <v>0</v>
      </c>
      <c r="H304" s="3"/>
      <c r="I304" s="3"/>
    </row>
    <row r="305" spans="1:9" x14ac:dyDescent="0.35">
      <c r="A305" s="1">
        <v>303</v>
      </c>
      <c r="B305" t="s">
        <v>3</v>
      </c>
      <c r="C305" s="3" t="s">
        <v>255</v>
      </c>
      <c r="D305">
        <v>0</v>
      </c>
      <c r="E305">
        <v>0</v>
      </c>
      <c r="H305" s="3"/>
      <c r="I305" s="3"/>
    </row>
    <row r="306" spans="1:9" x14ac:dyDescent="0.35">
      <c r="A306" s="1">
        <v>304</v>
      </c>
      <c r="B306" t="s">
        <v>3</v>
      </c>
      <c r="C306" s="3" t="s">
        <v>363</v>
      </c>
      <c r="D306" s="5">
        <v>0</v>
      </c>
      <c r="E306">
        <v>0</v>
      </c>
      <c r="H306" s="3"/>
      <c r="I306" s="3"/>
    </row>
    <row r="307" spans="1:9" x14ac:dyDescent="0.35">
      <c r="A307" s="1">
        <v>305</v>
      </c>
      <c r="B307" t="s">
        <v>3</v>
      </c>
      <c r="C307" s="3" t="s">
        <v>97</v>
      </c>
      <c r="D307">
        <v>0</v>
      </c>
      <c r="E307">
        <v>0</v>
      </c>
      <c r="H307" s="3"/>
      <c r="I307" s="3"/>
    </row>
    <row r="308" spans="1:9" x14ac:dyDescent="0.35">
      <c r="A308" s="1">
        <v>306</v>
      </c>
      <c r="B308" t="s">
        <v>3</v>
      </c>
      <c r="C308" s="3" t="s">
        <v>314</v>
      </c>
      <c r="D308">
        <v>0</v>
      </c>
      <c r="E308">
        <v>0</v>
      </c>
      <c r="H308" s="3"/>
      <c r="I308" s="3"/>
    </row>
    <row r="309" spans="1:9" x14ac:dyDescent="0.35">
      <c r="A309" s="1">
        <v>307</v>
      </c>
      <c r="B309" t="s">
        <v>3</v>
      </c>
      <c r="C309" s="3" t="s">
        <v>408</v>
      </c>
      <c r="D309">
        <v>0</v>
      </c>
      <c r="E309">
        <v>0</v>
      </c>
      <c r="H309" s="3"/>
      <c r="I309" s="3"/>
    </row>
    <row r="310" spans="1:9" x14ac:dyDescent="0.35">
      <c r="A310" s="1">
        <v>308</v>
      </c>
      <c r="B310" t="s">
        <v>3</v>
      </c>
      <c r="C310" s="3" t="s">
        <v>227</v>
      </c>
      <c r="D310">
        <v>0</v>
      </c>
      <c r="E310">
        <v>0</v>
      </c>
      <c r="H310" s="3"/>
      <c r="I310" s="3"/>
    </row>
    <row r="311" spans="1:9" x14ac:dyDescent="0.35">
      <c r="A311" s="1">
        <v>309</v>
      </c>
      <c r="B311" t="s">
        <v>3</v>
      </c>
      <c r="C311" s="3" t="s">
        <v>362</v>
      </c>
      <c r="D311">
        <v>0</v>
      </c>
      <c r="E311">
        <v>0</v>
      </c>
      <c r="H311" s="3"/>
      <c r="I311" s="3"/>
    </row>
    <row r="312" spans="1:9" x14ac:dyDescent="0.35">
      <c r="A312" s="1">
        <v>310</v>
      </c>
      <c r="B312" t="s">
        <v>3</v>
      </c>
      <c r="C312" s="3" t="s">
        <v>353</v>
      </c>
      <c r="D312" s="5">
        <v>162993.22167908089</v>
      </c>
      <c r="E312">
        <v>1.6299322184207409E-4</v>
      </c>
      <c r="H312" s="3"/>
      <c r="I312" s="3"/>
    </row>
    <row r="313" spans="1:9" x14ac:dyDescent="0.35">
      <c r="A313" s="1">
        <v>311</v>
      </c>
      <c r="B313" t="s">
        <v>3</v>
      </c>
      <c r="C313" s="3" t="s">
        <v>248</v>
      </c>
      <c r="D313">
        <v>0</v>
      </c>
      <c r="E313">
        <v>0</v>
      </c>
      <c r="H313" s="3"/>
      <c r="I313" s="3"/>
    </row>
    <row r="314" spans="1:9" x14ac:dyDescent="0.35">
      <c r="A314" s="1">
        <v>312</v>
      </c>
      <c r="B314" t="s">
        <v>3</v>
      </c>
      <c r="C314" s="3" t="s">
        <v>436</v>
      </c>
      <c r="D314">
        <v>0</v>
      </c>
      <c r="E314">
        <v>0</v>
      </c>
      <c r="H314" s="3"/>
      <c r="I314" s="3"/>
    </row>
    <row r="315" spans="1:9" x14ac:dyDescent="0.35">
      <c r="A315" s="1">
        <v>313</v>
      </c>
      <c r="B315" t="s">
        <v>3</v>
      </c>
      <c r="C315" s="3" t="s">
        <v>95</v>
      </c>
      <c r="D315">
        <v>0</v>
      </c>
      <c r="E315">
        <v>0</v>
      </c>
      <c r="H315" s="3"/>
      <c r="I315" s="3"/>
    </row>
    <row r="316" spans="1:9" x14ac:dyDescent="0.35">
      <c r="A316" s="1">
        <v>314</v>
      </c>
      <c r="B316" t="s">
        <v>3</v>
      </c>
      <c r="C316" s="3" t="s">
        <v>259</v>
      </c>
      <c r="D316">
        <v>0</v>
      </c>
      <c r="E316">
        <v>0</v>
      </c>
      <c r="H316" s="3"/>
      <c r="I316" s="3"/>
    </row>
    <row r="317" spans="1:9" x14ac:dyDescent="0.35">
      <c r="A317" s="1">
        <v>315</v>
      </c>
      <c r="B317" t="s">
        <v>3</v>
      </c>
      <c r="C317" s="3" t="s">
        <v>231</v>
      </c>
      <c r="D317">
        <v>0</v>
      </c>
      <c r="E317">
        <v>0</v>
      </c>
      <c r="H317" s="3"/>
      <c r="I317" s="3"/>
    </row>
    <row r="318" spans="1:9" x14ac:dyDescent="0.35">
      <c r="A318" s="1">
        <v>316</v>
      </c>
      <c r="B318" t="s">
        <v>3</v>
      </c>
      <c r="C318" s="3" t="s">
        <v>230</v>
      </c>
      <c r="D318" s="5">
        <v>0</v>
      </c>
      <c r="E318">
        <v>0</v>
      </c>
      <c r="H318" s="3"/>
      <c r="I318" s="3"/>
    </row>
    <row r="319" spans="1:9" x14ac:dyDescent="0.35">
      <c r="A319" s="1">
        <v>317</v>
      </c>
      <c r="B319" t="s">
        <v>3</v>
      </c>
      <c r="C319" s="3" t="s">
        <v>397</v>
      </c>
      <c r="D319" s="5">
        <v>11669.450833333331</v>
      </c>
      <c r="E319">
        <v>1.1669450845002779E-5</v>
      </c>
      <c r="H319" s="3"/>
      <c r="I319" s="3"/>
    </row>
    <row r="320" spans="1:9" x14ac:dyDescent="0.35">
      <c r="A320" s="1">
        <v>318</v>
      </c>
      <c r="B320" t="s">
        <v>3</v>
      </c>
      <c r="C320" s="3" t="s">
        <v>260</v>
      </c>
      <c r="D320" s="5">
        <v>0</v>
      </c>
      <c r="E320">
        <v>0</v>
      </c>
      <c r="H320" s="3"/>
      <c r="I320" s="3"/>
    </row>
    <row r="321" spans="1:9" x14ac:dyDescent="0.35">
      <c r="A321" s="1">
        <v>319</v>
      </c>
      <c r="B321" t="s">
        <v>3</v>
      </c>
      <c r="C321" s="3" t="s">
        <v>247</v>
      </c>
      <c r="D321">
        <v>0</v>
      </c>
      <c r="E321">
        <v>0</v>
      </c>
      <c r="H321" s="3"/>
      <c r="I321" s="3"/>
    </row>
    <row r="322" spans="1:9" x14ac:dyDescent="0.35">
      <c r="A322" s="1">
        <v>320</v>
      </c>
      <c r="B322" t="s">
        <v>3</v>
      </c>
      <c r="C322" s="3" t="s">
        <v>92</v>
      </c>
      <c r="D322" s="5">
        <v>0</v>
      </c>
      <c r="E322">
        <v>0</v>
      </c>
      <c r="H322" s="3"/>
      <c r="I322" s="3"/>
    </row>
    <row r="323" spans="1:9" x14ac:dyDescent="0.35">
      <c r="A323" s="1">
        <v>321</v>
      </c>
      <c r="B323" t="s">
        <v>3</v>
      </c>
      <c r="C323" s="3" t="s">
        <v>226</v>
      </c>
      <c r="D323" s="5">
        <v>0</v>
      </c>
      <c r="E323">
        <v>0</v>
      </c>
      <c r="H323" s="3"/>
      <c r="I323" s="3"/>
    </row>
    <row r="324" spans="1:9" x14ac:dyDescent="0.35">
      <c r="A324" s="1">
        <v>322</v>
      </c>
      <c r="B324" t="s">
        <v>3</v>
      </c>
      <c r="C324" s="3" t="s">
        <v>258</v>
      </c>
      <c r="D324" s="5">
        <v>0</v>
      </c>
      <c r="E324">
        <v>0</v>
      </c>
      <c r="H324" s="3"/>
      <c r="I324" s="3"/>
    </row>
    <row r="325" spans="1:9" x14ac:dyDescent="0.35">
      <c r="A325" s="1">
        <v>323</v>
      </c>
      <c r="B325" t="s">
        <v>3</v>
      </c>
      <c r="C325" s="3" t="s">
        <v>439</v>
      </c>
      <c r="D325" s="5">
        <v>0</v>
      </c>
      <c r="E325">
        <v>0</v>
      </c>
      <c r="H325" s="3"/>
      <c r="I325" s="3"/>
    </row>
    <row r="326" spans="1:9" x14ac:dyDescent="0.35">
      <c r="A326" s="1">
        <v>324</v>
      </c>
      <c r="B326" t="s">
        <v>3</v>
      </c>
      <c r="C326" s="3" t="s">
        <v>443</v>
      </c>
      <c r="D326" s="5">
        <v>0</v>
      </c>
      <c r="E326">
        <v>0</v>
      </c>
      <c r="H326" s="3"/>
      <c r="I326" s="3"/>
    </row>
    <row r="327" spans="1:9" x14ac:dyDescent="0.35">
      <c r="A327" s="1">
        <v>325</v>
      </c>
      <c r="B327" t="s">
        <v>3</v>
      </c>
      <c r="C327" s="3" t="s">
        <v>103</v>
      </c>
      <c r="D327" s="5">
        <v>99377.293947232887</v>
      </c>
      <c r="E327">
        <v>9.9377294046610175E-5</v>
      </c>
      <c r="H327" s="3"/>
      <c r="I327" s="3"/>
    </row>
    <row r="328" spans="1:9" x14ac:dyDescent="0.35">
      <c r="A328" s="1">
        <v>326</v>
      </c>
      <c r="B328" t="s">
        <v>3</v>
      </c>
      <c r="C328" s="3" t="s">
        <v>358</v>
      </c>
      <c r="D328">
        <v>0</v>
      </c>
      <c r="E328">
        <v>0</v>
      </c>
      <c r="H328" s="3"/>
      <c r="I328" s="3"/>
    </row>
    <row r="329" spans="1:9" x14ac:dyDescent="0.35">
      <c r="A329" s="1">
        <v>327</v>
      </c>
      <c r="B329" t="s">
        <v>3</v>
      </c>
      <c r="C329" s="3" t="s">
        <v>234</v>
      </c>
      <c r="D329">
        <v>0</v>
      </c>
      <c r="E329">
        <v>0</v>
      </c>
      <c r="H329" s="3"/>
      <c r="I329" s="3"/>
    </row>
    <row r="330" spans="1:9" x14ac:dyDescent="0.35">
      <c r="A330" s="1">
        <v>328</v>
      </c>
      <c r="B330" t="s">
        <v>3</v>
      </c>
      <c r="C330" s="3" t="s">
        <v>256</v>
      </c>
      <c r="D330" s="5">
        <v>0</v>
      </c>
      <c r="E330">
        <v>0</v>
      </c>
      <c r="H330" s="3"/>
      <c r="I330" s="3"/>
    </row>
    <row r="331" spans="1:9" x14ac:dyDescent="0.35">
      <c r="A331" s="1">
        <v>329</v>
      </c>
      <c r="B331" t="s">
        <v>3</v>
      </c>
      <c r="C331" s="3" t="s">
        <v>404</v>
      </c>
      <c r="D331" s="5">
        <v>0</v>
      </c>
      <c r="E331">
        <v>0</v>
      </c>
      <c r="H331" s="3"/>
      <c r="I331" s="3"/>
    </row>
    <row r="332" spans="1:9" x14ac:dyDescent="0.35">
      <c r="A332" s="1">
        <v>330</v>
      </c>
      <c r="B332" t="s">
        <v>3</v>
      </c>
      <c r="C332" s="3" t="s">
        <v>318</v>
      </c>
      <c r="D332" s="5">
        <v>0</v>
      </c>
      <c r="E332">
        <v>0</v>
      </c>
      <c r="H332" s="3"/>
      <c r="I332" s="3"/>
    </row>
    <row r="333" spans="1:9" x14ac:dyDescent="0.35">
      <c r="A333" s="1">
        <v>331</v>
      </c>
      <c r="B333" t="s">
        <v>3</v>
      </c>
      <c r="C333" s="3" t="s">
        <v>254</v>
      </c>
      <c r="D333" s="5">
        <v>525837.83202316845</v>
      </c>
      <c r="E333">
        <v>5.2583783254900633E-4</v>
      </c>
      <c r="H333" s="3"/>
      <c r="I333" s="3"/>
    </row>
    <row r="334" spans="1:9" x14ac:dyDescent="0.35">
      <c r="A334" s="1">
        <v>332</v>
      </c>
      <c r="B334" t="s">
        <v>3</v>
      </c>
      <c r="C334" s="3" t="s">
        <v>87</v>
      </c>
      <c r="D334" s="5">
        <v>0</v>
      </c>
      <c r="E334">
        <v>0</v>
      </c>
      <c r="H334" s="3"/>
      <c r="I334" s="3"/>
    </row>
    <row r="335" spans="1:9" x14ac:dyDescent="0.35">
      <c r="A335" s="1">
        <v>333</v>
      </c>
      <c r="B335" t="s">
        <v>3</v>
      </c>
      <c r="C335" s="3" t="s">
        <v>337</v>
      </c>
      <c r="D335" s="5">
        <v>155046.55411826479</v>
      </c>
      <c r="E335">
        <v>1.550465542733113E-4</v>
      </c>
      <c r="H335" s="3"/>
      <c r="I335" s="3"/>
    </row>
    <row r="336" spans="1:9" x14ac:dyDescent="0.35">
      <c r="A336" s="1">
        <v>334</v>
      </c>
      <c r="B336" t="s">
        <v>3</v>
      </c>
      <c r="C336" s="3" t="s">
        <v>420</v>
      </c>
      <c r="D336">
        <v>0</v>
      </c>
      <c r="E336">
        <v>0</v>
      </c>
      <c r="H336" s="3"/>
      <c r="I336" s="3"/>
    </row>
    <row r="337" spans="1:9" x14ac:dyDescent="0.35">
      <c r="A337" s="1">
        <v>335</v>
      </c>
      <c r="B337" t="s">
        <v>3</v>
      </c>
      <c r="C337" s="3" t="s">
        <v>228</v>
      </c>
      <c r="D337" s="5">
        <v>0</v>
      </c>
      <c r="E337">
        <v>0</v>
      </c>
      <c r="H337" s="3"/>
      <c r="I337" s="3"/>
    </row>
    <row r="338" spans="1:9" x14ac:dyDescent="0.35">
      <c r="A338" s="1">
        <v>336</v>
      </c>
      <c r="B338" t="s">
        <v>3</v>
      </c>
      <c r="C338" s="3" t="s">
        <v>414</v>
      </c>
      <c r="D338">
        <v>0</v>
      </c>
      <c r="E338">
        <v>0</v>
      </c>
      <c r="H338" s="3"/>
      <c r="I338" s="3"/>
    </row>
    <row r="339" spans="1:9" x14ac:dyDescent="0.35">
      <c r="A339" s="1">
        <v>337</v>
      </c>
      <c r="B339" t="s">
        <v>3</v>
      </c>
      <c r="C339" s="3" t="s">
        <v>327</v>
      </c>
      <c r="D339">
        <v>0</v>
      </c>
      <c r="E339">
        <v>0</v>
      </c>
      <c r="H339" s="3"/>
      <c r="I339" s="3"/>
    </row>
    <row r="340" spans="1:9" x14ac:dyDescent="0.35">
      <c r="A340" s="1">
        <v>338</v>
      </c>
      <c r="B340" t="s">
        <v>3</v>
      </c>
      <c r="C340" s="3" t="s">
        <v>280</v>
      </c>
      <c r="D340">
        <v>0</v>
      </c>
      <c r="E340">
        <v>0</v>
      </c>
      <c r="H340" s="3"/>
      <c r="I340" s="3"/>
    </row>
    <row r="341" spans="1:9" x14ac:dyDescent="0.35">
      <c r="A341" s="1">
        <v>339</v>
      </c>
      <c r="B341" t="s">
        <v>3</v>
      </c>
      <c r="C341" s="3" t="s">
        <v>283</v>
      </c>
      <c r="D341" s="5">
        <v>0</v>
      </c>
      <c r="E341">
        <v>0</v>
      </c>
      <c r="H341" s="3"/>
      <c r="I341" s="3"/>
    </row>
    <row r="342" spans="1:9" x14ac:dyDescent="0.35">
      <c r="A342" s="1">
        <v>340</v>
      </c>
      <c r="B342" t="s">
        <v>3</v>
      </c>
      <c r="C342" s="3" t="s">
        <v>225</v>
      </c>
      <c r="D342">
        <v>0</v>
      </c>
      <c r="E342">
        <v>0</v>
      </c>
      <c r="H342" s="3"/>
      <c r="I342" s="3"/>
    </row>
    <row r="343" spans="1:9" x14ac:dyDescent="0.35">
      <c r="A343" s="1">
        <v>341</v>
      </c>
      <c r="B343" t="s">
        <v>3</v>
      </c>
      <c r="C343" s="3" t="s">
        <v>422</v>
      </c>
      <c r="D343" s="5">
        <v>0</v>
      </c>
      <c r="E343">
        <v>0</v>
      </c>
      <c r="H343" s="3"/>
      <c r="I343" s="3"/>
    </row>
    <row r="344" spans="1:9" x14ac:dyDescent="0.35">
      <c r="A344" s="1">
        <v>342</v>
      </c>
      <c r="B344" t="s">
        <v>3</v>
      </c>
      <c r="C344" s="3" t="s">
        <v>244</v>
      </c>
      <c r="D344" s="5">
        <v>0</v>
      </c>
      <c r="E344">
        <v>0</v>
      </c>
      <c r="H344" s="3"/>
      <c r="I344" s="3"/>
    </row>
    <row r="345" spans="1:9" x14ac:dyDescent="0.35">
      <c r="A345" s="1">
        <v>343</v>
      </c>
      <c r="B345" t="s">
        <v>3</v>
      </c>
      <c r="C345" s="3" t="s">
        <v>285</v>
      </c>
      <c r="D345">
        <v>0</v>
      </c>
      <c r="E345">
        <v>0</v>
      </c>
      <c r="H345" s="3"/>
      <c r="I345" s="3"/>
    </row>
    <row r="346" spans="1:9" x14ac:dyDescent="0.35">
      <c r="A346" s="1">
        <v>344</v>
      </c>
      <c r="B346" t="s">
        <v>3</v>
      </c>
      <c r="C346" s="3" t="s">
        <v>236</v>
      </c>
      <c r="D346" s="5">
        <v>0</v>
      </c>
      <c r="E346">
        <v>0</v>
      </c>
      <c r="H346" s="3"/>
      <c r="I346" s="3"/>
    </row>
    <row r="347" spans="1:9" x14ac:dyDescent="0.35">
      <c r="A347" s="1">
        <v>345</v>
      </c>
      <c r="B347" t="s">
        <v>3</v>
      </c>
      <c r="C347" s="3" t="s">
        <v>290</v>
      </c>
      <c r="D347" s="5">
        <v>0</v>
      </c>
      <c r="E347">
        <v>0</v>
      </c>
      <c r="H347" s="3"/>
      <c r="I347" s="3"/>
    </row>
    <row r="348" spans="1:9" x14ac:dyDescent="0.35">
      <c r="A348" s="1">
        <v>346</v>
      </c>
      <c r="B348" t="s">
        <v>3</v>
      </c>
      <c r="C348" s="3" t="s">
        <v>409</v>
      </c>
      <c r="D348" s="5">
        <v>0</v>
      </c>
      <c r="E348">
        <v>0</v>
      </c>
      <c r="H348" s="3"/>
      <c r="I348" s="3"/>
    </row>
    <row r="349" spans="1:9" x14ac:dyDescent="0.35">
      <c r="A349" s="1">
        <v>347</v>
      </c>
      <c r="B349" t="s">
        <v>3</v>
      </c>
      <c r="C349" s="3" t="s">
        <v>319</v>
      </c>
      <c r="D349" s="5">
        <v>0</v>
      </c>
      <c r="E349">
        <v>0</v>
      </c>
      <c r="H349" s="3"/>
      <c r="I349" s="3"/>
    </row>
    <row r="350" spans="1:9" x14ac:dyDescent="0.35">
      <c r="A350" s="1">
        <v>348</v>
      </c>
      <c r="B350" t="s">
        <v>3</v>
      </c>
      <c r="C350" s="3" t="s">
        <v>350</v>
      </c>
      <c r="D350" s="5">
        <v>0</v>
      </c>
      <c r="E350">
        <v>0</v>
      </c>
      <c r="H350" s="3"/>
      <c r="I350" s="3"/>
    </row>
    <row r="351" spans="1:9" x14ac:dyDescent="0.35">
      <c r="A351" s="1">
        <v>349</v>
      </c>
      <c r="B351" t="s">
        <v>3</v>
      </c>
      <c r="C351" s="3" t="s">
        <v>90</v>
      </c>
      <c r="D351">
        <v>0</v>
      </c>
      <c r="E351">
        <v>0</v>
      </c>
      <c r="H351" s="3"/>
      <c r="I351" s="3"/>
    </row>
    <row r="352" spans="1:9" x14ac:dyDescent="0.35">
      <c r="A352" s="1">
        <v>350</v>
      </c>
      <c r="B352" t="s">
        <v>3</v>
      </c>
      <c r="C352" s="3" t="s">
        <v>88</v>
      </c>
      <c r="D352" s="5">
        <v>90625.036269031407</v>
      </c>
      <c r="E352">
        <v>9.062503635965645E-5</v>
      </c>
      <c r="H352" s="3"/>
      <c r="I352" s="3"/>
    </row>
    <row r="353" spans="1:9" x14ac:dyDescent="0.35">
      <c r="A353" s="1">
        <v>351</v>
      </c>
      <c r="B353" t="s">
        <v>3</v>
      </c>
      <c r="C353" s="3" t="s">
        <v>297</v>
      </c>
      <c r="D353" s="5">
        <v>0</v>
      </c>
      <c r="E353">
        <v>0</v>
      </c>
      <c r="H353" s="3"/>
      <c r="I353" s="3"/>
    </row>
    <row r="354" spans="1:9" x14ac:dyDescent="0.35">
      <c r="A354" s="1">
        <v>352</v>
      </c>
      <c r="B354" t="s">
        <v>3</v>
      </c>
      <c r="C354" s="3" t="s">
        <v>237</v>
      </c>
      <c r="D354" s="5">
        <v>0</v>
      </c>
      <c r="E354">
        <v>0</v>
      </c>
      <c r="H354" s="3"/>
      <c r="I354" s="3"/>
    </row>
    <row r="355" spans="1:9" x14ac:dyDescent="0.35">
      <c r="A355" s="1">
        <v>353</v>
      </c>
      <c r="B355" t="s">
        <v>3</v>
      </c>
      <c r="C355" s="3" t="s">
        <v>292</v>
      </c>
      <c r="D355" s="5">
        <v>0</v>
      </c>
      <c r="E355">
        <v>0</v>
      </c>
      <c r="H355" s="3"/>
      <c r="I355" s="3"/>
    </row>
    <row r="356" spans="1:9" x14ac:dyDescent="0.35">
      <c r="A356" s="1">
        <v>354</v>
      </c>
      <c r="B356" t="s">
        <v>3</v>
      </c>
      <c r="C356" s="3" t="s">
        <v>405</v>
      </c>
      <c r="D356" s="5">
        <v>0</v>
      </c>
      <c r="E356">
        <v>0</v>
      </c>
      <c r="H356" s="3"/>
      <c r="I356" s="3"/>
    </row>
    <row r="357" spans="1:9" x14ac:dyDescent="0.35">
      <c r="A357" s="1">
        <v>355</v>
      </c>
      <c r="B357" t="s">
        <v>3</v>
      </c>
      <c r="C357" s="3" t="s">
        <v>421</v>
      </c>
      <c r="D357" s="5">
        <v>0</v>
      </c>
      <c r="E357">
        <v>0</v>
      </c>
      <c r="H357" s="3"/>
      <c r="I357" s="3"/>
    </row>
    <row r="358" spans="1:9" x14ac:dyDescent="0.35">
      <c r="A358" s="1">
        <v>356</v>
      </c>
      <c r="B358" t="s">
        <v>3</v>
      </c>
      <c r="C358" s="3" t="s">
        <v>241</v>
      </c>
      <c r="D358" s="5">
        <v>0</v>
      </c>
      <c r="E358">
        <v>0</v>
      </c>
      <c r="H358" s="3"/>
      <c r="I358" s="3"/>
    </row>
    <row r="359" spans="1:9" x14ac:dyDescent="0.35">
      <c r="A359" s="1">
        <v>357</v>
      </c>
      <c r="B359" t="s">
        <v>3</v>
      </c>
      <c r="C359" s="3" t="s">
        <v>265</v>
      </c>
      <c r="D359" s="5">
        <v>0</v>
      </c>
      <c r="E359">
        <v>0</v>
      </c>
      <c r="H359" s="3"/>
      <c r="I359" s="3"/>
    </row>
    <row r="360" spans="1:9" x14ac:dyDescent="0.35">
      <c r="A360" s="1">
        <v>358</v>
      </c>
      <c r="B360" t="s">
        <v>3</v>
      </c>
      <c r="C360" s="3" t="s">
        <v>328</v>
      </c>
      <c r="D360" s="5">
        <v>0</v>
      </c>
      <c r="E360">
        <v>0</v>
      </c>
      <c r="H360" s="3"/>
      <c r="I360" s="3"/>
    </row>
    <row r="361" spans="1:9" x14ac:dyDescent="0.35">
      <c r="A361" s="1">
        <v>359</v>
      </c>
      <c r="B361" t="s">
        <v>3</v>
      </c>
      <c r="C361" s="3" t="s">
        <v>403</v>
      </c>
      <c r="D361" s="5">
        <v>0</v>
      </c>
      <c r="E361">
        <v>0</v>
      </c>
      <c r="H361" s="3"/>
      <c r="I361" s="3"/>
    </row>
    <row r="362" spans="1:9" x14ac:dyDescent="0.35">
      <c r="A362" s="1">
        <v>360</v>
      </c>
      <c r="B362" t="s">
        <v>3</v>
      </c>
      <c r="C362" s="3" t="s">
        <v>415</v>
      </c>
      <c r="D362" s="5">
        <v>0</v>
      </c>
      <c r="E362">
        <v>0</v>
      </c>
      <c r="H362" s="3"/>
      <c r="I362" s="3"/>
    </row>
    <row r="363" spans="1:9" x14ac:dyDescent="0.35">
      <c r="A363" s="1">
        <v>361</v>
      </c>
      <c r="B363" t="s">
        <v>3</v>
      </c>
      <c r="C363" s="3" t="s">
        <v>464</v>
      </c>
      <c r="D363" s="5">
        <v>0</v>
      </c>
      <c r="E363">
        <v>0</v>
      </c>
      <c r="H363" s="3"/>
      <c r="I363" s="3"/>
    </row>
    <row r="364" spans="1:9" x14ac:dyDescent="0.35">
      <c r="A364" s="1">
        <v>362</v>
      </c>
      <c r="B364" t="s">
        <v>3</v>
      </c>
      <c r="C364" s="3" t="s">
        <v>281</v>
      </c>
      <c r="D364" s="5">
        <v>0</v>
      </c>
      <c r="E364">
        <v>0</v>
      </c>
      <c r="H364" s="3"/>
      <c r="I364" s="3"/>
    </row>
    <row r="365" spans="1:9" x14ac:dyDescent="0.35">
      <c r="A365" s="1">
        <v>363</v>
      </c>
      <c r="B365" t="s">
        <v>3</v>
      </c>
      <c r="C365" s="3" t="s">
        <v>91</v>
      </c>
      <c r="D365" s="5">
        <v>764279.93870664702</v>
      </c>
      <c r="E365">
        <v>7.6427993947092692E-4</v>
      </c>
      <c r="H365" s="3"/>
      <c r="I365" s="3"/>
    </row>
    <row r="366" spans="1:9" x14ac:dyDescent="0.35">
      <c r="A366" s="1">
        <v>364</v>
      </c>
      <c r="B366" t="s">
        <v>3</v>
      </c>
      <c r="C366" s="3" t="s">
        <v>398</v>
      </c>
      <c r="D366" s="5">
        <v>11108.459480847619</v>
      </c>
      <c r="E366">
        <v>1.110845949195609E-5</v>
      </c>
      <c r="H366" s="3"/>
      <c r="I366" s="3"/>
    </row>
    <row r="367" spans="1:9" x14ac:dyDescent="0.35">
      <c r="A367" s="1">
        <v>365</v>
      </c>
      <c r="B367" t="s">
        <v>3</v>
      </c>
      <c r="C367" s="3" t="s">
        <v>355</v>
      </c>
      <c r="D367">
        <v>0</v>
      </c>
      <c r="E367">
        <v>0</v>
      </c>
      <c r="H367" s="3"/>
      <c r="I367" s="3"/>
    </row>
    <row r="368" spans="1:9" x14ac:dyDescent="0.35">
      <c r="A368" s="1">
        <v>366</v>
      </c>
      <c r="B368" t="s">
        <v>3</v>
      </c>
      <c r="C368" s="3" t="s">
        <v>454</v>
      </c>
      <c r="D368" s="5">
        <v>0</v>
      </c>
      <c r="E368">
        <v>0</v>
      </c>
      <c r="H368" s="3"/>
      <c r="I368" s="3"/>
    </row>
    <row r="369" spans="1:9" x14ac:dyDescent="0.35">
      <c r="A369" s="1">
        <v>367</v>
      </c>
      <c r="B369" t="s">
        <v>3</v>
      </c>
      <c r="C369" s="3" t="s">
        <v>333</v>
      </c>
      <c r="D369" s="5">
        <v>0</v>
      </c>
      <c r="E369">
        <v>0</v>
      </c>
      <c r="H369" s="3"/>
      <c r="I369" s="3"/>
    </row>
    <row r="370" spans="1:9" x14ac:dyDescent="0.35">
      <c r="A370" s="1">
        <v>368</v>
      </c>
      <c r="B370" t="s">
        <v>3</v>
      </c>
      <c r="C370" s="3" t="s">
        <v>407</v>
      </c>
      <c r="D370" s="5">
        <v>0</v>
      </c>
      <c r="E370">
        <v>0</v>
      </c>
      <c r="H370" s="3"/>
      <c r="I370" s="3"/>
    </row>
    <row r="371" spans="1:9" x14ac:dyDescent="0.35">
      <c r="A371" s="1">
        <v>369</v>
      </c>
      <c r="B371" t="s">
        <v>3</v>
      </c>
      <c r="C371" s="3" t="s">
        <v>273</v>
      </c>
      <c r="D371" s="5">
        <v>0</v>
      </c>
      <c r="E371">
        <v>0</v>
      </c>
      <c r="H371" s="3"/>
      <c r="I371" s="3"/>
    </row>
    <row r="372" spans="1:9" x14ac:dyDescent="0.35">
      <c r="A372" s="1">
        <v>370</v>
      </c>
      <c r="B372" t="s">
        <v>3</v>
      </c>
      <c r="C372" s="3" t="s">
        <v>93</v>
      </c>
      <c r="D372" s="5">
        <v>81091</v>
      </c>
      <c r="E372">
        <v>8.1091000081091004E-5</v>
      </c>
      <c r="H372" s="3"/>
      <c r="I372" s="3"/>
    </row>
    <row r="373" spans="1:9" x14ac:dyDescent="0.35">
      <c r="A373" s="1">
        <v>371</v>
      </c>
      <c r="B373" t="s">
        <v>3</v>
      </c>
      <c r="C373" t="s">
        <v>302</v>
      </c>
      <c r="D373">
        <v>0</v>
      </c>
      <c r="E373">
        <v>0</v>
      </c>
      <c r="H373" s="3"/>
      <c r="I373" s="3"/>
    </row>
    <row r="374" spans="1:9" x14ac:dyDescent="0.35">
      <c r="A374" s="1">
        <v>372</v>
      </c>
      <c r="B374" t="s">
        <v>3</v>
      </c>
      <c r="C374" t="s">
        <v>310</v>
      </c>
      <c r="D374">
        <v>0</v>
      </c>
      <c r="E374">
        <v>0</v>
      </c>
      <c r="H374" s="3"/>
      <c r="I374" s="3"/>
    </row>
    <row r="375" spans="1:9" x14ac:dyDescent="0.35">
      <c r="A375" s="1">
        <v>373</v>
      </c>
      <c r="B375" t="s">
        <v>3</v>
      </c>
      <c r="C375" t="s">
        <v>249</v>
      </c>
      <c r="D375">
        <v>0</v>
      </c>
      <c r="E375">
        <v>0</v>
      </c>
      <c r="H375" s="3"/>
      <c r="I375" s="3"/>
    </row>
    <row r="376" spans="1:9" x14ac:dyDescent="0.35">
      <c r="A376" s="1">
        <v>374</v>
      </c>
      <c r="B376" t="s">
        <v>3</v>
      </c>
      <c r="C376" t="s">
        <v>105</v>
      </c>
      <c r="D376">
        <v>0</v>
      </c>
      <c r="E376">
        <v>0</v>
      </c>
      <c r="H376" s="3"/>
      <c r="I376" s="3"/>
    </row>
    <row r="377" spans="1:9" x14ac:dyDescent="0.35">
      <c r="A377" s="1">
        <v>375</v>
      </c>
      <c r="B377" t="s">
        <v>3</v>
      </c>
      <c r="C377" t="s">
        <v>85</v>
      </c>
      <c r="D377">
        <v>0</v>
      </c>
      <c r="E377">
        <v>0</v>
      </c>
      <c r="H377" s="3"/>
      <c r="I377" s="3"/>
    </row>
    <row r="378" spans="1:9" x14ac:dyDescent="0.35">
      <c r="A378" s="1">
        <v>376</v>
      </c>
      <c r="B378" t="s">
        <v>3</v>
      </c>
      <c r="C378" t="s">
        <v>101</v>
      </c>
      <c r="D378">
        <v>0</v>
      </c>
      <c r="E378">
        <v>0</v>
      </c>
      <c r="H378" s="3"/>
      <c r="I378" s="3"/>
    </row>
    <row r="379" spans="1:9" x14ac:dyDescent="0.35">
      <c r="A379" s="1">
        <v>377</v>
      </c>
      <c r="B379" t="s">
        <v>3</v>
      </c>
      <c r="C379" t="s">
        <v>100</v>
      </c>
      <c r="D379">
        <v>0</v>
      </c>
      <c r="E379">
        <v>0</v>
      </c>
      <c r="H379" s="3"/>
      <c r="I379" s="3"/>
    </row>
    <row r="380" spans="1:9" x14ac:dyDescent="0.35">
      <c r="A380" s="1">
        <v>378</v>
      </c>
      <c r="B380" t="s">
        <v>3</v>
      </c>
      <c r="C380" t="s">
        <v>395</v>
      </c>
      <c r="D380">
        <v>183773.7</v>
      </c>
      <c r="E380">
        <v>1.837737001837737E-4</v>
      </c>
      <c r="H380" s="3"/>
      <c r="I380" s="3"/>
    </row>
    <row r="381" spans="1:9" x14ac:dyDescent="0.35">
      <c r="A381" s="1">
        <v>379</v>
      </c>
      <c r="B381" t="s">
        <v>3</v>
      </c>
      <c r="C381" t="s">
        <v>301</v>
      </c>
      <c r="D381">
        <v>82821.305276141124</v>
      </c>
      <c r="E381">
        <v>8.2821305358962425E-5</v>
      </c>
      <c r="H381" s="3"/>
      <c r="I381" s="3"/>
    </row>
    <row r="382" spans="1:9" x14ac:dyDescent="0.35">
      <c r="A382" s="1">
        <v>380</v>
      </c>
      <c r="B382" t="s">
        <v>3</v>
      </c>
      <c r="C382" t="s">
        <v>413</v>
      </c>
      <c r="D382">
        <v>0</v>
      </c>
      <c r="E382">
        <v>0</v>
      </c>
      <c r="H382" s="3"/>
      <c r="I382" s="3"/>
    </row>
    <row r="383" spans="1:9" x14ac:dyDescent="0.35">
      <c r="A383" s="1">
        <v>381</v>
      </c>
      <c r="B383" t="s">
        <v>3</v>
      </c>
      <c r="C383" t="s">
        <v>332</v>
      </c>
      <c r="D383">
        <v>0</v>
      </c>
      <c r="E383">
        <v>0</v>
      </c>
      <c r="H383" s="3"/>
      <c r="I383" s="3"/>
    </row>
    <row r="384" spans="1:9" x14ac:dyDescent="0.35">
      <c r="A384" s="1">
        <v>382</v>
      </c>
      <c r="B384" t="s">
        <v>3</v>
      </c>
      <c r="C384" t="s">
        <v>320</v>
      </c>
      <c r="D384">
        <v>0</v>
      </c>
      <c r="E384">
        <v>0</v>
      </c>
      <c r="H384" s="3"/>
      <c r="I384" s="3"/>
    </row>
    <row r="385" spans="1:9" x14ac:dyDescent="0.35">
      <c r="A385" s="1">
        <v>383</v>
      </c>
      <c r="B385" t="s">
        <v>3</v>
      </c>
      <c r="C385" t="s">
        <v>94</v>
      </c>
      <c r="D385">
        <v>0</v>
      </c>
      <c r="E385">
        <v>0</v>
      </c>
      <c r="H385" s="3"/>
      <c r="I385" s="3"/>
    </row>
    <row r="386" spans="1:9" x14ac:dyDescent="0.35">
      <c r="A386" s="1">
        <v>384</v>
      </c>
      <c r="B386" t="s">
        <v>3</v>
      </c>
      <c r="C386" t="s">
        <v>453</v>
      </c>
      <c r="D386">
        <v>0</v>
      </c>
      <c r="E386">
        <v>0</v>
      </c>
      <c r="H386" s="3"/>
      <c r="I386" s="3"/>
    </row>
    <row r="387" spans="1:9" x14ac:dyDescent="0.35">
      <c r="A387" s="1">
        <v>385</v>
      </c>
      <c r="B387" t="s">
        <v>3</v>
      </c>
      <c r="C387" t="s">
        <v>271</v>
      </c>
      <c r="D387">
        <v>0</v>
      </c>
      <c r="E387">
        <v>0</v>
      </c>
      <c r="H387" s="3"/>
      <c r="I387" s="3"/>
    </row>
    <row r="388" spans="1:9" x14ac:dyDescent="0.35">
      <c r="A388" s="1">
        <v>386</v>
      </c>
      <c r="B388" t="s">
        <v>3</v>
      </c>
      <c r="C388" t="s">
        <v>418</v>
      </c>
      <c r="D388">
        <v>0</v>
      </c>
      <c r="E388">
        <v>0</v>
      </c>
      <c r="H388" s="3"/>
      <c r="I388" s="3"/>
    </row>
    <row r="389" spans="1:9" x14ac:dyDescent="0.35">
      <c r="A389" s="1">
        <v>387</v>
      </c>
      <c r="B389" t="s">
        <v>3</v>
      </c>
      <c r="C389" t="s">
        <v>465</v>
      </c>
      <c r="D389">
        <v>0</v>
      </c>
      <c r="E389">
        <v>0</v>
      </c>
      <c r="H389" s="3"/>
      <c r="I389" s="3"/>
    </row>
    <row r="390" spans="1:9" x14ac:dyDescent="0.35">
      <c r="A390" s="1">
        <v>388</v>
      </c>
      <c r="B390" t="s">
        <v>3</v>
      </c>
      <c r="C390" t="s">
        <v>322</v>
      </c>
      <c r="D390">
        <v>0</v>
      </c>
      <c r="E390">
        <v>0</v>
      </c>
      <c r="H390" s="3"/>
      <c r="I390" s="3"/>
    </row>
    <row r="391" spans="1:9" x14ac:dyDescent="0.35">
      <c r="A391" s="1">
        <v>389</v>
      </c>
      <c r="B391" t="s">
        <v>3</v>
      </c>
      <c r="C391" t="s">
        <v>457</v>
      </c>
      <c r="D391">
        <v>0</v>
      </c>
      <c r="E391">
        <v>0</v>
      </c>
      <c r="H391" s="3"/>
      <c r="I391" s="3"/>
    </row>
    <row r="392" spans="1:9" x14ac:dyDescent="0.35">
      <c r="A392" s="1">
        <v>390</v>
      </c>
      <c r="B392" t="s">
        <v>3</v>
      </c>
      <c r="C392" t="s">
        <v>316</v>
      </c>
      <c r="D392">
        <v>25402</v>
      </c>
      <c r="E392">
        <v>2.5402000025402001E-5</v>
      </c>
      <c r="H392" s="3"/>
      <c r="I392" s="3"/>
    </row>
    <row r="393" spans="1:9" x14ac:dyDescent="0.35">
      <c r="A393" s="1">
        <v>391</v>
      </c>
      <c r="B393" t="s">
        <v>3</v>
      </c>
      <c r="C393" t="s">
        <v>275</v>
      </c>
      <c r="D393">
        <v>0</v>
      </c>
      <c r="E393">
        <v>0</v>
      </c>
      <c r="H393" s="3"/>
      <c r="I393" s="3"/>
    </row>
    <row r="394" spans="1:9" x14ac:dyDescent="0.35">
      <c r="A394" s="1">
        <v>392</v>
      </c>
      <c r="B394" t="s">
        <v>3</v>
      </c>
      <c r="C394" t="s">
        <v>98</v>
      </c>
      <c r="D394">
        <v>139365.0872146152</v>
      </c>
      <c r="E394">
        <v>1.393650873539803E-4</v>
      </c>
      <c r="H394" s="3"/>
      <c r="I394" s="3"/>
    </row>
    <row r="395" spans="1:9" x14ac:dyDescent="0.35">
      <c r="A395" s="1">
        <v>393</v>
      </c>
      <c r="B395" t="s">
        <v>3</v>
      </c>
      <c r="C395" t="s">
        <v>399</v>
      </c>
      <c r="D395">
        <v>0</v>
      </c>
      <c r="E395">
        <v>0</v>
      </c>
      <c r="H395" s="3"/>
      <c r="I395" s="3"/>
    </row>
    <row r="396" spans="1:9" x14ac:dyDescent="0.35">
      <c r="A396" s="1">
        <v>394</v>
      </c>
      <c r="B396" t="s">
        <v>3</v>
      </c>
      <c r="C396" t="s">
        <v>306</v>
      </c>
      <c r="D396">
        <v>0</v>
      </c>
      <c r="E396">
        <v>0</v>
      </c>
      <c r="H396" s="3"/>
      <c r="I396" s="3"/>
    </row>
    <row r="397" spans="1:9" x14ac:dyDescent="0.35">
      <c r="A397" s="1">
        <v>395</v>
      </c>
      <c r="B397" t="s">
        <v>3</v>
      </c>
      <c r="C397" t="s">
        <v>296</v>
      </c>
      <c r="D397">
        <v>0</v>
      </c>
      <c r="E397">
        <v>0</v>
      </c>
      <c r="H397" s="3"/>
      <c r="I397" s="3"/>
    </row>
    <row r="398" spans="1:9" x14ac:dyDescent="0.35">
      <c r="A398" s="1">
        <v>396</v>
      </c>
      <c r="B398" t="s">
        <v>3</v>
      </c>
      <c r="C398" t="s">
        <v>330</v>
      </c>
      <c r="D398">
        <v>488874.32838911802</v>
      </c>
      <c r="E398">
        <v>4.8887432887799226E-4</v>
      </c>
      <c r="H398" s="3"/>
      <c r="I398" s="3"/>
    </row>
    <row r="399" spans="1:9" x14ac:dyDescent="0.35">
      <c r="A399" s="1">
        <v>397</v>
      </c>
      <c r="B399" t="s">
        <v>3</v>
      </c>
      <c r="C399" t="s">
        <v>240</v>
      </c>
      <c r="D399">
        <v>0</v>
      </c>
      <c r="E399">
        <v>0</v>
      </c>
      <c r="H399" s="3"/>
      <c r="I399" s="3"/>
    </row>
    <row r="400" spans="1:9" x14ac:dyDescent="0.35">
      <c r="A400" s="1">
        <v>398</v>
      </c>
      <c r="B400" t="s">
        <v>3</v>
      </c>
      <c r="C400" t="s">
        <v>108</v>
      </c>
      <c r="D400">
        <v>527.10126999999989</v>
      </c>
      <c r="E400">
        <v>5.2710127052710114E-7</v>
      </c>
      <c r="H400" s="3"/>
      <c r="I400" s="3"/>
    </row>
    <row r="401" spans="1:9" x14ac:dyDescent="0.35">
      <c r="A401" s="1">
        <v>399</v>
      </c>
      <c r="B401" t="s">
        <v>3</v>
      </c>
      <c r="C401" t="s">
        <v>109</v>
      </c>
      <c r="D401">
        <v>992082.4375</v>
      </c>
      <c r="E401">
        <v>9.9208243849208252E-4</v>
      </c>
      <c r="H401" s="3"/>
      <c r="I401" s="3"/>
    </row>
    <row r="402" spans="1:9" x14ac:dyDescent="0.35">
      <c r="A402" s="1">
        <v>400</v>
      </c>
      <c r="B402" t="s">
        <v>3</v>
      </c>
      <c r="C402" t="s">
        <v>110</v>
      </c>
      <c r="D402">
        <v>5354.6634399999994</v>
      </c>
      <c r="E402">
        <v>5.3546634453546629E-6</v>
      </c>
      <c r="H402" s="3"/>
      <c r="I402" s="3"/>
    </row>
    <row r="403" spans="1:9" x14ac:dyDescent="0.35">
      <c r="A403" s="1">
        <v>401</v>
      </c>
      <c r="B403" t="s">
        <v>3</v>
      </c>
      <c r="C403" t="s">
        <v>366</v>
      </c>
      <c r="D403">
        <v>0</v>
      </c>
      <c r="E403">
        <v>0</v>
      </c>
      <c r="H403" s="3"/>
      <c r="I403" s="3"/>
    </row>
    <row r="404" spans="1:9" x14ac:dyDescent="0.35">
      <c r="A404" s="1">
        <v>402</v>
      </c>
      <c r="B404" t="s">
        <v>3</v>
      </c>
      <c r="C404" t="s">
        <v>111</v>
      </c>
      <c r="D404">
        <v>146.55000000000001</v>
      </c>
      <c r="E404">
        <v>1.4655000014655001E-7</v>
      </c>
      <c r="H404" s="3"/>
      <c r="I404" s="3"/>
    </row>
    <row r="405" spans="1:9" x14ac:dyDescent="0.35">
      <c r="A405" s="1">
        <v>403</v>
      </c>
      <c r="B405" t="s">
        <v>3</v>
      </c>
      <c r="C405" t="s">
        <v>112</v>
      </c>
      <c r="D405">
        <v>0</v>
      </c>
      <c r="E405">
        <v>0</v>
      </c>
      <c r="H405" s="3"/>
      <c r="I405" s="3"/>
    </row>
    <row r="406" spans="1:9" x14ac:dyDescent="0.35">
      <c r="A406" s="1">
        <v>404</v>
      </c>
      <c r="B406" t="s">
        <v>3</v>
      </c>
      <c r="C406" t="s">
        <v>113</v>
      </c>
      <c r="D406">
        <v>79.527800000000013</v>
      </c>
      <c r="E406">
        <v>7.9527800079527816E-8</v>
      </c>
      <c r="H406" s="3"/>
      <c r="I406" s="3"/>
    </row>
    <row r="407" spans="1:9" x14ac:dyDescent="0.35">
      <c r="A407" s="1">
        <v>405</v>
      </c>
      <c r="B407" t="s">
        <v>3</v>
      </c>
      <c r="C407" t="s">
        <v>114</v>
      </c>
      <c r="D407">
        <v>7367.5569999999998</v>
      </c>
      <c r="E407">
        <v>7.3675570073675564E-6</v>
      </c>
      <c r="H407" s="3"/>
      <c r="I407" s="3"/>
    </row>
    <row r="408" spans="1:9" x14ac:dyDescent="0.35">
      <c r="A408" s="1">
        <v>406</v>
      </c>
      <c r="B408" t="s">
        <v>3</v>
      </c>
      <c r="C408" t="s">
        <v>115</v>
      </c>
      <c r="D408">
        <v>1821.80213</v>
      </c>
      <c r="E408">
        <v>1.821802131821802E-6</v>
      </c>
      <c r="H408" s="3"/>
      <c r="I408" s="3"/>
    </row>
    <row r="409" spans="1:9" x14ac:dyDescent="0.35">
      <c r="A409" s="1">
        <v>407</v>
      </c>
      <c r="B409" t="s">
        <v>3</v>
      </c>
      <c r="C409" t="s">
        <v>116</v>
      </c>
      <c r="D409">
        <v>17600.3619</v>
      </c>
      <c r="E409">
        <v>1.7600361917600362E-5</v>
      </c>
      <c r="H409" s="3"/>
      <c r="I409" s="3"/>
    </row>
    <row r="410" spans="1:9" x14ac:dyDescent="0.35">
      <c r="A410" s="1">
        <v>408</v>
      </c>
      <c r="B410" t="s">
        <v>3</v>
      </c>
      <c r="C410" t="s">
        <v>367</v>
      </c>
      <c r="D410">
        <v>0</v>
      </c>
      <c r="E410">
        <v>0</v>
      </c>
      <c r="H410" s="3"/>
      <c r="I410" s="3"/>
    </row>
    <row r="411" spans="1:9" x14ac:dyDescent="0.35">
      <c r="A411" s="1">
        <v>409</v>
      </c>
      <c r="B411" t="s">
        <v>3</v>
      </c>
      <c r="C411" t="s">
        <v>368</v>
      </c>
      <c r="D411">
        <v>0</v>
      </c>
      <c r="E411">
        <v>0</v>
      </c>
      <c r="H411" s="3"/>
      <c r="I411" s="3"/>
    </row>
    <row r="412" spans="1:9" x14ac:dyDescent="0.35">
      <c r="A412" s="1">
        <v>410</v>
      </c>
      <c r="B412" t="s">
        <v>3</v>
      </c>
      <c r="C412" t="s">
        <v>117</v>
      </c>
      <c r="D412">
        <v>120.91352000000001</v>
      </c>
      <c r="E412">
        <v>1.209135201209135E-7</v>
      </c>
      <c r="H412" s="3"/>
      <c r="I412" s="3"/>
    </row>
    <row r="413" spans="1:9" x14ac:dyDescent="0.35">
      <c r="A413" s="1">
        <v>411</v>
      </c>
      <c r="B413" t="s">
        <v>3</v>
      </c>
      <c r="C413" t="s">
        <v>118</v>
      </c>
      <c r="D413">
        <v>37839.21</v>
      </c>
      <c r="E413">
        <v>3.7839210037839207E-5</v>
      </c>
      <c r="H413" s="3"/>
      <c r="I413" s="3"/>
    </row>
    <row r="414" spans="1:9" x14ac:dyDescent="0.35">
      <c r="A414" s="1">
        <v>412</v>
      </c>
      <c r="B414" t="s">
        <v>3</v>
      </c>
      <c r="C414" t="s">
        <v>119</v>
      </c>
      <c r="D414">
        <v>19.452069999999999</v>
      </c>
      <c r="E414">
        <v>1.9452070019452069E-8</v>
      </c>
      <c r="H414" s="3"/>
      <c r="I414" s="3"/>
    </row>
    <row r="415" spans="1:9" x14ac:dyDescent="0.35">
      <c r="A415" s="1">
        <v>413</v>
      </c>
      <c r="B415" t="s">
        <v>3</v>
      </c>
      <c r="C415" t="s">
        <v>120</v>
      </c>
      <c r="D415">
        <v>16841.526000000002</v>
      </c>
      <c r="E415">
        <v>1.6841526016841531E-5</v>
      </c>
      <c r="H415" s="3"/>
      <c r="I415" s="3"/>
    </row>
    <row r="416" spans="1:9" x14ac:dyDescent="0.35">
      <c r="A416" s="1">
        <v>414</v>
      </c>
      <c r="B416" t="s">
        <v>3</v>
      </c>
      <c r="C416" t="s">
        <v>121</v>
      </c>
      <c r="D416">
        <v>10559.26945</v>
      </c>
      <c r="E416">
        <v>1.055926946055927E-5</v>
      </c>
      <c r="H416" s="3"/>
      <c r="I416" s="3"/>
    </row>
    <row r="417" spans="1:9" x14ac:dyDescent="0.35">
      <c r="A417" s="1">
        <v>415</v>
      </c>
      <c r="B417" t="s">
        <v>3</v>
      </c>
      <c r="C417" t="s">
        <v>122</v>
      </c>
      <c r="D417">
        <v>28726.18388</v>
      </c>
      <c r="E417">
        <v>2.8726183908726188E-5</v>
      </c>
      <c r="H417" s="3"/>
      <c r="I417" s="3"/>
    </row>
    <row r="418" spans="1:9" x14ac:dyDescent="0.35">
      <c r="A418" s="1">
        <v>416</v>
      </c>
      <c r="B418" t="s">
        <v>3</v>
      </c>
      <c r="C418" t="s">
        <v>369</v>
      </c>
      <c r="D418">
        <v>0</v>
      </c>
      <c r="E418">
        <v>0</v>
      </c>
      <c r="H418" s="3"/>
      <c r="I418" s="3"/>
    </row>
    <row r="419" spans="1:9" x14ac:dyDescent="0.35">
      <c r="A419" s="1">
        <v>417</v>
      </c>
      <c r="B419" t="s">
        <v>3</v>
      </c>
      <c r="C419" t="s">
        <v>123</v>
      </c>
      <c r="D419">
        <v>159325.9949275718</v>
      </c>
      <c r="E419">
        <v>1.5932599508689779E-4</v>
      </c>
      <c r="H419" s="3"/>
      <c r="I419" s="3"/>
    </row>
    <row r="420" spans="1:9" x14ac:dyDescent="0.35">
      <c r="A420" s="1">
        <v>418</v>
      </c>
      <c r="B420" t="s">
        <v>3</v>
      </c>
      <c r="C420" t="s">
        <v>370</v>
      </c>
      <c r="D420">
        <v>0</v>
      </c>
      <c r="E420">
        <v>0</v>
      </c>
      <c r="H420" s="3"/>
      <c r="I420" s="3"/>
    </row>
    <row r="421" spans="1:9" x14ac:dyDescent="0.35">
      <c r="A421" s="1">
        <v>419</v>
      </c>
      <c r="B421" t="s">
        <v>3</v>
      </c>
      <c r="C421" t="s">
        <v>371</v>
      </c>
      <c r="D421">
        <v>0</v>
      </c>
      <c r="E421">
        <v>0</v>
      </c>
      <c r="H421" s="3"/>
      <c r="I421" s="3"/>
    </row>
    <row r="422" spans="1:9" x14ac:dyDescent="0.35">
      <c r="A422" s="1">
        <v>420</v>
      </c>
      <c r="B422" t="s">
        <v>3</v>
      </c>
      <c r="C422" t="s">
        <v>372</v>
      </c>
      <c r="D422">
        <v>0</v>
      </c>
      <c r="E422">
        <v>0</v>
      </c>
      <c r="H422" s="3"/>
      <c r="I422" s="3"/>
    </row>
    <row r="423" spans="1:9" x14ac:dyDescent="0.35">
      <c r="A423" s="1">
        <v>421</v>
      </c>
      <c r="B423" t="s">
        <v>3</v>
      </c>
      <c r="C423" t="s">
        <v>124</v>
      </c>
      <c r="D423">
        <v>96124.812210000018</v>
      </c>
      <c r="E423">
        <v>9.6124812306124834E-5</v>
      </c>
      <c r="H423" s="3"/>
      <c r="I423" s="3"/>
    </row>
    <row r="424" spans="1:9" x14ac:dyDescent="0.35">
      <c r="A424" s="1">
        <v>422</v>
      </c>
      <c r="B424" t="s">
        <v>3</v>
      </c>
      <c r="C424" t="s">
        <v>373</v>
      </c>
      <c r="D424">
        <v>0</v>
      </c>
      <c r="E424">
        <v>0</v>
      </c>
      <c r="H424" s="3"/>
      <c r="I424" s="3"/>
    </row>
    <row r="425" spans="1:9" x14ac:dyDescent="0.35">
      <c r="A425" s="1">
        <v>423</v>
      </c>
      <c r="B425" t="s">
        <v>3</v>
      </c>
      <c r="C425" t="s">
        <v>125</v>
      </c>
      <c r="D425">
        <v>1152595.2818499999</v>
      </c>
      <c r="E425">
        <v>1.1525952830025951E-3</v>
      </c>
      <c r="H425" s="3"/>
      <c r="I425" s="3"/>
    </row>
    <row r="426" spans="1:9" x14ac:dyDescent="0.35">
      <c r="A426" s="1">
        <v>424</v>
      </c>
      <c r="B426" t="s">
        <v>3</v>
      </c>
      <c r="C426" t="s">
        <v>126</v>
      </c>
      <c r="D426">
        <v>35142.816767503333</v>
      </c>
      <c r="E426">
        <v>3.5142816802646153E-5</v>
      </c>
      <c r="H426" s="3"/>
      <c r="I426" s="3"/>
    </row>
    <row r="427" spans="1:9" x14ac:dyDescent="0.35">
      <c r="A427" s="1">
        <v>425</v>
      </c>
      <c r="B427" t="s">
        <v>3</v>
      </c>
      <c r="C427" t="s">
        <v>374</v>
      </c>
      <c r="D427">
        <v>0</v>
      </c>
      <c r="E427">
        <v>0</v>
      </c>
      <c r="H427" s="3"/>
      <c r="I427" s="3"/>
    </row>
    <row r="428" spans="1:9" x14ac:dyDescent="0.35">
      <c r="A428" s="1">
        <v>426</v>
      </c>
      <c r="B428" t="s">
        <v>3</v>
      </c>
      <c r="C428" t="s">
        <v>127</v>
      </c>
      <c r="D428">
        <v>91564.439999999988</v>
      </c>
      <c r="E428">
        <v>9.1564440091564434E-5</v>
      </c>
      <c r="H428" s="3"/>
      <c r="I428" s="3"/>
    </row>
    <row r="429" spans="1:9" x14ac:dyDescent="0.35">
      <c r="A429" s="1">
        <v>427</v>
      </c>
      <c r="B429" t="s">
        <v>3</v>
      </c>
      <c r="C429" t="s">
        <v>128</v>
      </c>
      <c r="D429">
        <v>5728954.0927535295</v>
      </c>
      <c r="E429">
        <v>5.728954098482484E-3</v>
      </c>
      <c r="H429" s="3"/>
      <c r="I429" s="3"/>
    </row>
    <row r="430" spans="1:9" x14ac:dyDescent="0.35">
      <c r="A430" s="1">
        <v>428</v>
      </c>
      <c r="B430" t="s">
        <v>3</v>
      </c>
      <c r="C430" t="s">
        <v>129</v>
      </c>
      <c r="D430">
        <v>2882.15</v>
      </c>
      <c r="E430">
        <v>2.8821500028821499E-6</v>
      </c>
      <c r="H430" s="3"/>
    </row>
    <row r="431" spans="1:9" x14ac:dyDescent="0.35">
      <c r="A431" s="1">
        <v>429</v>
      </c>
      <c r="B431" t="s">
        <v>3</v>
      </c>
      <c r="C431" t="s">
        <v>130</v>
      </c>
      <c r="D431">
        <v>391.16149000000001</v>
      </c>
      <c r="E431">
        <v>3.9116149039116148E-7</v>
      </c>
      <c r="H431" s="3"/>
    </row>
    <row r="432" spans="1:9" x14ac:dyDescent="0.35">
      <c r="A432" s="1">
        <v>430</v>
      </c>
      <c r="B432" t="s">
        <v>3</v>
      </c>
      <c r="C432" t="s">
        <v>131</v>
      </c>
      <c r="D432">
        <v>37.145539999999997</v>
      </c>
      <c r="E432">
        <v>3.7145540037145538E-8</v>
      </c>
      <c r="H432" s="3"/>
    </row>
    <row r="433" spans="1:8" x14ac:dyDescent="0.35">
      <c r="A433" s="1">
        <v>431</v>
      </c>
      <c r="B433" t="s">
        <v>3</v>
      </c>
      <c r="C433" t="s">
        <v>375</v>
      </c>
      <c r="D433">
        <v>0</v>
      </c>
      <c r="E433">
        <v>0</v>
      </c>
      <c r="H433" s="3"/>
    </row>
    <row r="434" spans="1:8" x14ac:dyDescent="0.35">
      <c r="A434" s="1">
        <v>432</v>
      </c>
      <c r="B434" t="s">
        <v>3</v>
      </c>
      <c r="C434" t="s">
        <v>132</v>
      </c>
      <c r="D434">
        <v>18008.063999999998</v>
      </c>
      <c r="E434">
        <v>1.8008064018008059E-5</v>
      </c>
      <c r="H434" s="3"/>
    </row>
    <row r="435" spans="1:8" x14ac:dyDescent="0.35">
      <c r="A435" s="1">
        <v>433</v>
      </c>
      <c r="B435" t="s">
        <v>3</v>
      </c>
      <c r="C435" t="s">
        <v>133</v>
      </c>
      <c r="D435">
        <v>22071.504700000001</v>
      </c>
      <c r="E435">
        <v>2.2071504722071509E-5</v>
      </c>
      <c r="H435" s="3"/>
    </row>
    <row r="436" spans="1:8" x14ac:dyDescent="0.35">
      <c r="A436" s="1">
        <v>434</v>
      </c>
      <c r="B436" t="s">
        <v>3</v>
      </c>
      <c r="C436" t="s">
        <v>134</v>
      </c>
      <c r="D436">
        <v>336803.22066599998</v>
      </c>
      <c r="E436">
        <v>3.3680322100280318E-4</v>
      </c>
      <c r="H436" s="3"/>
    </row>
    <row r="437" spans="1:8" x14ac:dyDescent="0.35">
      <c r="A437" s="1">
        <v>435</v>
      </c>
      <c r="B437" t="s">
        <v>3</v>
      </c>
      <c r="C437" t="s">
        <v>135</v>
      </c>
      <c r="D437">
        <v>172908.3456243854</v>
      </c>
      <c r="E437">
        <v>1.7290834579729381E-4</v>
      </c>
      <c r="H437" s="3"/>
    </row>
    <row r="438" spans="1:8" x14ac:dyDescent="0.35">
      <c r="A438" s="1">
        <v>436</v>
      </c>
      <c r="B438" t="s">
        <v>3</v>
      </c>
      <c r="C438" t="s">
        <v>136</v>
      </c>
      <c r="D438">
        <v>209.71305000000001</v>
      </c>
      <c r="E438">
        <v>2.0971305020971309E-7</v>
      </c>
      <c r="H438" s="3"/>
    </row>
    <row r="439" spans="1:8" x14ac:dyDescent="0.35">
      <c r="A439" s="1">
        <v>437</v>
      </c>
      <c r="B439" t="s">
        <v>3</v>
      </c>
      <c r="C439" t="s">
        <v>137</v>
      </c>
      <c r="D439">
        <v>10114848.636708319</v>
      </c>
      <c r="E439">
        <v>1.0114848646823171E-2</v>
      </c>
      <c r="H439" s="3"/>
    </row>
    <row r="440" spans="1:8" x14ac:dyDescent="0.35">
      <c r="A440" s="1">
        <v>438</v>
      </c>
      <c r="B440" t="s">
        <v>3</v>
      </c>
      <c r="C440" t="s">
        <v>138</v>
      </c>
      <c r="D440">
        <v>2132790.764230879</v>
      </c>
      <c r="E440">
        <v>2.1327907663636699E-3</v>
      </c>
      <c r="H440" s="3"/>
    </row>
    <row r="441" spans="1:8" x14ac:dyDescent="0.35">
      <c r="A441" s="1">
        <v>439</v>
      </c>
      <c r="B441" t="s">
        <v>3</v>
      </c>
      <c r="C441" t="s">
        <v>139</v>
      </c>
      <c r="D441">
        <v>1338762.3107718481</v>
      </c>
      <c r="E441">
        <v>1.33876231211061E-3</v>
      </c>
      <c r="H441" s="3"/>
    </row>
    <row r="442" spans="1:8" x14ac:dyDescent="0.35">
      <c r="A442" s="1">
        <v>440</v>
      </c>
      <c r="B442" t="s">
        <v>3</v>
      </c>
      <c r="C442" t="s">
        <v>140</v>
      </c>
      <c r="D442">
        <v>244187.53104004939</v>
      </c>
      <c r="E442">
        <v>2.4418753128423691E-4</v>
      </c>
      <c r="H442" s="3"/>
    </row>
    <row r="443" spans="1:8" x14ac:dyDescent="0.35">
      <c r="A443" s="1">
        <v>441</v>
      </c>
      <c r="B443" t="s">
        <v>3</v>
      </c>
      <c r="C443" t="s">
        <v>141</v>
      </c>
      <c r="D443">
        <v>5194976.9121760055</v>
      </c>
      <c r="E443">
        <v>5.1949769173709826E-3</v>
      </c>
      <c r="H443" s="3"/>
    </row>
    <row r="444" spans="1:8" x14ac:dyDescent="0.35">
      <c r="A444" s="1">
        <v>442</v>
      </c>
      <c r="B444" t="s">
        <v>3</v>
      </c>
      <c r="C444" t="s">
        <v>142</v>
      </c>
      <c r="D444">
        <v>1768141.250753962</v>
      </c>
      <c r="E444">
        <v>1.768141252522103E-3</v>
      </c>
      <c r="H444" s="3"/>
    </row>
    <row r="445" spans="1:8" x14ac:dyDescent="0.35">
      <c r="A445" s="1">
        <v>443</v>
      </c>
      <c r="B445" t="s">
        <v>3</v>
      </c>
      <c r="C445" t="s">
        <v>143</v>
      </c>
      <c r="D445">
        <v>750869.22871639486</v>
      </c>
      <c r="E445">
        <v>7.5086922946726413E-4</v>
      </c>
      <c r="H445" s="3"/>
    </row>
    <row r="446" spans="1:8" x14ac:dyDescent="0.35">
      <c r="A446" s="1">
        <v>444</v>
      </c>
      <c r="B446" t="s">
        <v>3</v>
      </c>
      <c r="C446" t="s">
        <v>144</v>
      </c>
      <c r="D446">
        <v>683.9</v>
      </c>
      <c r="E446">
        <v>6.8390000068389994E-7</v>
      </c>
      <c r="H446" s="3"/>
    </row>
    <row r="447" spans="1:8" x14ac:dyDescent="0.35">
      <c r="A447" s="1">
        <v>445</v>
      </c>
      <c r="B447" t="s">
        <v>3</v>
      </c>
      <c r="C447" t="s">
        <v>145</v>
      </c>
      <c r="D447">
        <v>1014570.249659718</v>
      </c>
      <c r="E447">
        <v>1.0145702506742891E-3</v>
      </c>
      <c r="H447" s="3"/>
    </row>
    <row r="448" spans="1:8" x14ac:dyDescent="0.35">
      <c r="A448" s="1">
        <v>446</v>
      </c>
      <c r="B448" t="s">
        <v>3</v>
      </c>
      <c r="C448" t="s">
        <v>146</v>
      </c>
      <c r="D448">
        <v>2288704.1568338252</v>
      </c>
      <c r="E448">
        <v>2.2887041591225289E-3</v>
      </c>
      <c r="H448" s="3"/>
    </row>
    <row r="449" spans="1:8" x14ac:dyDescent="0.35">
      <c r="A449" s="1">
        <v>447</v>
      </c>
      <c r="B449" t="s">
        <v>3</v>
      </c>
      <c r="C449" t="s">
        <v>376</v>
      </c>
      <c r="D449">
        <v>0</v>
      </c>
      <c r="E449">
        <v>0</v>
      </c>
      <c r="H449" s="3"/>
    </row>
    <row r="450" spans="1:8" x14ac:dyDescent="0.35">
      <c r="A450" s="1">
        <v>448</v>
      </c>
      <c r="B450" t="s">
        <v>3</v>
      </c>
      <c r="C450" t="s">
        <v>147</v>
      </c>
      <c r="D450">
        <v>308590.22299160768</v>
      </c>
      <c r="E450">
        <v>3.0859022330019791E-4</v>
      </c>
      <c r="H450" s="3"/>
    </row>
    <row r="451" spans="1:8" x14ac:dyDescent="0.35">
      <c r="A451" s="1">
        <v>449</v>
      </c>
      <c r="B451" t="s">
        <v>3</v>
      </c>
      <c r="C451" t="s">
        <v>148</v>
      </c>
      <c r="D451">
        <v>1259517.180291699</v>
      </c>
      <c r="E451">
        <v>1.259517181551216E-3</v>
      </c>
      <c r="H451" s="3"/>
    </row>
    <row r="452" spans="1:8" x14ac:dyDescent="0.35">
      <c r="A452" s="1">
        <v>450</v>
      </c>
      <c r="B452" t="s">
        <v>3</v>
      </c>
      <c r="C452" t="s">
        <v>149</v>
      </c>
      <c r="D452">
        <v>1828659.302226193</v>
      </c>
      <c r="E452">
        <v>1.8286593040548521E-3</v>
      </c>
      <c r="H452" s="3"/>
    </row>
    <row r="453" spans="1:8" x14ac:dyDescent="0.35">
      <c r="A453" s="1">
        <v>451</v>
      </c>
      <c r="B453" t="s">
        <v>3</v>
      </c>
      <c r="C453" t="s">
        <v>150</v>
      </c>
      <c r="D453">
        <v>557871.03573034669</v>
      </c>
      <c r="E453">
        <v>5.578710362882177E-4</v>
      </c>
      <c r="H453" s="3"/>
    </row>
    <row r="454" spans="1:8" x14ac:dyDescent="0.35">
      <c r="A454" s="1">
        <v>452</v>
      </c>
      <c r="B454" t="s">
        <v>3</v>
      </c>
      <c r="C454" t="s">
        <v>151</v>
      </c>
      <c r="D454">
        <v>1419953.943201544</v>
      </c>
      <c r="E454">
        <v>1.4199539446214981E-3</v>
      </c>
      <c r="H454" s="3"/>
    </row>
  </sheetData>
  <pageMargins left="0.75" right="0.75" top="1" bottom="1" header="0.5" footer="0.5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678F-D943-496C-BDA1-B50A1ACDC375}">
  <dimension ref="A1:C20"/>
  <sheetViews>
    <sheetView workbookViewId="0">
      <selection activeCell="F27" sqref="F27"/>
    </sheetView>
  </sheetViews>
  <sheetFormatPr defaultRowHeight="14.5" x14ac:dyDescent="0.35"/>
  <cols>
    <col min="1" max="1" width="17.1796875" customWidth="1"/>
    <col min="2" max="2" width="12.6328125" customWidth="1"/>
    <col min="3" max="3" width="8.72656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33</v>
      </c>
      <c r="B2" s="5">
        <f>VLOOKUP($A2,Raw!$C$3:$E$454,2,FALSE)</f>
        <v>447490</v>
      </c>
      <c r="C2" s="5">
        <f>VLOOKUP($A2,Raw!$C$3:$E$454,3,FALSE)</f>
        <v>1</v>
      </c>
    </row>
    <row r="3" spans="1:3" x14ac:dyDescent="0.35">
      <c r="A3" t="s">
        <v>20</v>
      </c>
      <c r="B3" s="5">
        <f>VLOOKUP($A3,Raw!$C$3:$E$454,2,FALSE)</f>
        <v>321094.73993453069</v>
      </c>
      <c r="C3" s="5">
        <f>VLOOKUP($A3,Raw!$C$3:$E$454,3,FALSE)</f>
        <v>0.91294273169259899</v>
      </c>
    </row>
    <row r="4" spans="1:3" x14ac:dyDescent="0.35">
      <c r="A4" t="s">
        <v>37</v>
      </c>
      <c r="B4" s="5">
        <f>VLOOKUP($A4,Raw!$C$3:$E$454,2,FALSE)</f>
        <v>0</v>
      </c>
      <c r="C4" s="5">
        <f>VLOOKUP($A4,Raw!$C$3:$E$454,3,FALSE)</f>
        <v>0</v>
      </c>
    </row>
    <row r="5" spans="1:3" x14ac:dyDescent="0.35">
      <c r="A5" t="s">
        <v>36</v>
      </c>
      <c r="B5" s="5">
        <f>VLOOKUP($A5,Raw!$C$3:$E$454,2,FALSE)</f>
        <v>0</v>
      </c>
      <c r="C5" s="5">
        <f>VLOOKUP($A5,Raw!$C$3:$E$454,3,FALSE)</f>
        <v>0</v>
      </c>
    </row>
    <row r="6" spans="1:3" x14ac:dyDescent="0.35">
      <c r="A6" t="s">
        <v>385</v>
      </c>
      <c r="B6" s="5">
        <f>VLOOKUP($A6,Raw!$C$3:$E$454,2,FALSE)</f>
        <v>117384</v>
      </c>
      <c r="C6" s="5">
        <f>VLOOKUP($A6,Raw!$C$3:$E$454,3,FALSE)</f>
        <v>1</v>
      </c>
    </row>
    <row r="7" spans="1:3" x14ac:dyDescent="0.35">
      <c r="A7" t="s">
        <v>386</v>
      </c>
      <c r="B7" s="5">
        <f>VLOOKUP($A7,Raw!$C$3:$E$454,2,FALSE)</f>
        <v>21195.258000000002</v>
      </c>
      <c r="C7" s="5">
        <f>VLOOKUP($A7,Raw!$C$3:$E$454,3,FALSE)</f>
        <v>1</v>
      </c>
    </row>
    <row r="8" spans="1:3" x14ac:dyDescent="0.35">
      <c r="A8" t="s">
        <v>55</v>
      </c>
      <c r="B8" s="5">
        <f>VLOOKUP($A8,Raw!$C$3:$E$454,2,FALSE)</f>
        <v>209514.51681471179</v>
      </c>
      <c r="C8" s="5">
        <f>VLOOKUP($A8,Raw!$C$3:$E$454,3,FALSE)</f>
        <v>0.82638455897871399</v>
      </c>
    </row>
    <row r="9" spans="1:3" x14ac:dyDescent="0.35">
      <c r="A9" t="s">
        <v>387</v>
      </c>
      <c r="B9" s="5">
        <f>VLOOKUP($A9,Raw!$C$3:$E$454,2,FALSE)</f>
        <v>0</v>
      </c>
      <c r="C9" s="5">
        <f>VLOOKUP($A9,Raw!$C$3:$E$454,3,FALSE)</f>
        <v>0</v>
      </c>
    </row>
    <row r="10" spans="1:3" x14ac:dyDescent="0.35">
      <c r="A10" t="s">
        <v>56</v>
      </c>
      <c r="B10" s="5">
        <f>VLOOKUP($A10,Raw!$C$3:$E$454,2,FALSE)</f>
        <v>139365.0872146152</v>
      </c>
      <c r="C10" s="5">
        <f>VLOOKUP($A10,Raw!$C$3:$E$454,3,FALSE)</f>
        <v>0.93232643088161837</v>
      </c>
    </row>
    <row r="11" spans="1:3" x14ac:dyDescent="0.35">
      <c r="A11" t="s">
        <v>60</v>
      </c>
      <c r="B11" s="5">
        <f>VLOOKUP($A11,Raw!$C$3:$E$454,2,FALSE)</f>
        <v>81091</v>
      </c>
      <c r="C11" s="5">
        <f>VLOOKUP($A11,Raw!$C$3:$E$454,3,FALSE)</f>
        <v>0.99999999999999978</v>
      </c>
    </row>
    <row r="12" spans="1:3" x14ac:dyDescent="0.35">
      <c r="A12" t="s">
        <v>59</v>
      </c>
      <c r="B12" s="5">
        <f>VLOOKUP($A12,Raw!$C$3:$E$454,2,FALSE)</f>
        <v>25402</v>
      </c>
      <c r="C12" s="5">
        <f>VLOOKUP($A12,Raw!$C$3:$E$454,3,FALSE)</f>
        <v>1</v>
      </c>
    </row>
    <row r="13" spans="1:3" x14ac:dyDescent="0.35">
      <c r="A13" t="s">
        <v>54</v>
      </c>
      <c r="B13" s="5">
        <f>VLOOKUP($A13,Raw!$C$3:$E$454,2,FALSE)</f>
        <v>122125</v>
      </c>
      <c r="C13" s="5">
        <f>VLOOKUP($A13,Raw!$C$3:$E$454,3,FALSE)</f>
        <v>1</v>
      </c>
    </row>
    <row r="14" spans="1:3" x14ac:dyDescent="0.35">
      <c r="A14" t="s">
        <v>64</v>
      </c>
      <c r="B14" s="5">
        <f>VLOOKUP($A14,Raw!$C$3:$E$454,2,FALSE)</f>
        <v>357542.03265889653</v>
      </c>
      <c r="C14" s="5">
        <f>VLOOKUP($A14,Raw!$C$3:$E$454,3,FALSE)</f>
        <v>0.92647871334075271</v>
      </c>
    </row>
    <row r="15" spans="1:3" x14ac:dyDescent="0.35">
      <c r="A15" t="s">
        <v>388</v>
      </c>
      <c r="B15" s="5">
        <f>VLOOKUP($A15,Raw!$C$3:$E$454,2,FALSE)</f>
        <v>183773.7</v>
      </c>
      <c r="C15" s="5">
        <f>VLOOKUP($A15,Raw!$C$3:$E$454,3,FALSE)</f>
        <v>1</v>
      </c>
    </row>
    <row r="16" spans="1:3" x14ac:dyDescent="0.35">
      <c r="A16" t="s">
        <v>83</v>
      </c>
      <c r="B16" s="5">
        <f>VLOOKUP($A16,Raw!$C$3:$E$454,2,FALSE)</f>
        <v>293099.99999999988</v>
      </c>
      <c r="C16" s="5">
        <f>VLOOKUP($A16,Raw!$C$3:$E$454,3,FALSE)</f>
        <v>1</v>
      </c>
    </row>
    <row r="17" spans="1:3" x14ac:dyDescent="0.35">
      <c r="A17" t="s">
        <v>82</v>
      </c>
      <c r="B17" s="5">
        <f>VLOOKUP($A17,Raw!$C$3:$E$454,2,FALSE)</f>
        <v>371260</v>
      </c>
      <c r="C17" s="5">
        <f>VLOOKUP($A17,Raw!$C$3:$E$454,3,FALSE)</f>
        <v>1</v>
      </c>
    </row>
    <row r="18" spans="1:3" x14ac:dyDescent="0.35">
      <c r="A18" t="s">
        <v>137</v>
      </c>
      <c r="B18" s="5">
        <f>VLOOKUP($A18,Raw!$C$3:$E$454,2,FALSE)</f>
        <v>10114848.636708319</v>
      </c>
      <c r="C18" s="5">
        <f>VLOOKUP($A18,Raw!$C$3:$E$454,3,FALSE)</f>
        <v>1.0114848646823171E-2</v>
      </c>
    </row>
    <row r="19" spans="1:3" x14ac:dyDescent="0.35">
      <c r="A19" t="s">
        <v>389</v>
      </c>
      <c r="B19" s="5">
        <f>VLOOKUP($A19,Raw!$C$3:$E$454,2,FALSE)</f>
        <v>112059.5436666465</v>
      </c>
      <c r="C19" s="5">
        <f>VLOOKUP($A19,Raw!$C$3:$E$454,3,FALSE)</f>
        <v>0.95464069776670146</v>
      </c>
    </row>
    <row r="20" spans="1:3" x14ac:dyDescent="0.35">
      <c r="A20" t="s">
        <v>62</v>
      </c>
      <c r="B20" s="5">
        <f>VLOOKUP($A20,Raw!$C$3:$E$454,2,FALSE)</f>
        <v>36490.417710000002</v>
      </c>
      <c r="C20" s="5">
        <f>VLOOKUP($A20,Raw!$C$3:$E$454,3,FALSE)</f>
        <v>0.93373637947799393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7D6B2-627A-4AD8-9323-9DD6721C9721}">
  <dimension ref="A1:C17"/>
  <sheetViews>
    <sheetView workbookViewId="0">
      <selection activeCell="B3" sqref="B3"/>
    </sheetView>
  </sheetViews>
  <sheetFormatPr defaultRowHeight="14.5" x14ac:dyDescent="0.35"/>
  <cols>
    <col min="1" max="1" width="17.6328125" customWidth="1"/>
    <col min="2" max="2" width="12.6328125" customWidth="1"/>
  </cols>
  <sheetData>
    <row r="1" spans="1:3" x14ac:dyDescent="0.35">
      <c r="A1" t="s">
        <v>1</v>
      </c>
      <c r="B1" t="s">
        <v>152</v>
      </c>
      <c r="C1" t="s">
        <v>2</v>
      </c>
    </row>
    <row r="2" spans="1:3" x14ac:dyDescent="0.35">
      <c r="A2" t="s">
        <v>55</v>
      </c>
      <c r="B2" s="5">
        <f>VLOOKUP(LNG_Import_use!$A2,Raw!$C$3:$E$454,2,FALSE)</f>
        <v>209514.51681471179</v>
      </c>
      <c r="C2" s="5">
        <f>VLOOKUP(LNG_Import_use!$A2,Raw!$C$3:$E$429,3,FALSE)</f>
        <v>0.82638455897871399</v>
      </c>
    </row>
    <row r="3" spans="1:3" x14ac:dyDescent="0.35">
      <c r="A3" t="s">
        <v>387</v>
      </c>
      <c r="B3" s="5">
        <f>VLOOKUP(LNG_Import_use!$A3,Raw!$C$3:$E$454,2,FALSE)</f>
        <v>0</v>
      </c>
      <c r="C3" s="5">
        <f>VLOOKUP(LNG_Import_use!$A3,Raw!$C$3:$E$429,3,FALSE)</f>
        <v>0</v>
      </c>
    </row>
    <row r="4" spans="1:3" x14ac:dyDescent="0.35">
      <c r="A4" t="s">
        <v>56</v>
      </c>
      <c r="B4" s="5">
        <f>VLOOKUP(LNG_Import_use!$A4,Raw!$C$3:$E$454,2,FALSE)</f>
        <v>139365.0872146152</v>
      </c>
      <c r="C4" s="5">
        <f>VLOOKUP(LNG_Import_use!$A4,Raw!$C$3:$E$429,3,FALSE)</f>
        <v>0.93232643088161837</v>
      </c>
    </row>
    <row r="5" spans="1:3" x14ac:dyDescent="0.35">
      <c r="A5" t="s">
        <v>60</v>
      </c>
      <c r="B5" s="5">
        <f>VLOOKUP(LNG_Import_use!$A5,Raw!$C$3:$E$454,2,FALSE)</f>
        <v>81091</v>
      </c>
      <c r="C5" s="5">
        <f>VLOOKUP(LNG_Import_use!$A5,Raw!$C$3:$E$429,3,FALSE)</f>
        <v>0.99999999999999978</v>
      </c>
    </row>
    <row r="6" spans="1:3" x14ac:dyDescent="0.35">
      <c r="A6" t="s">
        <v>59</v>
      </c>
      <c r="B6" s="5">
        <f>VLOOKUP(LNG_Import_use!$A6,Raw!$C$3:$E$454,2,FALSE)</f>
        <v>25402</v>
      </c>
      <c r="C6" s="5">
        <f>VLOOKUP(LNG_Import_use!$A6,Raw!$C$3:$E$429,3,FALSE)</f>
        <v>1</v>
      </c>
    </row>
    <row r="7" spans="1:3" x14ac:dyDescent="0.35">
      <c r="A7" t="s">
        <v>54</v>
      </c>
      <c r="B7" s="5">
        <f>VLOOKUP(LNG_Import_use!$A7,Raw!$C$3:$E$454,2,FALSE)</f>
        <v>122125</v>
      </c>
      <c r="C7" s="5">
        <f>VLOOKUP(LNG_Import_use!$A7,Raw!$C$3:$E$429,3,FALSE)</f>
        <v>1</v>
      </c>
    </row>
    <row r="8" spans="1:3" x14ac:dyDescent="0.35">
      <c r="A8" t="s">
        <v>64</v>
      </c>
      <c r="B8" s="5">
        <f>VLOOKUP(LNG_Import_use!$A8,Raw!$C$3:$E$454,2,FALSE)</f>
        <v>357542.03265889653</v>
      </c>
      <c r="C8" s="5">
        <f>VLOOKUP(LNG_Import_use!$A8,Raw!$C$3:$E$429,3,FALSE)</f>
        <v>0.92647871334075271</v>
      </c>
    </row>
    <row r="9" spans="1:3" x14ac:dyDescent="0.35">
      <c r="A9" t="s">
        <v>388</v>
      </c>
      <c r="B9" s="5">
        <f>VLOOKUP(LNG_Import_use!$A9,Raw!$C$3:$E$454,2,FALSE)</f>
        <v>183773.7</v>
      </c>
      <c r="C9" s="5">
        <f>VLOOKUP(LNG_Import_use!$A9,Raw!$C$3:$E$429,3,FALSE)</f>
        <v>1</v>
      </c>
    </row>
    <row r="10" spans="1:3" x14ac:dyDescent="0.35">
      <c r="A10" t="s">
        <v>62</v>
      </c>
      <c r="B10" s="5">
        <f>VLOOKUP(LNG_Import_use!$A10,Raw!$C$3:$E$454,2,FALSE)</f>
        <v>36490.417710000002</v>
      </c>
      <c r="C10" s="5">
        <f>VLOOKUP(LNG_Import_use!$A10,Raw!$C$3:$E$429,3,FALSE)</f>
        <v>0.93373637947799393</v>
      </c>
    </row>
    <row r="11" spans="1:3" x14ac:dyDescent="0.35">
      <c r="A11" t="s">
        <v>65</v>
      </c>
      <c r="B11" s="5">
        <f>VLOOKUP(LNG_Import_use!$A11,Raw!$C$3:$E$454,2,FALSE)</f>
        <v>43774.399641264652</v>
      </c>
      <c r="C11" s="5">
        <f>VLOOKUP(LNG_Import_use!$A11,Raw!$C$3:$E$429,3,FALSE)</f>
        <v>0.58953832410257845</v>
      </c>
    </row>
    <row r="12" spans="1:3" x14ac:dyDescent="0.35">
      <c r="A12" t="s">
        <v>392</v>
      </c>
      <c r="B12" s="5">
        <f>VLOOKUP(LNG_Import_use!$A12,Raw!$C$3:$E$454,2,FALSE)</f>
        <v>11108.459480847619</v>
      </c>
      <c r="C12" s="5">
        <f>VLOOKUP(LNG_Import_use!$A12,Raw!$C$3:$E$429,3,FALSE)</f>
        <v>0.75799791749216139</v>
      </c>
    </row>
    <row r="13" spans="1:3" x14ac:dyDescent="0.35">
      <c r="A13" t="s">
        <v>57</v>
      </c>
      <c r="B13" s="5">
        <f>VLOOKUP(LNG_Import_use!$A13,Raw!$C$3:$E$454,2,FALSE)</f>
        <v>158153.15305077279</v>
      </c>
      <c r="C13" s="5">
        <f>VLOOKUP(LNG_Import_use!$A13,Raw!$C$3:$E$429,3,FALSE)</f>
        <v>0.31604121073398189</v>
      </c>
    </row>
    <row r="14" spans="1:3" x14ac:dyDescent="0.35">
      <c r="A14" t="s">
        <v>58</v>
      </c>
      <c r="B14" s="5">
        <f>VLOOKUP(LNG_Import_use!$A14,Raw!$C$3:$E$454,2,FALSE)</f>
        <v>162993.22167908089</v>
      </c>
      <c r="C14" s="5">
        <f>VLOOKUP(LNG_Import_use!$A14,Raw!$C$3:$E$429,3,FALSE)</f>
        <v>0.2486293875059008</v>
      </c>
    </row>
    <row r="15" spans="1:3" x14ac:dyDescent="0.35">
      <c r="A15" t="s">
        <v>393</v>
      </c>
      <c r="B15" s="5">
        <f>VLOOKUP(LNG_Import_use!$A15,Raw!$C$3:$E$454,2,FALSE)</f>
        <v>11669.450833333331</v>
      </c>
      <c r="C15" s="5">
        <f>VLOOKUP(LNG_Import_use!$A15,Raw!$C$3:$E$429,3,FALSE)</f>
        <v>0.2654259259259259</v>
      </c>
    </row>
    <row r="16" spans="1:3" x14ac:dyDescent="0.35">
      <c r="A16" t="s">
        <v>61</v>
      </c>
      <c r="B16" s="5">
        <f>VLOOKUP(LNG_Import_use!$A16,Raw!$C$3:$E$454,2,FALSE)</f>
        <v>90625.036269031407</v>
      </c>
      <c r="C16" s="5">
        <f>VLOOKUP(LNG_Import_use!$A16,Raw!$C$3:$E$429,3,FALSE)</f>
        <v>0.19284507555061939</v>
      </c>
    </row>
    <row r="17" spans="1:3" x14ac:dyDescent="0.35">
      <c r="A17" t="s">
        <v>394</v>
      </c>
      <c r="B17" s="5">
        <f>VLOOKUP(LNG_Import_use!$A17,Raw!$C$3:$E$454,2,FALSE)</f>
        <v>0</v>
      </c>
      <c r="C17" s="5">
        <f>VLOOKUP(LNG_Import_use!$A17,Raw!$C$3:$E$429,3,FALSE)</f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D411B-08D5-4798-8AA5-FBD73D4A6C09}">
  <dimension ref="A1:F103"/>
  <sheetViews>
    <sheetView workbookViewId="0">
      <selection activeCell="F22" sqref="F22"/>
    </sheetView>
  </sheetViews>
  <sheetFormatPr defaultRowHeight="14.5" x14ac:dyDescent="0.35"/>
  <cols>
    <col min="1" max="1" width="24.90625" customWidth="1"/>
    <col min="2" max="2" width="12.6328125" customWidth="1"/>
    <col min="5" max="5" width="12.6328125" customWidth="1"/>
  </cols>
  <sheetData>
    <row r="1" spans="1:6" ht="15" thickBot="1" x14ac:dyDescent="0.4">
      <c r="A1" t="s">
        <v>1</v>
      </c>
      <c r="B1" s="6" t="s">
        <v>152</v>
      </c>
      <c r="D1" s="2" t="s">
        <v>377</v>
      </c>
      <c r="E1" s="6" t="s">
        <v>152</v>
      </c>
    </row>
    <row r="2" spans="1:6" ht="15" thickTop="1" x14ac:dyDescent="0.35">
      <c r="A2" t="s">
        <v>318</v>
      </c>
      <c r="B2">
        <f>SUMIFS(Raw!$D$2:$D$454,Raw!$C$2:$C$454,"*"&amp;LNG_Sources!$A2&amp;"*")</f>
        <v>0</v>
      </c>
      <c r="D2" t="s">
        <v>378</v>
      </c>
      <c r="E2" s="5">
        <f>SUMIF(Table6[Edge],"*AF*",Table6[Flow (GWh)])</f>
        <v>292335.82209085289</v>
      </c>
      <c r="F2" s="5"/>
    </row>
    <row r="3" spans="1:6" x14ac:dyDescent="0.35">
      <c r="A3" t="s">
        <v>356</v>
      </c>
      <c r="B3">
        <f>SUMIFS(Raw!$D$2:$D$454,Raw!$C$2:$C$454,"*"&amp;LNG_Sources!$A3&amp;"*")</f>
        <v>43774.399641264652</v>
      </c>
      <c r="D3" t="s">
        <v>379</v>
      </c>
      <c r="E3" s="5">
        <f>SUMIF(Table6[Edge],"*EG*",Table6[Flow (GWh)])</f>
        <v>0</v>
      </c>
    </row>
    <row r="4" spans="1:6" x14ac:dyDescent="0.35">
      <c r="A4" t="s">
        <v>353</v>
      </c>
      <c r="B4">
        <f>SUMIFS(Raw!$D$2:$D$454,Raw!$C$2:$C$454,"*"&amp;LNG_Sources!$A4&amp;"*")</f>
        <v>162993.22167908089</v>
      </c>
      <c r="D4" t="s">
        <v>380</v>
      </c>
      <c r="E4" s="5">
        <f>SUMIF(Table6[Edge],"*QA*",Table6[Flow (GWh)])</f>
        <v>0</v>
      </c>
    </row>
    <row r="5" spans="1:6" x14ac:dyDescent="0.35">
      <c r="A5" t="s">
        <v>222</v>
      </c>
      <c r="B5">
        <f>SUMIFS(Raw!$D$2:$D$454,Raw!$C$2:$C$454,"*"&amp;LNG_Sources!$A5&amp;"*")</f>
        <v>357542.03265889653</v>
      </c>
      <c r="D5" t="s">
        <v>381</v>
      </c>
      <c r="E5" s="5">
        <f>SUMIF(Table6[Edge],"*TT*",Table6[Flow (GWh)])</f>
        <v>3106.5989325080009</v>
      </c>
    </row>
    <row r="6" spans="1:6" x14ac:dyDescent="0.35">
      <c r="A6" t="s">
        <v>365</v>
      </c>
      <c r="B6">
        <f>SUMIFS(Raw!$D$2:$D$454,Raw!$C$2:$C$454,"*"&amp;LNG_Sources!$A6&amp;"*")</f>
        <v>39303.694723858876</v>
      </c>
      <c r="D6" t="s">
        <v>382</v>
      </c>
      <c r="E6" s="5">
        <f>SUMIF(Table6[Edge],"*USA*",Table6[Flow (GWh)])</f>
        <v>1338185.0543291934</v>
      </c>
    </row>
    <row r="7" spans="1:6" x14ac:dyDescent="0.35">
      <c r="A7" t="s">
        <v>398</v>
      </c>
      <c r="B7">
        <f>SUMIFS(Raw!$D$2:$D$454,Raw!$C$2:$C$454,"*"&amp;LNG_Sources!$A7&amp;"*")</f>
        <v>11108.459480847619</v>
      </c>
    </row>
    <row r="8" spans="1:6" x14ac:dyDescent="0.35">
      <c r="A8" t="s">
        <v>337</v>
      </c>
      <c r="B8">
        <f>SUMIFS(Raw!$D$2:$D$454,Raw!$C$2:$C$454,"*"&amp;LNG_Sources!$A8&amp;"*")</f>
        <v>155046.55411826479</v>
      </c>
    </row>
    <row r="9" spans="1:6" x14ac:dyDescent="0.35">
      <c r="A9" t="s">
        <v>316</v>
      </c>
      <c r="B9">
        <f>SUMIFS(Raw!$D$2:$D$454,Raw!$C$2:$C$454,"*"&amp;LNG_Sources!$A9&amp;"*")</f>
        <v>25402</v>
      </c>
    </row>
    <row r="10" spans="1:6" x14ac:dyDescent="0.35">
      <c r="A10" t="s">
        <v>399</v>
      </c>
      <c r="B10">
        <f>SUMIFS(Raw!$D$2:$D$454,Raw!$C$2:$C$454,"*"&amp;LNG_Sources!$A10&amp;"*")</f>
        <v>0</v>
      </c>
    </row>
    <row r="11" spans="1:6" x14ac:dyDescent="0.35">
      <c r="A11" t="s">
        <v>395</v>
      </c>
      <c r="B11">
        <f>SUMIFS(Raw!$D$2:$D$454,Raw!$C$2:$C$454,"*"&amp;LNG_Sources!$A11&amp;"*")</f>
        <v>183773.7</v>
      </c>
    </row>
    <row r="12" spans="1:6" x14ac:dyDescent="0.35">
      <c r="A12" t="s">
        <v>397</v>
      </c>
      <c r="B12">
        <f>SUMIFS(Raw!$D$2:$D$454,Raw!$C$2:$C$454,"*"&amp;LNG_Sources!$A12&amp;"*")</f>
        <v>11669.450833333331</v>
      </c>
    </row>
    <row r="13" spans="1:6" x14ac:dyDescent="0.35">
      <c r="A13" t="s">
        <v>396</v>
      </c>
      <c r="B13">
        <f>SUMIFS(Raw!$D$2:$D$454,Raw!$C$2:$C$454,"*"&amp;LNG_Sources!$A13&amp;"*")</f>
        <v>0</v>
      </c>
    </row>
    <row r="14" spans="1:6" x14ac:dyDescent="0.35">
      <c r="A14" t="s">
        <v>93</v>
      </c>
      <c r="B14">
        <f>SUMIFS(Raw!$D$2:$D$454,Raw!$C$2:$C$454,"*"&amp;LNG_Sources!$A14&amp;"*")</f>
        <v>81091</v>
      </c>
    </row>
    <row r="15" spans="1:6" x14ac:dyDescent="0.35">
      <c r="A15" t="s">
        <v>88</v>
      </c>
      <c r="B15">
        <f>SUMIFS(Raw!$D$2:$D$454,Raw!$C$2:$C$454,"*"&amp;LNG_Sources!$A15&amp;"*")</f>
        <v>90625.036269031407</v>
      </c>
    </row>
    <row r="16" spans="1:6" x14ac:dyDescent="0.35">
      <c r="A16" t="s">
        <v>107</v>
      </c>
      <c r="B16">
        <f>SUMIFS(Raw!$D$2:$D$454,Raw!$C$2:$C$454,"*"&amp;LNG_Sources!$A16&amp;"*")</f>
        <v>36490.417710000002</v>
      </c>
    </row>
    <row r="17" spans="1:2" x14ac:dyDescent="0.35">
      <c r="A17" t="s">
        <v>98</v>
      </c>
      <c r="B17">
        <f>SUMIFS(Raw!$D$2:$D$454,Raw!$C$2:$C$454,"*"&amp;LNG_Sources!$A17&amp;"*")</f>
        <v>139365.0872146152</v>
      </c>
    </row>
    <row r="18" spans="1:2" x14ac:dyDescent="0.35">
      <c r="A18" t="s">
        <v>101</v>
      </c>
      <c r="B18">
        <f>SUMIFS(Raw!$D$2:$D$454,Raw!$C$2:$C$454,"*"&amp;LNG_Sources!$A18&amp;"*")</f>
        <v>0</v>
      </c>
    </row>
    <row r="19" spans="1:2" x14ac:dyDescent="0.35">
      <c r="A19" t="s">
        <v>242</v>
      </c>
      <c r="B19">
        <f>SUMIFS(Raw!$D$2:$D$454,Raw!$C$2:$C$454,"*"&amp;LNG_Sources!$A19&amp;"*")</f>
        <v>209514.51681471179</v>
      </c>
    </row>
    <row r="20" spans="1:2" x14ac:dyDescent="0.35">
      <c r="A20" t="s">
        <v>92</v>
      </c>
      <c r="B20" s="5">
        <f>SUMIFS(Raw!$D$2:$D$454,Raw!$C$2:$C$454,"*"&amp;LNG_Sources!$A20&amp;"*")</f>
        <v>0</v>
      </c>
    </row>
    <row r="21" spans="1:2" x14ac:dyDescent="0.35">
      <c r="A21" t="s">
        <v>96</v>
      </c>
      <c r="B21" s="5">
        <f>SUMIFS(Raw!$D$2:$D$454,Raw!$C$2:$C$454,"*"&amp;LNG_Sources!$A21&amp;"*")</f>
        <v>0</v>
      </c>
    </row>
    <row r="22" spans="1:2" x14ac:dyDescent="0.35">
      <c r="A22" t="s">
        <v>263</v>
      </c>
      <c r="B22" s="5">
        <f>SUMIFS(Raw!$D$2:$D$454,Raw!$C$2:$C$454,"*"&amp;LNG_Sources!$A22&amp;"*")</f>
        <v>0</v>
      </c>
    </row>
    <row r="23" spans="1:2" x14ac:dyDescent="0.35">
      <c r="A23" t="s">
        <v>301</v>
      </c>
      <c r="B23" s="5">
        <f>SUMIFS(Raw!$D$2:$D$454,Raw!$C$2:$C$454,"*"&amp;LNG_Sources!$A23&amp;"*")</f>
        <v>82821.305276141124</v>
      </c>
    </row>
    <row r="24" spans="1:2" x14ac:dyDescent="0.35">
      <c r="A24" t="s">
        <v>431</v>
      </c>
      <c r="B24" s="5">
        <f>SUMIFS(Raw!$D$2:$D$454,Raw!$C$2:$C$454,"*"&amp;LNG_Sources!$A24&amp;"*")</f>
        <v>0</v>
      </c>
    </row>
    <row r="25" spans="1:2" x14ac:dyDescent="0.35">
      <c r="A25" t="s">
        <v>261</v>
      </c>
      <c r="B25" s="5">
        <f>SUMIFS(Raw!$D$2:$D$454,Raw!$C$2:$C$454,"*"&amp;LNG_Sources!$A25&amp;"*")</f>
        <v>0</v>
      </c>
    </row>
    <row r="26" spans="1:2" x14ac:dyDescent="0.35">
      <c r="A26" t="s">
        <v>352</v>
      </c>
      <c r="B26" s="5">
        <f>SUMIFS(Raw!$D$2:$D$454,Raw!$C$2:$C$454,"*"&amp;LNG_Sources!$A26&amp;"*")</f>
        <v>0</v>
      </c>
    </row>
    <row r="27" spans="1:2" x14ac:dyDescent="0.35">
      <c r="A27" t="s">
        <v>417</v>
      </c>
      <c r="B27" s="5">
        <f>SUMIFS(Raw!$D$2:$D$454,Raw!$C$2:$C$454,"*"&amp;LNG_Sources!$A27&amp;"*")</f>
        <v>0</v>
      </c>
    </row>
    <row r="28" spans="1:2" x14ac:dyDescent="0.35">
      <c r="A28" t="s">
        <v>434</v>
      </c>
      <c r="B28" s="5">
        <f>SUMIFS(Raw!$D$2:$D$454,Raw!$C$2:$C$454,"*"&amp;LNG_Sources!$A28&amp;"*")</f>
        <v>0</v>
      </c>
    </row>
    <row r="29" spans="1:2" x14ac:dyDescent="0.35">
      <c r="A29" t="s">
        <v>432</v>
      </c>
      <c r="B29" s="5">
        <f>SUMIFS(Raw!$D$2:$D$454,Raw!$C$2:$C$454,"*"&amp;LNG_Sources!$A29&amp;"*")</f>
        <v>0</v>
      </c>
    </row>
    <row r="30" spans="1:2" x14ac:dyDescent="0.35">
      <c r="A30" t="s">
        <v>413</v>
      </c>
      <c r="B30" s="5">
        <f>SUMIFS(Raw!$D$2:$D$454,Raw!$C$2:$C$454,"*"&amp;LNG_Sources!$A30&amp;"*")</f>
        <v>0</v>
      </c>
    </row>
    <row r="31" spans="1:2" x14ac:dyDescent="0.35">
      <c r="A31" t="s">
        <v>334</v>
      </c>
      <c r="B31" s="5">
        <f>SUMIFS(Raw!$D$2:$D$454,Raw!$C$2:$C$454,"*"&amp;LNG_Sources!$A31&amp;"*")</f>
        <v>0</v>
      </c>
    </row>
    <row r="32" spans="1:2" x14ac:dyDescent="0.35">
      <c r="A32" t="s">
        <v>308</v>
      </c>
      <c r="B32" s="5">
        <f>SUMIFS(Raw!$D$2:$D$454,Raw!$C$2:$C$454,"*"&amp;LNG_Sources!$A32&amp;"*")</f>
        <v>0</v>
      </c>
    </row>
    <row r="33" spans="1:2" x14ac:dyDescent="0.35">
      <c r="A33" t="s">
        <v>297</v>
      </c>
      <c r="B33" s="5">
        <f>SUMIFS(Raw!$D$2:$D$454,Raw!$C$2:$C$454,"*"&amp;LNG_Sources!$A33&amp;"*")</f>
        <v>0</v>
      </c>
    </row>
    <row r="34" spans="1:2" x14ac:dyDescent="0.35">
      <c r="A34" t="s">
        <v>232</v>
      </c>
      <c r="B34" s="5">
        <f>SUMIFS(Raw!$D$2:$D$454,Raw!$C$2:$C$454,"*"&amp;LNG_Sources!$A34&amp;"*")</f>
        <v>0</v>
      </c>
    </row>
    <row r="35" spans="1:2" x14ac:dyDescent="0.35">
      <c r="A35" t="s">
        <v>277</v>
      </c>
      <c r="B35" s="5">
        <f>SUMIFS(Raw!$D$2:$D$454,Raw!$C$2:$C$454,"*"&amp;LNG_Sources!$A35&amp;"*")</f>
        <v>0</v>
      </c>
    </row>
    <row r="36" spans="1:2" x14ac:dyDescent="0.35">
      <c r="A36" t="s">
        <v>105</v>
      </c>
      <c r="B36" s="5">
        <f>SUMIFS(Raw!$D$2:$D$454,Raw!$C$2:$C$454,"*"&amp;LNG_Sources!$A36&amp;"*")</f>
        <v>0</v>
      </c>
    </row>
    <row r="37" spans="1:2" x14ac:dyDescent="0.35">
      <c r="A37" t="s">
        <v>357</v>
      </c>
      <c r="B37" s="5">
        <f>SUMIFS(Raw!$D$2:$D$454,Raw!$C$2:$C$454,"*"&amp;LNG_Sources!$A37&amp;"*")</f>
        <v>0</v>
      </c>
    </row>
    <row r="38" spans="1:2" x14ac:dyDescent="0.35">
      <c r="A38" t="s">
        <v>90</v>
      </c>
      <c r="B38" s="5">
        <f>SUMIFS(Raw!$D$2:$D$454,Raw!$C$2:$C$454,"*"&amp;LNG_Sources!$A38&amp;"*")</f>
        <v>0</v>
      </c>
    </row>
    <row r="39" spans="1:2" x14ac:dyDescent="0.35">
      <c r="A39" t="s">
        <v>87</v>
      </c>
      <c r="B39" s="5">
        <f>SUMIFS(Raw!$D$2:$D$454,Raw!$C$2:$C$454,"*"&amp;LNG_Sources!$A39&amp;"*")</f>
        <v>0</v>
      </c>
    </row>
    <row r="40" spans="1:2" x14ac:dyDescent="0.35">
      <c r="A40" t="s">
        <v>95</v>
      </c>
      <c r="B40" s="5">
        <f>SUMIFS(Raw!$D$2:$D$454,Raw!$C$2:$C$454,"*"&amp;LNG_Sources!$A40&amp;"*")</f>
        <v>0</v>
      </c>
    </row>
    <row r="41" spans="1:2" x14ac:dyDescent="0.35">
      <c r="A41" t="s">
        <v>383</v>
      </c>
      <c r="B41" s="5">
        <f>SUMIFS(Raw!$D$2:$D$454,Raw!$C$2:$C$454,"*"&amp;LNG_Sources!$A41&amp;"*")</f>
        <v>0</v>
      </c>
    </row>
    <row r="42" spans="1:2" x14ac:dyDescent="0.35">
      <c r="A42" t="s">
        <v>85</v>
      </c>
      <c r="B42" s="5">
        <f>SUMIFS(Raw!$D$2:$D$454,Raw!$C$2:$C$454,"*"&amp;LNG_Sources!$A42&amp;"*")</f>
        <v>0</v>
      </c>
    </row>
    <row r="43" spans="1:2" x14ac:dyDescent="0.35">
      <c r="A43" t="s">
        <v>100</v>
      </c>
      <c r="B43" s="5">
        <f>SUMIFS(Raw!$D$2:$D$454,Raw!$C$2:$C$454,"*"&amp;LNG_Sources!$A43&amp;"*")</f>
        <v>0</v>
      </c>
    </row>
    <row r="44" spans="1:2" x14ac:dyDescent="0.35">
      <c r="A44" t="s">
        <v>430</v>
      </c>
      <c r="B44" s="5">
        <f>SUMIFS(Raw!$D$2:$D$454,Raw!$C$2:$C$454,"*"&amp;LNG_Sources!$A44&amp;"*")</f>
        <v>0</v>
      </c>
    </row>
    <row r="45" spans="1:2" x14ac:dyDescent="0.35">
      <c r="A45" t="s">
        <v>416</v>
      </c>
      <c r="B45" s="5">
        <f>SUMIFS(Raw!$D$2:$D$454,Raw!$C$2:$C$454,"*"&amp;LNG_Sources!$A45&amp;"*")</f>
        <v>0</v>
      </c>
    </row>
    <row r="46" spans="1:2" x14ac:dyDescent="0.35">
      <c r="A46" t="s">
        <v>384</v>
      </c>
      <c r="B46" s="5">
        <f>SUMIFS(Raw!$D$2:$D$454,Raw!$C$2:$C$454,"*"&amp;LNG_Sources!$A46&amp;"*")</f>
        <v>0</v>
      </c>
    </row>
    <row r="47" spans="1:2" x14ac:dyDescent="0.35">
      <c r="A47" t="s">
        <v>425</v>
      </c>
      <c r="B47" s="5">
        <f>SUMIFS(Raw!$D$2:$D$454,Raw!$C$2:$C$454,"*"&amp;LNG_Sources!$A47&amp;"*")</f>
        <v>0</v>
      </c>
    </row>
    <row r="48" spans="1:2" x14ac:dyDescent="0.35">
      <c r="A48" t="s">
        <v>292</v>
      </c>
      <c r="B48" s="5">
        <f>SUMIFS(Raw!$D$2:$D$454,Raw!$C$2:$C$454,"*"&amp;LNG_Sources!$A48&amp;"*")</f>
        <v>0</v>
      </c>
    </row>
    <row r="49" spans="1:2" x14ac:dyDescent="0.35">
      <c r="A49" t="s">
        <v>264</v>
      </c>
      <c r="B49" s="5">
        <f>SUMIFS(Raw!$D$2:$D$454,Raw!$C$2:$C$454,"*"&amp;LNG_Sources!$A49&amp;"*")</f>
        <v>0</v>
      </c>
    </row>
    <row r="50" spans="1:2" x14ac:dyDescent="0.35">
      <c r="A50" t="s">
        <v>251</v>
      </c>
      <c r="B50" s="5">
        <f>SUMIFS(Raw!$D$2:$D$454,Raw!$C$2:$C$454,"*"&amp;LNG_Sources!$A50&amp;"*")</f>
        <v>0</v>
      </c>
    </row>
    <row r="51" spans="1:2" x14ac:dyDescent="0.35">
      <c r="A51" t="s">
        <v>342</v>
      </c>
      <c r="B51" s="5">
        <f>SUMIFS(Raw!$D$2:$D$454,Raw!$C$2:$C$454,"*"&amp;LNG_Sources!$A51&amp;"*")</f>
        <v>0</v>
      </c>
    </row>
    <row r="52" spans="1:2" x14ac:dyDescent="0.35">
      <c r="A52" t="s">
        <v>233</v>
      </c>
      <c r="B52" s="5">
        <f>SUMIFS(Raw!$D$2:$D$454,Raw!$C$2:$C$454,"*"&amp;LNG_Sources!$A52&amp;"*")</f>
        <v>0</v>
      </c>
    </row>
    <row r="53" spans="1:2" x14ac:dyDescent="0.35">
      <c r="A53" t="s">
        <v>361</v>
      </c>
      <c r="B53" s="5">
        <f>SUMIFS(Raw!$D$2:$D$454,Raw!$C$2:$C$454,"*"&amp;LNG_Sources!$A53&amp;"*")</f>
        <v>0</v>
      </c>
    </row>
    <row r="54" spans="1:2" x14ac:dyDescent="0.35">
      <c r="A54" t="s">
        <v>94</v>
      </c>
      <c r="B54" s="5">
        <f>SUMIFS(Raw!$D$2:$D$454,Raw!$C$2:$C$454,"*"&amp;LNG_Sources!$A54&amp;"*")</f>
        <v>0</v>
      </c>
    </row>
    <row r="55" spans="1:2" x14ac:dyDescent="0.35">
      <c r="A55" t="s">
        <v>252</v>
      </c>
      <c r="B55" s="5">
        <f>SUMIFS(Raw!$D$2:$D$454,Raw!$C$2:$C$454,"*"&amp;LNG_Sources!$A55&amp;"*")</f>
        <v>0</v>
      </c>
    </row>
    <row r="56" spans="1:2" x14ac:dyDescent="0.35">
      <c r="A56" t="s">
        <v>278</v>
      </c>
      <c r="B56" s="5">
        <f>SUMIFS(Raw!$D$2:$D$454,Raw!$C$2:$C$454,"*"&amp;LNG_Sources!$A56&amp;"*")</f>
        <v>0</v>
      </c>
    </row>
    <row r="57" spans="1:2" x14ac:dyDescent="0.35">
      <c r="A57" t="s">
        <v>271</v>
      </c>
      <c r="B57" s="5">
        <f>SUMIFS(Raw!$D$2:$D$454,Raw!$C$2:$C$454,"*"&amp;LNG_Sources!$A57&amp;"*")</f>
        <v>0</v>
      </c>
    </row>
    <row r="58" spans="1:2" x14ac:dyDescent="0.35">
      <c r="A58" t="s">
        <v>439</v>
      </c>
      <c r="B58" s="5">
        <f>SUMIFS(Raw!$D$2:$D$454,Raw!$C$2:$C$454,"*"&amp;LNG_Sources!$A58&amp;"*")</f>
        <v>0</v>
      </c>
    </row>
    <row r="59" spans="1:2" x14ac:dyDescent="0.35">
      <c r="A59" t="s">
        <v>235</v>
      </c>
      <c r="B59" s="5">
        <f>SUMIFS(Raw!$D$2:$D$454,Raw!$C$2:$C$454,"*"&amp;LNG_Sources!$A59&amp;"*")</f>
        <v>3106.5989325080009</v>
      </c>
    </row>
    <row r="60" spans="1:2" x14ac:dyDescent="0.35">
      <c r="A60" t="s">
        <v>359</v>
      </c>
      <c r="B60" s="5">
        <f>SUMIFS(Raw!$D$2:$D$454,Raw!$C$2:$C$454,"*"&amp;LNG_Sources!$A60&amp;"*")</f>
        <v>0</v>
      </c>
    </row>
    <row r="61" spans="1:2" x14ac:dyDescent="0.35">
      <c r="A61" t="s">
        <v>437</v>
      </c>
      <c r="B61" s="5">
        <f>SUMIFS(Raw!$D$2:$D$454,Raw!$C$2:$C$454,"*"&amp;LNG_Sources!$A61&amp;"*")</f>
        <v>0</v>
      </c>
    </row>
    <row r="62" spans="1:2" x14ac:dyDescent="0.35">
      <c r="A62" t="s">
        <v>412</v>
      </c>
      <c r="B62" s="5">
        <f>SUMIFS(Raw!$D$2:$D$454,Raw!$C$2:$C$454,"*"&amp;LNG_Sources!$A62&amp;"*")</f>
        <v>0</v>
      </c>
    </row>
    <row r="63" spans="1:2" x14ac:dyDescent="0.35">
      <c r="A63" t="s">
        <v>409</v>
      </c>
      <c r="B63" s="5">
        <f>SUMIFS(Raw!$D$2:$D$454,Raw!$C$2:$C$454,"*"&amp;LNG_Sources!$A63&amp;"*")</f>
        <v>0</v>
      </c>
    </row>
    <row r="64" spans="1:2" x14ac:dyDescent="0.35">
      <c r="A64" t="s">
        <v>418</v>
      </c>
      <c r="B64" s="5">
        <f>SUMIFS(Raw!$D$2:$D$454,Raw!$C$2:$C$454,"*"&amp;LNG_Sources!$A64&amp;"*")</f>
        <v>0</v>
      </c>
    </row>
    <row r="65" spans="1:2" x14ac:dyDescent="0.35">
      <c r="A65" t="s">
        <v>300</v>
      </c>
      <c r="B65" s="5">
        <f>SUMIFS(Raw!$D$2:$D$454,Raw!$C$2:$C$454,"*"&amp;LNG_Sources!$A65&amp;"*")</f>
        <v>0</v>
      </c>
    </row>
    <row r="66" spans="1:2" x14ac:dyDescent="0.35">
      <c r="A66" t="s">
        <v>282</v>
      </c>
      <c r="B66" s="5">
        <f>SUMIFS(Raw!$D$2:$D$454,Raw!$C$2:$C$454,"*"&amp;LNG_Sources!$A66&amp;"*")</f>
        <v>0</v>
      </c>
    </row>
    <row r="67" spans="1:2" x14ac:dyDescent="0.35">
      <c r="A67" t="s">
        <v>265</v>
      </c>
      <c r="B67" s="5">
        <f>SUMIFS(Raw!$D$2:$D$454,Raw!$C$2:$C$454,"*"&amp;LNG_Sources!$A67&amp;"*")</f>
        <v>0</v>
      </c>
    </row>
    <row r="68" spans="1:2" x14ac:dyDescent="0.35">
      <c r="A68" t="s">
        <v>104</v>
      </c>
      <c r="B68" s="5">
        <f>SUMIFS(Raw!$D$2:$D$454,Raw!$C$2:$C$454,"*"&amp;LNG_Sources!$A68&amp;"*")</f>
        <v>0</v>
      </c>
    </row>
    <row r="69" spans="1:2" x14ac:dyDescent="0.35">
      <c r="A69" t="s">
        <v>239</v>
      </c>
      <c r="B69" s="5">
        <f>SUMIFS(Raw!$D$2:$D$454,Raw!$C$2:$C$454,"*"&amp;LNG_Sources!$A69&amp;"*")</f>
        <v>0</v>
      </c>
    </row>
    <row r="70" spans="1:2" x14ac:dyDescent="0.35">
      <c r="A70" t="s">
        <v>246</v>
      </c>
      <c r="B70" s="5">
        <f>SUMIFS(Raw!$D$2:$D$454,Raw!$C$2:$C$454,"*"&amp;LNG_Sources!$A70&amp;"*")</f>
        <v>0</v>
      </c>
    </row>
    <row r="71" spans="1:2" x14ac:dyDescent="0.35">
      <c r="A71" t="s">
        <v>296</v>
      </c>
      <c r="B71" s="5">
        <f>SUMIFS(Raw!$D$2:$D$454,Raw!$C$2:$C$454,"*"&amp;LNG_Sources!$A71&amp;"*")</f>
        <v>0</v>
      </c>
    </row>
    <row r="72" spans="1:2" x14ac:dyDescent="0.35">
      <c r="A72" t="s">
        <v>294</v>
      </c>
      <c r="B72" s="5">
        <f>SUMIFS(Raw!$D$2:$D$454,Raw!$C$2:$C$454,"*"&amp;LNG_Sources!$A72&amp;"*")</f>
        <v>0</v>
      </c>
    </row>
    <row r="73" spans="1:2" x14ac:dyDescent="0.35">
      <c r="A73" t="s">
        <v>99</v>
      </c>
      <c r="B73" s="5">
        <f>SUMIFS(Raw!$D$2:$D$454,Raw!$C$2:$C$454,"*"&amp;LNG_Sources!$A73&amp;"*")</f>
        <v>0</v>
      </c>
    </row>
    <row r="74" spans="1:2" x14ac:dyDescent="0.35">
      <c r="A74" t="s">
        <v>345</v>
      </c>
      <c r="B74" s="5">
        <f>SUMIFS(Raw!$D$2:$D$454,Raw!$C$2:$C$454,"*"&amp;LNG_Sources!$A74&amp;"*")</f>
        <v>0</v>
      </c>
    </row>
    <row r="75" spans="1:2" x14ac:dyDescent="0.35">
      <c r="A75" t="s">
        <v>420</v>
      </c>
      <c r="B75" s="5">
        <f>SUMIFS(Raw!$D$2:$D$454,Raw!$C$2:$C$454,"*"&amp;LNG_Sources!$A75&amp;"*")</f>
        <v>0</v>
      </c>
    </row>
    <row r="76" spans="1:2" x14ac:dyDescent="0.35">
      <c r="A76" t="s">
        <v>269</v>
      </c>
      <c r="B76" s="5">
        <f>SUMIFS(Raw!$D$2:$D$454,Raw!$C$2:$C$454,"*"&amp;LNG_Sources!$A76&amp;"*")</f>
        <v>0</v>
      </c>
    </row>
    <row r="77" spans="1:2" x14ac:dyDescent="0.35">
      <c r="A77" t="s">
        <v>245</v>
      </c>
      <c r="B77" s="5">
        <f>SUMIFS(Raw!$D$2:$D$454,Raw!$C$2:$C$454,"*"&amp;LNG_Sources!$A77&amp;"*")</f>
        <v>0</v>
      </c>
    </row>
    <row r="78" spans="1:2" x14ac:dyDescent="0.35">
      <c r="A78" t="s">
        <v>405</v>
      </c>
      <c r="B78" s="5">
        <f>SUMIFS(Raw!$D$2:$D$454,Raw!$C$2:$C$454,"*"&amp;LNG_Sources!$A78&amp;"*")</f>
        <v>0</v>
      </c>
    </row>
    <row r="79" spans="1:2" x14ac:dyDescent="0.35">
      <c r="A79" t="s">
        <v>422</v>
      </c>
      <c r="B79" s="5">
        <f>SUMIFS(Raw!$D$2:$D$454,Raw!$C$2:$C$454,"*"&amp;LNG_Sources!$A79&amp;"*")</f>
        <v>0</v>
      </c>
    </row>
    <row r="80" spans="1:2" x14ac:dyDescent="0.35">
      <c r="A80" t="s">
        <v>421</v>
      </c>
      <c r="B80" s="5">
        <f>SUMIFS(Raw!$D$2:$D$454,Raw!$C$2:$C$454,"*"&amp;LNG_Sources!$A80&amp;"*")</f>
        <v>0</v>
      </c>
    </row>
    <row r="81" spans="1:2" x14ac:dyDescent="0.35">
      <c r="A81" t="s">
        <v>440</v>
      </c>
      <c r="B81" s="5">
        <f>SUMIFS(Raw!$D$2:$D$454,Raw!$C$2:$C$454,"*"&amp;LNG_Sources!$A81&amp;"*")</f>
        <v>0</v>
      </c>
    </row>
    <row r="82" spans="1:2" x14ac:dyDescent="0.35">
      <c r="A82" t="s">
        <v>223</v>
      </c>
      <c r="B82" s="5">
        <f>SUMIFS(Raw!$D$2:$D$454,Raw!$C$2:$C$454,"*"&amp;LNG_Sources!$A82&amp;"*")</f>
        <v>0</v>
      </c>
    </row>
    <row r="83" spans="1:2" x14ac:dyDescent="0.35">
      <c r="A83" t="s">
        <v>347</v>
      </c>
      <c r="B83" s="5">
        <f>SUMIFS(Raw!$D$2:$D$454,Raw!$C$2:$C$454,"*"&amp;LNG_Sources!$A83&amp;"*")</f>
        <v>0</v>
      </c>
    </row>
    <row r="84" spans="1:2" x14ac:dyDescent="0.35">
      <c r="A84" t="s">
        <v>302</v>
      </c>
      <c r="B84" s="5">
        <f>SUMIFS(Raw!$D$2:$D$454,Raw!$C$2:$C$454,"*"&amp;LNG_Sources!$A84&amp;"*")</f>
        <v>0</v>
      </c>
    </row>
    <row r="85" spans="1:2" x14ac:dyDescent="0.35">
      <c r="A85" t="s">
        <v>237</v>
      </c>
      <c r="B85" s="5">
        <f>SUMIFS(Raw!$D$2:$D$454,Raw!$C$2:$C$454,"*"&amp;LNG_Sources!$A85&amp;"*")</f>
        <v>0</v>
      </c>
    </row>
    <row r="86" spans="1:2" x14ac:dyDescent="0.35">
      <c r="A86" t="s">
        <v>283</v>
      </c>
      <c r="B86" s="5">
        <f>SUMIFS(Raw!$D$2:$D$454,Raw!$C$2:$C$454,"*"&amp;LNG_Sources!$A86&amp;"*")</f>
        <v>0</v>
      </c>
    </row>
    <row r="87" spans="1:2" x14ac:dyDescent="0.35">
      <c r="A87" t="s">
        <v>441</v>
      </c>
      <c r="B87" s="5">
        <f>SUMIFS(Raw!$D$2:$D$454,Raw!$C$2:$C$454,"*"&amp;LNG_Sources!$A87&amp;"*")</f>
        <v>0</v>
      </c>
    </row>
    <row r="88" spans="1:2" x14ac:dyDescent="0.35">
      <c r="A88" t="s">
        <v>442</v>
      </c>
      <c r="B88" s="5">
        <f>SUMIFS(Raw!$D$2:$D$454,Raw!$C$2:$C$454,"*"&amp;LNG_Sources!$A88&amp;"*")</f>
        <v>0</v>
      </c>
    </row>
    <row r="89" spans="1:2" x14ac:dyDescent="0.35">
      <c r="A89" t="s">
        <v>443</v>
      </c>
      <c r="B89" s="5">
        <f>SUMIFS(Raw!$D$2:$D$454,Raw!$C$2:$C$454,"*"&amp;LNG_Sources!$A89&amp;"*")</f>
        <v>0</v>
      </c>
    </row>
    <row r="90" spans="1:2" x14ac:dyDescent="0.35">
      <c r="A90" t="s">
        <v>444</v>
      </c>
      <c r="B90" s="5">
        <f>SUMIFS(Raw!$D$2:$D$454,Raw!$C$2:$C$454,"*"&amp;LNG_Sources!$A90&amp;"*")</f>
        <v>0</v>
      </c>
    </row>
    <row r="91" spans="1:2" x14ac:dyDescent="0.35">
      <c r="A91" t="s">
        <v>445</v>
      </c>
      <c r="B91" s="5">
        <f>SUMIFS(Raw!$D$2:$D$454,Raw!$C$2:$C$454,"*"&amp;LNG_Sources!$A91&amp;"*")</f>
        <v>0</v>
      </c>
    </row>
    <row r="92" spans="1:2" x14ac:dyDescent="0.35">
      <c r="A92" t="s">
        <v>446</v>
      </c>
      <c r="B92" s="5">
        <f>SUMIFS(Raw!$D$2:$D$454,Raw!$C$2:$C$454,"*"&amp;LNG_Sources!$A92&amp;"*")</f>
        <v>0</v>
      </c>
    </row>
    <row r="93" spans="1:2" x14ac:dyDescent="0.35">
      <c r="A93" t="s">
        <v>447</v>
      </c>
      <c r="B93" s="5">
        <f>SUMIFS(Raw!$D$2:$D$454,Raw!$C$2:$C$454,"*"&amp;LNG_Sources!$A93&amp;"*")</f>
        <v>0</v>
      </c>
    </row>
    <row r="94" spans="1:2" x14ac:dyDescent="0.35">
      <c r="A94" t="s">
        <v>448</v>
      </c>
      <c r="B94" s="5">
        <f>SUMIFS(Raw!$D$2:$D$454,Raw!$C$2:$C$454,"*"&amp;LNG_Sources!$A94&amp;"*")</f>
        <v>0</v>
      </c>
    </row>
    <row r="95" spans="1:2" x14ac:dyDescent="0.35">
      <c r="A95" t="s">
        <v>449</v>
      </c>
      <c r="B95" s="5">
        <f>SUMIFS(Raw!$D$2:$D$454,Raw!$C$2:$C$454,"*"&amp;LNG_Sources!$A95&amp;"*")</f>
        <v>0</v>
      </c>
    </row>
    <row r="96" spans="1:2" x14ac:dyDescent="0.35">
      <c r="A96" t="s">
        <v>450</v>
      </c>
      <c r="B96" s="5">
        <f>SUMIFS(Raw!$D$2:$D$454,Raw!$C$2:$C$454,"*"&amp;LNG_Sources!$A96&amp;"*")</f>
        <v>0</v>
      </c>
    </row>
    <row r="97" spans="1:2" x14ac:dyDescent="0.35">
      <c r="A97" t="s">
        <v>451</v>
      </c>
      <c r="B97" s="5">
        <f>SUMIFS(Raw!$D$2:$D$454,Raw!$C$2:$C$454,"*"&amp;LNG_Sources!$A97&amp;"*")</f>
        <v>0</v>
      </c>
    </row>
    <row r="98" spans="1:2" x14ac:dyDescent="0.35">
      <c r="A98" t="s">
        <v>452</v>
      </c>
      <c r="B98" s="5">
        <f>SUMIFS(Raw!$D$2:$D$454,Raw!$C$2:$C$454,"*"&amp;LNG_Sources!$A98&amp;"*")</f>
        <v>0</v>
      </c>
    </row>
    <row r="99" spans="1:2" x14ac:dyDescent="0.35">
      <c r="A99" t="s">
        <v>453</v>
      </c>
      <c r="B99" s="5">
        <f>SUMIFS(Raw!$D$2:$D$454,Raw!$C$2:$C$454,"*"&amp;LNG_Sources!$A99&amp;"*")</f>
        <v>0</v>
      </c>
    </row>
    <row r="100" spans="1:2" x14ac:dyDescent="0.35">
      <c r="A100" t="s">
        <v>454</v>
      </c>
      <c r="B100" s="5">
        <f>SUMIFS(Raw!$D$2:$D$454,Raw!$C$2:$C$454,"*"&amp;LNG_Sources!$A100&amp;"*")</f>
        <v>0</v>
      </c>
    </row>
    <row r="101" spans="1:2" x14ac:dyDescent="0.35">
      <c r="A101" t="s">
        <v>455</v>
      </c>
      <c r="B101" s="5">
        <f>SUMIFS(Raw!$D$2:$D$454,Raw!$C$2:$C$454,"*"&amp;LNG_Sources!$A101&amp;"*")</f>
        <v>0</v>
      </c>
    </row>
    <row r="102" spans="1:2" x14ac:dyDescent="0.35">
      <c r="A102" t="s">
        <v>456</v>
      </c>
      <c r="B102" s="5">
        <f>SUMIFS(Raw!$D$2:$D$454,Raw!$C$2:$C$454,"*"&amp;LNG_Sources!$A102&amp;"*")</f>
        <v>0</v>
      </c>
    </row>
    <row r="103" spans="1:2" x14ac:dyDescent="0.35">
      <c r="A103" t="s">
        <v>457</v>
      </c>
      <c r="B103" s="5">
        <f>SUMIFS(Raw!$D$2:$D$454,Raw!$C$2:$C$454,"*"&amp;LNG_Sources!$A103&amp;"*")</f>
        <v>0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56A0-92C1-479C-9E87-63E1F7BA4266}">
  <dimension ref="A1:B38"/>
  <sheetViews>
    <sheetView tabSelected="1" workbookViewId="0">
      <selection activeCell="E36" sqref="E36"/>
    </sheetView>
  </sheetViews>
  <sheetFormatPr defaultRowHeight="14.5" x14ac:dyDescent="0.35"/>
  <cols>
    <col min="1" max="1" width="28" customWidth="1"/>
    <col min="2" max="2" width="15.1796875" customWidth="1"/>
  </cols>
  <sheetData>
    <row r="1" spans="1:2" x14ac:dyDescent="0.35">
      <c r="A1" t="s">
        <v>1</v>
      </c>
      <c r="B1" t="s">
        <v>152</v>
      </c>
    </row>
    <row r="2" spans="1:2" x14ac:dyDescent="0.35">
      <c r="A2" t="s">
        <v>9</v>
      </c>
      <c r="B2">
        <f>VLOOKUP($A2,Raw!$C$3:$E$429,2,FALSE)</f>
        <v>163980.03162800669</v>
      </c>
    </row>
    <row r="3" spans="1:2" x14ac:dyDescent="0.35">
      <c r="A3" t="s">
        <v>210</v>
      </c>
      <c r="B3">
        <f>VLOOKUP($A3,Raw!$C$3:$E$429,2,FALSE)</f>
        <v>0</v>
      </c>
    </row>
    <row r="4" spans="1:2" x14ac:dyDescent="0.35">
      <c r="A4" t="s">
        <v>191</v>
      </c>
      <c r="B4">
        <f>VLOOKUP($A4,Raw!$C$3:$E$429,2,FALSE)</f>
        <v>0</v>
      </c>
    </row>
    <row r="5" spans="1:2" x14ac:dyDescent="0.35">
      <c r="A5" t="s">
        <v>192</v>
      </c>
      <c r="B5">
        <f>VLOOKUP($A5,Raw!$C$3:$E$429,2,FALSE)</f>
        <v>0</v>
      </c>
    </row>
    <row r="6" spans="1:2" x14ac:dyDescent="0.35">
      <c r="A6" t="s">
        <v>203</v>
      </c>
      <c r="B6">
        <f>VLOOKUP($A6,Raw!$C$3:$E$429,2,FALSE)</f>
        <v>0</v>
      </c>
    </row>
    <row r="7" spans="1:2" x14ac:dyDescent="0.35">
      <c r="A7" t="s">
        <v>11</v>
      </c>
      <c r="B7">
        <f>VLOOKUP($A7,Raw!$C$3:$E$429,2,FALSE)</f>
        <v>0</v>
      </c>
    </row>
    <row r="8" spans="1:2" x14ac:dyDescent="0.35">
      <c r="A8" t="s">
        <v>42</v>
      </c>
      <c r="B8">
        <f>VLOOKUP($A8,Raw!$C$3:$E$429,2,FALSE)</f>
        <v>0</v>
      </c>
    </row>
    <row r="9" spans="1:2" x14ac:dyDescent="0.35">
      <c r="A9" t="s">
        <v>179</v>
      </c>
      <c r="B9">
        <f>VLOOKUP($A9,Raw!$C$3:$E$429,2,FALSE)</f>
        <v>0</v>
      </c>
    </row>
    <row r="10" spans="1:2" x14ac:dyDescent="0.35">
      <c r="A10" t="s">
        <v>72</v>
      </c>
      <c r="B10">
        <f>VLOOKUP($A10,Raw!$C$3:$E$429,2,FALSE)</f>
        <v>764279.93870664702</v>
      </c>
    </row>
    <row r="11" spans="1:2" x14ac:dyDescent="0.35">
      <c r="A11" t="s">
        <v>219</v>
      </c>
      <c r="B11">
        <f>VLOOKUP($A11,Raw!$C$3:$E$429,2,FALSE)</f>
        <v>0</v>
      </c>
    </row>
    <row r="12" spans="1:2" x14ac:dyDescent="0.35">
      <c r="A12" t="s">
        <v>82</v>
      </c>
      <c r="B12">
        <f>VLOOKUP($A12,Raw!$C$3:$E$429,2,FALSE)</f>
        <v>371260</v>
      </c>
    </row>
    <row r="13" spans="1:2" x14ac:dyDescent="0.35">
      <c r="A13" t="s">
        <v>91</v>
      </c>
      <c r="B13">
        <f>VLOOKUP($A13,Raw!$C$3:$E$429,2,FALSE)</f>
        <v>764279.93870664702</v>
      </c>
    </row>
    <row r="14" spans="1:2" x14ac:dyDescent="0.35">
      <c r="A14" t="s">
        <v>414</v>
      </c>
      <c r="B14">
        <f>VLOOKUP($A14,Raw!$C$3:$E$429,2,FALSE)</f>
        <v>0</v>
      </c>
    </row>
    <row r="15" spans="1:2" x14ac:dyDescent="0.35">
      <c r="A15" t="s">
        <v>258</v>
      </c>
      <c r="B15">
        <f>VLOOKUP($A15,Raw!$C$3:$E$429,2,FALSE)</f>
        <v>0</v>
      </c>
    </row>
    <row r="16" spans="1:2" x14ac:dyDescent="0.35">
      <c r="A16" t="s">
        <v>240</v>
      </c>
      <c r="B16">
        <f>VLOOKUP($A16,Raw!$C$3:$E$429,2,FALSE)</f>
        <v>0</v>
      </c>
    </row>
    <row r="17" spans="1:2" x14ac:dyDescent="0.35">
      <c r="A17" t="s">
        <v>241</v>
      </c>
      <c r="B17">
        <f>VLOOKUP($A17,Raw!$C$3:$E$429,2,FALSE)</f>
        <v>0</v>
      </c>
    </row>
    <row r="18" spans="1:2" x14ac:dyDescent="0.35">
      <c r="A18" t="s">
        <v>289</v>
      </c>
      <c r="B18">
        <f>VLOOKUP($A18,Raw!$C$3:$E$429,2,FALSE)</f>
        <v>0</v>
      </c>
    </row>
    <row r="19" spans="1:2" x14ac:dyDescent="0.35">
      <c r="A19" t="s">
        <v>360</v>
      </c>
      <c r="B19">
        <f>VLOOKUP($A19,Raw!$C$3:$E$429,2,FALSE)</f>
        <v>0</v>
      </c>
    </row>
    <row r="20" spans="1:2" x14ac:dyDescent="0.35">
      <c r="A20" t="s">
        <v>321</v>
      </c>
      <c r="B20">
        <f>VLOOKUP($A20,Raw!$C$3:$E$429,2,FALSE)</f>
        <v>0</v>
      </c>
    </row>
    <row r="21" spans="1:2" x14ac:dyDescent="0.35">
      <c r="A21" t="s">
        <v>257</v>
      </c>
      <c r="B21">
        <f>VLOOKUP($A21,Raw!$C$3:$E$429,2,FALSE)</f>
        <v>0</v>
      </c>
    </row>
    <row r="22" spans="1:2" x14ac:dyDescent="0.35">
      <c r="A22" t="s">
        <v>262</v>
      </c>
      <c r="B22">
        <f>VLOOKUP($A22,Raw!$C$3:$E$429,2,FALSE)</f>
        <v>0</v>
      </c>
    </row>
    <row r="23" spans="1:2" x14ac:dyDescent="0.35">
      <c r="A23" t="s">
        <v>303</v>
      </c>
      <c r="B23">
        <f>VLOOKUP($A23,Raw!$C$3:$E$429,2,FALSE)</f>
        <v>0</v>
      </c>
    </row>
    <row r="24" spans="1:2" x14ac:dyDescent="0.35">
      <c r="A24" t="s">
        <v>323</v>
      </c>
      <c r="B24">
        <f>VLOOKUP($A24,Raw!$C$3:$E$429,2,FALSE)</f>
        <v>0</v>
      </c>
    </row>
    <row r="25" spans="1:2" x14ac:dyDescent="0.35">
      <c r="A25" t="s">
        <v>315</v>
      </c>
      <c r="B25">
        <f>VLOOKUP($A25,Raw!$C$3:$E$429,2,FALSE)</f>
        <v>0</v>
      </c>
    </row>
    <row r="26" spans="1:2" x14ac:dyDescent="0.35">
      <c r="A26" t="s">
        <v>284</v>
      </c>
      <c r="B26">
        <f>VLOOKUP($A26,Raw!$C$3:$E$429,2,FALSE)</f>
        <v>0</v>
      </c>
    </row>
    <row r="27" spans="1:2" x14ac:dyDescent="0.35">
      <c r="A27" t="s">
        <v>255</v>
      </c>
      <c r="B27">
        <f>VLOOKUP($A27,Raw!$C$3:$E$429,2,FALSE)</f>
        <v>0</v>
      </c>
    </row>
    <row r="28" spans="1:2" x14ac:dyDescent="0.35">
      <c r="A28" t="s">
        <v>346</v>
      </c>
      <c r="B28">
        <f>VLOOKUP($A28,Raw!$C$3:$E$429,2,FALSE)</f>
        <v>0</v>
      </c>
    </row>
    <row r="29" spans="1:2" x14ac:dyDescent="0.35">
      <c r="A29" t="s">
        <v>310</v>
      </c>
      <c r="B29">
        <f>VLOOKUP($A29,Raw!$C$3:$E$429,2,FALSE)</f>
        <v>0</v>
      </c>
    </row>
    <row r="30" spans="1:2" x14ac:dyDescent="0.35">
      <c r="A30" t="s">
        <v>408</v>
      </c>
      <c r="B30">
        <f>VLOOKUP($A30,Raw!$C$3:$E$429,2,FALSE)</f>
        <v>0</v>
      </c>
    </row>
    <row r="31" spans="1:2" x14ac:dyDescent="0.35">
      <c r="A31" t="s">
        <v>428</v>
      </c>
      <c r="B31">
        <f>VLOOKUP($A31,Raw!$C$3:$E$429,2,FALSE)</f>
        <v>0</v>
      </c>
    </row>
    <row r="32" spans="1:2" x14ac:dyDescent="0.35">
      <c r="A32" t="s">
        <v>415</v>
      </c>
      <c r="B32">
        <f>VLOOKUP($A32,Raw!$C$3:$E$429,2,FALSE)</f>
        <v>0</v>
      </c>
    </row>
    <row r="33" spans="1:2" x14ac:dyDescent="0.35">
      <c r="A33" t="s">
        <v>435</v>
      </c>
      <c r="B33">
        <f>VLOOKUP($A33,Raw!$C$3:$E$429,2,FALSE)</f>
        <v>0</v>
      </c>
    </row>
    <row r="34" spans="1:2" x14ac:dyDescent="0.35">
      <c r="A34" t="s">
        <v>325</v>
      </c>
      <c r="B34">
        <f>VLOOKUP($A34,Raw!$C$3:$E$429,2,FALSE)</f>
        <v>0</v>
      </c>
    </row>
    <row r="35" spans="1:2" x14ac:dyDescent="0.35">
      <c r="A35" t="s">
        <v>231</v>
      </c>
      <c r="B35">
        <f>VLOOKUP($A35,Raw!$C$3:$E$429,2,FALSE)</f>
        <v>0</v>
      </c>
    </row>
    <row r="36" spans="1:2" x14ac:dyDescent="0.35">
      <c r="A36" t="s">
        <v>280</v>
      </c>
      <c r="B36">
        <f>VLOOKUP($A36,Raw!$C$3:$E$429,2,FALSE)</f>
        <v>0</v>
      </c>
    </row>
    <row r="37" spans="1:2" x14ac:dyDescent="0.35">
      <c r="A37" t="s">
        <v>128</v>
      </c>
      <c r="B37">
        <f>VLOOKUP($A37,Raw!$C$3:$E$429,2,FALSE)</f>
        <v>5728954.0927535295</v>
      </c>
    </row>
    <row r="38" spans="1:2" x14ac:dyDescent="0.35">
      <c r="A38" t="s">
        <v>173</v>
      </c>
      <c r="B38">
        <f>VLOOKUP($A38,Raw!$C$3:$E$429,2,FALSE)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</vt:lpstr>
      <vt:lpstr>Network_use_over_90%</vt:lpstr>
      <vt:lpstr>LNG_Import_use</vt:lpstr>
      <vt:lpstr>LNG_Sources</vt:lpstr>
      <vt:lpstr>Russian_Supply_Europe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2025-03-31T16:26:09Z</dcterms:created>
  <dcterms:modified xsi:type="dcterms:W3CDTF">2025-05-13T14:19:56Z</dcterms:modified>
</cp:coreProperties>
</file>