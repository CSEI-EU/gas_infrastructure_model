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2_output_data\02_unidirectional_results\01_paper_IAEE\02_prepared_results\"/>
    </mc:Choice>
  </mc:AlternateContent>
  <xr:revisionPtr revIDLastSave="0" documentId="13_ncr:1_{810A1E09-6261-441C-BE6B-2D80CFB66BE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missions_Europe" sheetId="1" r:id="rId1"/>
    <sheet name="Emissions_EU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9" i="1"/>
  <c r="H8" i="1"/>
  <c r="H6" i="1"/>
  <c r="H5" i="1"/>
  <c r="H4" i="1"/>
  <c r="H3" i="1"/>
  <c r="H7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<sst xmlns="http://schemas.openxmlformats.org/spreadsheetml/2006/main" count="26" uniqueCount="13">
  <si>
    <t>Scenario</t>
  </si>
  <si>
    <t>Total_Import_Emissions</t>
  </si>
  <si>
    <t>Total_Domestic_Emissions</t>
  </si>
  <si>
    <t>Total_Emissions</t>
  </si>
  <si>
    <t>2021</t>
  </si>
  <si>
    <t>2024</t>
  </si>
  <si>
    <t>2024_inv</t>
  </si>
  <si>
    <t>2024_no_QA</t>
  </si>
  <si>
    <t>2024_NO_red</t>
  </si>
  <si>
    <t>2024_no_USA</t>
  </si>
  <si>
    <t>2024_with_RU</t>
  </si>
  <si>
    <t>2035_AP</t>
  </si>
  <si>
    <t>2035_SP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</si>
</sst>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4" fontId="0" fillId="0" borderId="0" xfId="0" applyNumberFormat="1"/>
    <xf numFmtId="0" fontId="0" fillId="0" borderId="0" xfId="0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abSelected="1" workbookViewId="0">
      <selection activeCell="H10" sqref="H10"/>
    </sheetView>
  </sheetViews>
  <sheetFormatPr defaultRowHeight="14.5" x14ac:dyDescent="0.35"/>
  <cols>
    <col min="2" max="2" width="13.453125" bestFit="1" customWidth="1"/>
    <col min="3" max="3" width="12.36328125" bestFit="1" customWidth="1"/>
    <col min="4" max="4" width="13.453125" bestFit="1" customWidth="1"/>
    <col min="9" max="9" width="11.81640625" bestFit="1" customWidth="1"/>
    <col min="10" max="10" width="13.45312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10" x14ac:dyDescent="0.35">
      <c r="A2" s="1" t="s">
        <v>4</v>
      </c>
      <c r="B2" s="3">
        <v>204453208.3558054</v>
      </c>
      <c r="C2" s="3">
        <v>11179725.52237861</v>
      </c>
      <c r="D2" s="3">
        <v>215632933.87818399</v>
      </c>
    </row>
    <row r="3" spans="1:10" x14ac:dyDescent="0.35">
      <c r="A3" s="1" t="s">
        <v>5</v>
      </c>
      <c r="B3" s="3">
        <v>185554176.49482459</v>
      </c>
      <c r="C3" s="3">
        <v>10383166.675329819</v>
      </c>
      <c r="D3" s="3">
        <v>195937343.17015439</v>
      </c>
      <c r="G3">
        <f>D3/$D$2</f>
        <v>0.90866149083165515</v>
      </c>
      <c r="H3">
        <f>1-G3</f>
        <v>9.133850916834485E-2</v>
      </c>
      <c r="J3" s="5"/>
    </row>
    <row r="4" spans="1:10" x14ac:dyDescent="0.35">
      <c r="A4" s="1" t="s">
        <v>6</v>
      </c>
      <c r="B4" s="3">
        <v>185496745.98499781</v>
      </c>
      <c r="C4" s="3">
        <v>10626696.013548739</v>
      </c>
      <c r="D4" s="3">
        <v>196123441.99854651</v>
      </c>
      <c r="G4" s="4">
        <f>D4/$D$2</f>
        <v>0.90952452610667145</v>
      </c>
      <c r="H4" s="4">
        <f>1-G4</f>
        <v>9.0475473893328551E-2</v>
      </c>
    </row>
    <row r="5" spans="1:10" x14ac:dyDescent="0.35">
      <c r="A5" s="1" t="s">
        <v>7</v>
      </c>
      <c r="B5" s="3">
        <v>185550199.89826819</v>
      </c>
      <c r="C5" s="3">
        <v>10383166.675329819</v>
      </c>
      <c r="D5" s="3">
        <v>195933366.573598</v>
      </c>
      <c r="G5" s="4">
        <f>D5/$D$2</f>
        <v>0.90864304932327855</v>
      </c>
      <c r="H5" s="4">
        <f>1-G5</f>
        <v>9.1356950676721449E-2</v>
      </c>
    </row>
    <row r="6" spans="1:10" x14ac:dyDescent="0.35">
      <c r="A6" s="1" t="s">
        <v>8</v>
      </c>
      <c r="B6" s="3">
        <v>185638254.0159592</v>
      </c>
      <c r="C6" s="3">
        <v>9895360.668074714</v>
      </c>
      <c r="D6" s="3">
        <v>195533614.68403399</v>
      </c>
      <c r="G6" s="4">
        <f>D6/$D$2</f>
        <v>0.90678919572877226</v>
      </c>
      <c r="H6" s="4">
        <f>1-G6</f>
        <v>9.3210804271227743E-2</v>
      </c>
    </row>
    <row r="7" spans="1:10" x14ac:dyDescent="0.35">
      <c r="A7" s="1" t="s">
        <v>9</v>
      </c>
      <c r="B7" s="3">
        <v>157885746.4130826</v>
      </c>
      <c r="C7" s="3">
        <v>10237072.6112445</v>
      </c>
      <c r="D7" s="3">
        <v>168122819.0243271</v>
      </c>
      <c r="G7" s="4">
        <f>D7/$D$2</f>
        <v>0.77967134240868585</v>
      </c>
      <c r="H7">
        <f>1-G7</f>
        <v>0.22032865759131415</v>
      </c>
    </row>
    <row r="8" spans="1:10" x14ac:dyDescent="0.35">
      <c r="A8" s="1" t="s">
        <v>10</v>
      </c>
      <c r="B8" s="3">
        <v>168653467.05633211</v>
      </c>
      <c r="C8" s="3">
        <v>10226650.072517119</v>
      </c>
      <c r="D8" s="3">
        <v>178880117.12884921</v>
      </c>
      <c r="G8" s="4">
        <f>D8/$D$2</f>
        <v>0.82955842556917914</v>
      </c>
      <c r="H8" s="4">
        <f>1-G8</f>
        <v>0.17044157443082086</v>
      </c>
    </row>
    <row r="9" spans="1:10" x14ac:dyDescent="0.35">
      <c r="A9" s="1" t="s">
        <v>11</v>
      </c>
      <c r="B9" s="3">
        <v>100414486.3201661</v>
      </c>
      <c r="C9" s="3">
        <v>5155714.0202392116</v>
      </c>
      <c r="D9" s="3">
        <v>105570200.3404053</v>
      </c>
      <c r="G9" s="4">
        <f>D9/$D$2</f>
        <v>0.48958291501076706</v>
      </c>
      <c r="H9" s="4">
        <f>1-G9</f>
        <v>0.51041708498923288</v>
      </c>
    </row>
    <row r="10" spans="1:10" x14ac:dyDescent="0.35">
      <c r="A10" s="1" t="s">
        <v>12</v>
      </c>
      <c r="B10" s="3">
        <v>157745173.08999321</v>
      </c>
      <c r="C10" s="3">
        <v>8920010.1605223659</v>
      </c>
      <c r="D10" s="3">
        <v>166665183.25051561</v>
      </c>
      <c r="G10" s="4">
        <f>D10/$D$2</f>
        <v>0.7729115411687002</v>
      </c>
      <c r="H10" s="4">
        <f>1-G10</f>
        <v>0.2270884588312998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workbookViewId="0">
      <selection activeCell="H6" sqref="H6"/>
    </sheetView>
  </sheetViews>
  <sheetFormatPr defaultRowHeight="14.5" x14ac:dyDescent="0.35"/>
  <cols>
    <col min="2" max="2" width="12.26953125" bestFit="1" customWidth="1"/>
    <col min="3" max="3" width="10.26953125" bestFit="1" customWidth="1"/>
    <col min="4" max="4" width="12.269531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5" x14ac:dyDescent="0.35">
      <c r="A2" s="1" t="s">
        <v>4</v>
      </c>
      <c r="B2" s="2">
        <v>147264086.81237599</v>
      </c>
      <c r="C2" s="2">
        <v>5811815.7394667082</v>
      </c>
      <c r="D2" s="2">
        <v>153075902.55184269</v>
      </c>
      <c r="E2" s="2"/>
    </row>
    <row r="3" spans="1:5" x14ac:dyDescent="0.35">
      <c r="A3" s="1" t="s">
        <v>5</v>
      </c>
      <c r="B3" s="2">
        <v>152693858.62483579</v>
      </c>
      <c r="C3" s="2">
        <v>4605256.903954668</v>
      </c>
      <c r="D3" s="2">
        <v>157299115.5287905</v>
      </c>
      <c r="E3" s="2"/>
    </row>
    <row r="4" spans="1:5" x14ac:dyDescent="0.35">
      <c r="A4" s="1" t="s">
        <v>6</v>
      </c>
      <c r="B4" s="2">
        <v>146002175.6469394</v>
      </c>
      <c r="C4" s="2">
        <v>4848623.6498271329</v>
      </c>
      <c r="D4" s="2">
        <v>150850799.29676661</v>
      </c>
      <c r="E4" s="2"/>
    </row>
    <row r="5" spans="1:5" x14ac:dyDescent="0.35">
      <c r="A5" s="1" t="s">
        <v>7</v>
      </c>
      <c r="B5" s="2">
        <v>152659470.08415139</v>
      </c>
      <c r="C5" s="2">
        <v>4605256.903954668</v>
      </c>
      <c r="D5" s="2">
        <v>157264726.9881061</v>
      </c>
      <c r="E5" s="2"/>
    </row>
    <row r="6" spans="1:5" x14ac:dyDescent="0.35">
      <c r="A6" s="1" t="s">
        <v>8</v>
      </c>
      <c r="B6" s="2">
        <v>157536419.65140399</v>
      </c>
      <c r="C6" s="2">
        <v>4483440.6559147602</v>
      </c>
      <c r="D6" s="2">
        <v>162019860.30731881</v>
      </c>
      <c r="E6" s="2"/>
    </row>
    <row r="7" spans="1:5" x14ac:dyDescent="0.35">
      <c r="A7" s="1" t="s">
        <v>9</v>
      </c>
      <c r="B7" s="2">
        <v>131924945.2461523</v>
      </c>
      <c r="C7" s="2">
        <v>4468687.0231602956</v>
      </c>
      <c r="D7" s="2">
        <v>136393632.2693125</v>
      </c>
      <c r="E7" s="2"/>
    </row>
    <row r="8" spans="1:5" x14ac:dyDescent="0.35">
      <c r="A8" s="1" t="s">
        <v>10</v>
      </c>
      <c r="B8" s="2">
        <v>146640557.72501671</v>
      </c>
      <c r="C8" s="2">
        <v>4612862.7479998441</v>
      </c>
      <c r="D8" s="2">
        <v>151253420.47301659</v>
      </c>
      <c r="E8" s="2"/>
    </row>
    <row r="9" spans="1:5" x14ac:dyDescent="0.35">
      <c r="A9" s="1" t="s">
        <v>11</v>
      </c>
      <c r="B9" s="2">
        <v>83762047.463099182</v>
      </c>
      <c r="C9" s="2">
        <v>1139802.8320675341</v>
      </c>
      <c r="D9" s="2">
        <v>84901850.295166731</v>
      </c>
      <c r="E9" s="2"/>
    </row>
    <row r="10" spans="1:5" x14ac:dyDescent="0.35">
      <c r="A10" s="1" t="s">
        <v>12</v>
      </c>
      <c r="B10" s="2">
        <v>129969433.2293186</v>
      </c>
      <c r="C10" s="2">
        <v>3757180.883541625</v>
      </c>
      <c r="D10" s="2">
        <v>133726614.1128602</v>
      </c>
      <c r="E10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Emissions_Europe</vt:lpstr>
      <vt:lpstr>Emissions_EU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Johannes Felipe Giehl</cp:lastModifiedBy>
  <dcterms:created xsi:type="dcterms:W3CDTF">2025-10-15T12:37:23Z</dcterms:created>
  <dcterms:modified xsi:type="dcterms:W3CDTF">2025-10-15T15:42:16Z</dcterms:modified>
</cp:coreProperties>
</file>