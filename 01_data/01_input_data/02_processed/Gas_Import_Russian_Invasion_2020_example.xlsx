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fg.eco\Documents\hydrogen_grid\01_data\01_input_data\02_processed\"/>
    </mc:Choice>
  </mc:AlternateContent>
  <xr:revisionPtr revIDLastSave="0" documentId="13_ncr:1_{620FB40F-B890-4C04-A000-194BDB9F32DB}" xr6:coauthVersionLast="47" xr6:coauthVersionMax="47" xr10:uidLastSave="{00000000-0000-0000-0000-000000000000}"/>
  <bookViews>
    <workbookView xWindow="-108" yWindow="-108" windowWidth="23256" windowHeight="13896" tabRatio="790" activeTab="1" xr2:uid="{00000000-000D-0000-FFFF-FFFF00000000}"/>
  </bookViews>
  <sheets>
    <sheet name="nodes_lng_europe_2020" sheetId="1" r:id="rId1"/>
    <sheet name="nodes_gas_prod_europe_2020" sheetId="2" r:id="rId2"/>
    <sheet name="nodes_gas_prod_world_2020" sheetId="11" r:id="rId3"/>
    <sheet name="nodes_demand_europe_2020" sheetId="3" r:id="rId4"/>
    <sheet name="nodes_demand_world_2020" sheetId="13" r:id="rId5"/>
    <sheet name="Connections_2020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3" l="1"/>
  <c r="G12" i="1" l="1"/>
  <c r="G3" i="1" l="1"/>
  <c r="G4" i="1"/>
  <c r="G5" i="1"/>
  <c r="G6" i="1"/>
  <c r="G7" i="1"/>
  <c r="G8" i="1"/>
  <c r="G9" i="1"/>
  <c r="G10" i="1"/>
  <c r="G11" i="1"/>
  <c r="G13" i="1"/>
  <c r="G14" i="1"/>
  <c r="G2" i="1"/>
  <c r="I2" i="1" s="1"/>
  <c r="G2" i="3" l="1"/>
  <c r="F3" i="11"/>
  <c r="E9" i="11"/>
  <c r="G9" i="11"/>
  <c r="F9" i="11" s="1"/>
  <c r="H2" i="1"/>
  <c r="F63" i="4"/>
  <c r="G63" i="4" s="1"/>
  <c r="D106" i="4"/>
  <c r="F2" i="13"/>
  <c r="F3" i="13"/>
  <c r="F4" i="13"/>
  <c r="F5" i="13"/>
  <c r="F6" i="13"/>
  <c r="F7" i="13"/>
  <c r="F8" i="13"/>
  <c r="F9" i="13"/>
  <c r="F10" i="13"/>
  <c r="F11" i="13"/>
  <c r="F12" i="13"/>
  <c r="F13" i="13"/>
  <c r="F14" i="13"/>
  <c r="F15" i="13"/>
  <c r="F16" i="13"/>
  <c r="F17" i="13"/>
  <c r="F18" i="13"/>
  <c r="F19" i="13"/>
  <c r="F20" i="13"/>
  <c r="F21" i="13"/>
  <c r="F22" i="13"/>
  <c r="G3" i="3"/>
  <c r="G4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E2" i="13"/>
  <c r="G2" i="13"/>
  <c r="C3" i="13"/>
  <c r="E3" i="13"/>
  <c r="G3" i="13"/>
  <c r="C4" i="13"/>
  <c r="E4" i="13"/>
  <c r="G4" i="13"/>
  <c r="C5" i="13"/>
  <c r="G5" i="13" s="1"/>
  <c r="E5" i="13"/>
  <c r="C6" i="13"/>
  <c r="E6" i="13"/>
  <c r="G6" i="13"/>
  <c r="E7" i="13"/>
  <c r="G7" i="13"/>
  <c r="C8" i="13"/>
  <c r="G8" i="13" s="1"/>
  <c r="E8" i="13"/>
  <c r="E9" i="13"/>
  <c r="G9" i="13"/>
  <c r="E10" i="13"/>
  <c r="G10" i="13"/>
  <c r="C11" i="13"/>
  <c r="G11" i="13" s="1"/>
  <c r="E11" i="13"/>
  <c r="E12" i="13"/>
  <c r="G12" i="13"/>
  <c r="E13" i="13"/>
  <c r="C14" i="13"/>
  <c r="G14" i="13" s="1"/>
  <c r="E14" i="13"/>
  <c r="E15" i="13"/>
  <c r="G15" i="13"/>
  <c r="E16" i="13"/>
  <c r="G16" i="13"/>
  <c r="E17" i="13"/>
  <c r="G17" i="13"/>
  <c r="E18" i="13"/>
  <c r="G18" i="13"/>
  <c r="E19" i="13"/>
  <c r="G19" i="13"/>
  <c r="E20" i="13"/>
  <c r="G20" i="13"/>
  <c r="C21" i="13"/>
  <c r="E21" i="13"/>
  <c r="G21" i="13"/>
  <c r="E22" i="13"/>
  <c r="G22" i="13"/>
  <c r="F11" i="11"/>
  <c r="F12" i="11"/>
  <c r="F13" i="11"/>
  <c r="F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E2" i="11"/>
  <c r="G2" i="11"/>
  <c r="F2" i="11" s="1"/>
  <c r="C3" i="11"/>
  <c r="G3" i="11" s="1"/>
  <c r="E3" i="11"/>
  <c r="C4" i="11"/>
  <c r="G4" i="11" s="1"/>
  <c r="F4" i="11" s="1"/>
  <c r="E4" i="11"/>
  <c r="E5" i="11"/>
  <c r="G5" i="11"/>
  <c r="F5" i="11" s="1"/>
  <c r="C6" i="11"/>
  <c r="G6" i="11" s="1"/>
  <c r="F6" i="11" s="1"/>
  <c r="E6" i="11"/>
  <c r="E7" i="11"/>
  <c r="G7" i="11"/>
  <c r="F7" i="11" s="1"/>
  <c r="C8" i="11"/>
  <c r="G8" i="11" s="1"/>
  <c r="F8" i="11" s="1"/>
  <c r="E8" i="11"/>
  <c r="E10" i="11"/>
  <c r="G10" i="11"/>
  <c r="F10" i="11" s="1"/>
  <c r="E11" i="11"/>
  <c r="G11" i="11"/>
  <c r="E12" i="11"/>
  <c r="G12" i="11"/>
  <c r="E13" i="11"/>
  <c r="G13" i="11"/>
  <c r="E14" i="11"/>
  <c r="C15" i="11"/>
  <c r="G15" i="11" s="1"/>
  <c r="F15" i="11" s="1"/>
  <c r="E15" i="11"/>
  <c r="E16" i="11"/>
  <c r="G16" i="11"/>
  <c r="F16" i="11" s="1"/>
  <c r="C17" i="11"/>
  <c r="C14" i="11" s="1"/>
  <c r="G14" i="11" s="1"/>
  <c r="F14" i="11" s="1"/>
  <c r="E17" i="11"/>
  <c r="G3" i="2"/>
  <c r="C44" i="3"/>
  <c r="C13" i="13" l="1"/>
  <c r="G13" i="13" s="1"/>
  <c r="G17" i="11"/>
  <c r="F17" i="11" s="1"/>
  <c r="F40" i="4"/>
  <c r="G40" i="4" s="1"/>
  <c r="F37" i="4"/>
  <c r="G37" i="4" s="1"/>
  <c r="F76" i="4"/>
  <c r="G76" i="4" s="1"/>
  <c r="F39" i="4"/>
  <c r="G39" i="4" s="1"/>
  <c r="F86" i="4"/>
  <c r="G86" i="4" s="1"/>
  <c r="F67" i="4"/>
  <c r="G67" i="4" s="1"/>
  <c r="F87" i="4"/>
  <c r="G87" i="4" s="1"/>
  <c r="F84" i="4"/>
  <c r="G84" i="4" s="1"/>
  <c r="F43" i="4"/>
  <c r="G43" i="4" s="1"/>
  <c r="F92" i="4"/>
  <c r="G92" i="4" s="1"/>
  <c r="F103" i="4"/>
  <c r="G103" i="4" s="1"/>
  <c r="F69" i="4"/>
  <c r="G69" i="4" s="1"/>
  <c r="F20" i="4"/>
  <c r="G20" i="4" s="1"/>
  <c r="F47" i="4"/>
  <c r="G47" i="4" s="1"/>
  <c r="F41" i="4"/>
  <c r="G41" i="4" s="1"/>
  <c r="F10" i="4"/>
  <c r="G10" i="4" s="1"/>
  <c r="F62" i="4"/>
  <c r="G62" i="4" s="1"/>
  <c r="F91" i="4"/>
  <c r="G91" i="4" s="1"/>
  <c r="F109" i="4" l="1"/>
  <c r="G109" i="4" s="1"/>
  <c r="F72" i="4"/>
  <c r="G72" i="4" s="1"/>
  <c r="F27" i="4"/>
  <c r="G27" i="4" s="1"/>
  <c r="F57" i="4"/>
  <c r="G57" i="4" s="1"/>
  <c r="F95" i="4"/>
  <c r="G95" i="4" s="1"/>
  <c r="F107" i="4"/>
  <c r="G107" i="4" s="1"/>
  <c r="F70" i="4"/>
  <c r="G70" i="4" s="1"/>
  <c r="F28" i="4"/>
  <c r="G28" i="4" s="1"/>
  <c r="F48" i="4"/>
  <c r="G48" i="4" s="1"/>
  <c r="F73" i="4"/>
  <c r="G73" i="4" s="1"/>
  <c r="F85" i="4"/>
  <c r="G85" i="4" s="1"/>
  <c r="F44" i="4"/>
  <c r="G44" i="4" s="1"/>
  <c r="F80" i="4"/>
  <c r="G80" i="4" s="1"/>
  <c r="F100" i="4"/>
  <c r="G100" i="4" s="1"/>
  <c r="F29" i="4"/>
  <c r="G29" i="4" s="1"/>
  <c r="F58" i="4"/>
  <c r="G58" i="4" s="1"/>
  <c r="F49" i="4"/>
  <c r="G49" i="4" s="1"/>
  <c r="F30" i="4"/>
  <c r="G30" i="4" s="1"/>
  <c r="F96" i="4"/>
  <c r="G96" i="4" s="1"/>
  <c r="F8" i="4"/>
  <c r="G8" i="4" s="1"/>
  <c r="F71" i="4"/>
  <c r="G71" i="4" s="1"/>
  <c r="F3" i="4"/>
  <c r="G3" i="4" s="1"/>
  <c r="F21" i="4"/>
  <c r="G21" i="4" s="1"/>
  <c r="F36" i="4"/>
  <c r="G36" i="4" s="1"/>
  <c r="F78" i="4"/>
  <c r="G78" i="4" s="1"/>
  <c r="F24" i="4"/>
  <c r="G24" i="4" s="1"/>
  <c r="F88" i="4"/>
  <c r="G88" i="4" s="1"/>
  <c r="F74" i="4"/>
  <c r="G74" i="4" s="1"/>
  <c r="F31" i="4"/>
  <c r="G31" i="4" s="1"/>
  <c r="F50" i="4"/>
  <c r="G50" i="4" s="1"/>
  <c r="F79" i="4"/>
  <c r="G79" i="4" s="1"/>
  <c r="F38" i="4"/>
  <c r="G38" i="4" s="1"/>
  <c r="F89" i="4"/>
  <c r="G89" i="4" s="1"/>
  <c r="F9" i="4"/>
  <c r="G9" i="4" s="1"/>
  <c r="F32" i="4"/>
  <c r="G32" i="4" s="1"/>
  <c r="F22" i="4"/>
  <c r="G22" i="4" s="1"/>
  <c r="F45" i="4"/>
  <c r="G45" i="4" s="1"/>
  <c r="F75" i="4"/>
  <c r="G75" i="4" s="1"/>
  <c r="F13" i="4"/>
  <c r="G13" i="4" s="1"/>
  <c r="F101" i="4"/>
  <c r="G101" i="4" s="1"/>
  <c r="F93" i="4"/>
  <c r="G93" i="4" s="1"/>
  <c r="F53" i="4"/>
  <c r="G53" i="4" s="1"/>
  <c r="F4" i="4"/>
  <c r="G4" i="4" s="1"/>
  <c r="F51" i="4"/>
  <c r="G51" i="4" s="1"/>
  <c r="F97" i="4"/>
  <c r="G97" i="4" s="1"/>
  <c r="F81" i="4"/>
  <c r="G81" i="4" s="1"/>
  <c r="F102" i="4"/>
  <c r="G102" i="4" s="1"/>
  <c r="F108" i="4"/>
  <c r="G108" i="4" s="1"/>
  <c r="F5" i="4"/>
  <c r="G5" i="4" s="1"/>
  <c r="F23" i="4"/>
  <c r="G23" i="4" s="1"/>
  <c r="F94" i="4"/>
  <c r="G94" i="4" s="1"/>
  <c r="F2" i="4"/>
  <c r="G2" i="4" s="1"/>
  <c r="F99" i="4"/>
  <c r="G99" i="4" s="1"/>
  <c r="F66" i="4"/>
  <c r="G66" i="4" s="1"/>
  <c r="F64" i="4"/>
  <c r="G64" i="4" s="1"/>
  <c r="F18" i="4"/>
  <c r="G18" i="4" s="1"/>
  <c r="F33" i="4"/>
  <c r="G33" i="4" s="1"/>
  <c r="F60" i="4"/>
  <c r="G60" i="4" s="1"/>
  <c r="F90" i="4"/>
  <c r="G90" i="4" s="1"/>
  <c r="F82" i="4"/>
  <c r="G82" i="4" s="1"/>
  <c r="F14" i="4"/>
  <c r="G14" i="4" s="1"/>
  <c r="F11" i="4"/>
  <c r="G11" i="4" s="1"/>
  <c r="F34" i="4"/>
  <c r="G34" i="4" s="1"/>
  <c r="F35" i="4"/>
  <c r="G35" i="4" s="1"/>
  <c r="F25" i="4"/>
  <c r="G25" i="4" s="1"/>
  <c r="F104" i="4"/>
  <c r="G104" i="4" s="1"/>
  <c r="F19" i="4"/>
  <c r="G19" i="4" s="1"/>
  <c r="F46" i="4"/>
  <c r="G46" i="4" s="1"/>
  <c r="F54" i="4"/>
  <c r="G54" i="4" s="1"/>
  <c r="F15" i="4"/>
  <c r="G15" i="4" s="1"/>
  <c r="F105" i="4"/>
  <c r="G105" i="4" s="1"/>
  <c r="F68" i="4"/>
  <c r="G68" i="4" s="1"/>
  <c r="F55" i="4"/>
  <c r="G55" i="4" s="1"/>
  <c r="F16" i="4"/>
  <c r="G16" i="4" s="1"/>
  <c r="F61" i="4"/>
  <c r="G61" i="4" s="1"/>
  <c r="F65" i="4"/>
  <c r="G65" i="4" s="1"/>
  <c r="F6" i="4"/>
  <c r="G6" i="4" s="1"/>
  <c r="F59" i="4"/>
  <c r="G59" i="4" s="1"/>
  <c r="F52" i="4"/>
  <c r="G52" i="4" s="1"/>
  <c r="F7" i="4"/>
  <c r="G7" i="4" s="1"/>
  <c r="F26" i="4"/>
  <c r="G26" i="4" s="1"/>
  <c r="F56" i="4"/>
  <c r="G56" i="4" s="1"/>
  <c r="F106" i="4"/>
  <c r="G106" i="4" s="1"/>
  <c r="F17" i="4"/>
  <c r="G17" i="4" s="1"/>
  <c r="F98" i="4"/>
  <c r="G98" i="4" s="1"/>
  <c r="F83" i="4"/>
  <c r="G83" i="4" s="1"/>
  <c r="F12" i="4"/>
  <c r="G12" i="4" s="1"/>
  <c r="F77" i="4"/>
  <c r="G77" i="4" s="1"/>
  <c r="F42" i="4"/>
  <c r="G42" i="4" s="1"/>
  <c r="E2" i="2"/>
  <c r="G2" i="2" s="1"/>
  <c r="E40" i="2"/>
  <c r="G40" i="2" s="1"/>
  <c r="F17" i="3"/>
  <c r="I14" i="1"/>
  <c r="H14" i="1" s="1"/>
  <c r="I9" i="1"/>
  <c r="H9" i="1" s="1"/>
  <c r="I8" i="1"/>
  <c r="H8" i="1" s="1"/>
  <c r="I5" i="1"/>
  <c r="H5" i="1" s="1"/>
  <c r="I4" i="1"/>
  <c r="H4" i="1" s="1"/>
  <c r="I3" i="1"/>
  <c r="H3" i="1" s="1"/>
  <c r="I6" i="1"/>
  <c r="H6" i="1" s="1"/>
  <c r="N41" i="2"/>
  <c r="N42" i="2"/>
  <c r="M41" i="2"/>
  <c r="M42" i="2"/>
  <c r="G5" i="2"/>
  <c r="G7" i="2"/>
  <c r="G12" i="2"/>
  <c r="G13" i="2"/>
  <c r="G20" i="2"/>
  <c r="G21" i="2"/>
  <c r="G22" i="2"/>
  <c r="G23" i="2"/>
  <c r="G24" i="2"/>
  <c r="G26" i="2"/>
  <c r="G29" i="2"/>
  <c r="G31" i="2"/>
  <c r="G32" i="2"/>
  <c r="G36" i="2"/>
  <c r="G37" i="2"/>
  <c r="G41" i="2"/>
  <c r="D44" i="2"/>
  <c r="C44" i="2"/>
  <c r="E3" i="2"/>
  <c r="E4" i="2"/>
  <c r="G4" i="2" s="1"/>
  <c r="E5" i="2"/>
  <c r="E6" i="2"/>
  <c r="G6" i="2" s="1"/>
  <c r="E7" i="2"/>
  <c r="E8" i="2"/>
  <c r="G8" i="2" s="1"/>
  <c r="E9" i="2"/>
  <c r="G9" i="2" s="1"/>
  <c r="E10" i="2"/>
  <c r="G10" i="2" s="1"/>
  <c r="E11" i="2"/>
  <c r="G11" i="2" s="1"/>
  <c r="E12" i="2"/>
  <c r="E13" i="2"/>
  <c r="E14" i="2"/>
  <c r="G14" i="2" s="1"/>
  <c r="E15" i="2"/>
  <c r="G15" i="2" s="1"/>
  <c r="E16" i="2"/>
  <c r="G16" i="2" s="1"/>
  <c r="E17" i="2"/>
  <c r="G17" i="2" s="1"/>
  <c r="E18" i="2"/>
  <c r="G18" i="2" s="1"/>
  <c r="E19" i="2"/>
  <c r="G19" i="2" s="1"/>
  <c r="E20" i="2"/>
  <c r="E21" i="2"/>
  <c r="E22" i="2"/>
  <c r="E23" i="2"/>
  <c r="E24" i="2"/>
  <c r="E25" i="2"/>
  <c r="G25" i="2" s="1"/>
  <c r="E26" i="2"/>
  <c r="E27" i="2"/>
  <c r="G27" i="2" s="1"/>
  <c r="E28" i="2"/>
  <c r="G28" i="2" s="1"/>
  <c r="E29" i="2"/>
  <c r="E30" i="2"/>
  <c r="G30" i="2" s="1"/>
  <c r="E31" i="2"/>
  <c r="E32" i="2"/>
  <c r="E33" i="2"/>
  <c r="G33" i="2" s="1"/>
  <c r="E34" i="2"/>
  <c r="E35" i="2"/>
  <c r="G35" i="2" s="1"/>
  <c r="E36" i="2"/>
  <c r="E37" i="2"/>
  <c r="E38" i="2"/>
  <c r="G38" i="2" s="1"/>
  <c r="E39" i="2"/>
  <c r="G39" i="2" s="1"/>
  <c r="E41" i="2"/>
  <c r="E42" i="2"/>
  <c r="G42" i="2" s="1"/>
  <c r="D42" i="3"/>
  <c r="D23" i="3"/>
  <c r="D21" i="3"/>
  <c r="D41" i="3"/>
  <c r="D2" i="3"/>
  <c r="E27" i="3" s="1"/>
  <c r="F31" i="3" s="1"/>
  <c r="D3" i="3"/>
  <c r="F3" i="3" s="1"/>
  <c r="D4" i="3"/>
  <c r="F4" i="3" s="1"/>
  <c r="D5" i="3"/>
  <c r="D6" i="3"/>
  <c r="F6" i="3" s="1"/>
  <c r="D7" i="3"/>
  <c r="F7" i="3" s="1"/>
  <c r="D8" i="3"/>
  <c r="F8" i="3" s="1"/>
  <c r="D9" i="3"/>
  <c r="F9" i="3" s="1"/>
  <c r="D10" i="3"/>
  <c r="F10" i="3" s="1"/>
  <c r="D11" i="3"/>
  <c r="F11" i="3" s="1"/>
  <c r="D12" i="3"/>
  <c r="F12" i="3" s="1"/>
  <c r="D13" i="3"/>
  <c r="F13" i="3" s="1"/>
  <c r="D14" i="3"/>
  <c r="F14" i="3" s="1"/>
  <c r="D15" i="3"/>
  <c r="F15" i="3" s="1"/>
  <c r="D16" i="3"/>
  <c r="F16" i="3" s="1"/>
  <c r="D17" i="3"/>
  <c r="D18" i="3"/>
  <c r="F18" i="3" s="1"/>
  <c r="D19" i="3"/>
  <c r="F19" i="3" s="1"/>
  <c r="D20" i="3"/>
  <c r="F20" i="3" s="1"/>
  <c r="D22" i="3"/>
  <c r="D24" i="3"/>
  <c r="F24" i="3" s="1"/>
  <c r="D25" i="3"/>
  <c r="F25" i="3" s="1"/>
  <c r="D26" i="3"/>
  <c r="F26" i="3" s="1"/>
  <c r="D27" i="3"/>
  <c r="F27" i="3" s="1"/>
  <c r="D28" i="3"/>
  <c r="F28" i="3" s="1"/>
  <c r="D29" i="3"/>
  <c r="F29" i="3" s="1"/>
  <c r="D30" i="3"/>
  <c r="F30" i="3" s="1"/>
  <c r="D31" i="3"/>
  <c r="D32" i="3"/>
  <c r="D33" i="3"/>
  <c r="F33" i="3" s="1"/>
  <c r="D34" i="3"/>
  <c r="F34" i="3" s="1"/>
  <c r="D35" i="3"/>
  <c r="F35" i="3" s="1"/>
  <c r="D36" i="3"/>
  <c r="F36" i="3" s="1"/>
  <c r="D37" i="3"/>
  <c r="F37" i="3" s="1"/>
  <c r="D38" i="3"/>
  <c r="F38" i="3" s="1"/>
  <c r="D39" i="3"/>
  <c r="F39" i="3" s="1"/>
  <c r="D40" i="3"/>
  <c r="F40" i="3" s="1"/>
  <c r="I12" i="1"/>
  <c r="H12" i="1" s="1"/>
  <c r="I7" i="1"/>
  <c r="H7" i="1" s="1"/>
  <c r="I10" i="1"/>
  <c r="H10" i="1" s="1"/>
  <c r="I11" i="1"/>
  <c r="H11" i="1" s="1"/>
  <c r="I13" i="1"/>
  <c r="H13" i="1" s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2" i="2"/>
  <c r="O3" i="1"/>
  <c r="O4" i="1"/>
  <c r="O5" i="1"/>
  <c r="O6" i="1"/>
  <c r="O7" i="1"/>
  <c r="O8" i="1"/>
  <c r="O9" i="1"/>
  <c r="O10" i="1"/>
  <c r="O11" i="1"/>
  <c r="O12" i="1"/>
  <c r="O13" i="1"/>
  <c r="O2" i="1"/>
  <c r="N3" i="1"/>
  <c r="N4" i="1"/>
  <c r="N5" i="1"/>
  <c r="N6" i="1"/>
  <c r="N7" i="1"/>
  <c r="N8" i="1"/>
  <c r="N9" i="1"/>
  <c r="N10" i="1"/>
  <c r="N11" i="1"/>
  <c r="N12" i="1"/>
  <c r="N13" i="1"/>
  <c r="N2" i="1"/>
  <c r="E3" i="1"/>
  <c r="E4" i="1"/>
  <c r="E5" i="1"/>
  <c r="E6" i="1"/>
  <c r="E7" i="1"/>
  <c r="E8" i="1"/>
  <c r="E9" i="1"/>
  <c r="E10" i="1"/>
  <c r="E11" i="1"/>
  <c r="E12" i="1"/>
  <c r="E13" i="1"/>
  <c r="E14" i="1"/>
  <c r="E2" i="1"/>
  <c r="E44" i="2" l="1"/>
  <c r="G34" i="2"/>
  <c r="F32" i="3"/>
  <c r="F23" i="3"/>
  <c r="F42" i="3"/>
  <c r="F41" i="3"/>
  <c r="F22" i="3"/>
  <c r="F21" i="3"/>
  <c r="F2" i="3"/>
</calcChain>
</file>

<file path=xl/sharedStrings.xml><?xml version="1.0" encoding="utf-8"?>
<sst xmlns="http://schemas.openxmlformats.org/spreadsheetml/2006/main" count="578" uniqueCount="170">
  <si>
    <t>Belgium</t>
  </si>
  <si>
    <t>Portugal</t>
  </si>
  <si>
    <t>France</t>
  </si>
  <si>
    <t>Greece</t>
  </si>
  <si>
    <t>Italy</t>
  </si>
  <si>
    <t>Croatia</t>
  </si>
  <si>
    <t>Lithuania</t>
  </si>
  <si>
    <t>Netherlands</t>
  </si>
  <si>
    <t>Poland</t>
  </si>
  <si>
    <t>Spain</t>
  </si>
  <si>
    <t>Türkiye</t>
  </si>
  <si>
    <t>UK</t>
  </si>
  <si>
    <t>LNG</t>
  </si>
  <si>
    <t>Share [2020]</t>
  </si>
  <si>
    <t>Capacity after grid connection [2020]</t>
  </si>
  <si>
    <t>LNG Capacity Mrd m3 [2020]</t>
  </si>
  <si>
    <t>Country</t>
  </si>
  <si>
    <t>BE</t>
  </si>
  <si>
    <t>NL</t>
  </si>
  <si>
    <t>DE</t>
  </si>
  <si>
    <t>AT</t>
  </si>
  <si>
    <t>IT</t>
  </si>
  <si>
    <t>CH</t>
  </si>
  <si>
    <t>SI</t>
  </si>
  <si>
    <t>HR</t>
  </si>
  <si>
    <t>FR</t>
  </si>
  <si>
    <t>DK</t>
  </si>
  <si>
    <t>PL</t>
  </si>
  <si>
    <t>CZ</t>
  </si>
  <si>
    <t>SK</t>
  </si>
  <si>
    <t>HU</t>
  </si>
  <si>
    <t>RS</t>
  </si>
  <si>
    <t>BG</t>
  </si>
  <si>
    <t>RO</t>
  </si>
  <si>
    <t>LT</t>
  </si>
  <si>
    <t>LV</t>
  </si>
  <si>
    <t>ES</t>
  </si>
  <si>
    <t>PT</t>
  </si>
  <si>
    <t>UA</t>
  </si>
  <si>
    <t>MD</t>
  </si>
  <si>
    <t>RU</t>
  </si>
  <si>
    <t>AL</t>
  </si>
  <si>
    <t>LU</t>
  </si>
  <si>
    <t>IE</t>
  </si>
  <si>
    <t>BA</t>
  </si>
  <si>
    <t>MK</t>
  </si>
  <si>
    <t>TR</t>
  </si>
  <si>
    <t>SM</t>
  </si>
  <si>
    <t>NO</t>
  </si>
  <si>
    <t>DZ</t>
  </si>
  <si>
    <t>TN</t>
  </si>
  <si>
    <t>LY</t>
  </si>
  <si>
    <t>BY</t>
  </si>
  <si>
    <t>EE</t>
  </si>
  <si>
    <t>FI</t>
  </si>
  <si>
    <t>Long_name</t>
  </si>
  <si>
    <t>Germany</t>
  </si>
  <si>
    <t>Austria</t>
  </si>
  <si>
    <t>Switzerland</t>
  </si>
  <si>
    <t>Slovenia</t>
  </si>
  <si>
    <t>Denmark</t>
  </si>
  <si>
    <t>Czech Republic</t>
  </si>
  <si>
    <t>Slovakia</t>
  </si>
  <si>
    <t>Hungary</t>
  </si>
  <si>
    <t>Bulgaria</t>
  </si>
  <si>
    <t>Latvia</t>
  </si>
  <si>
    <t>Estonia</t>
  </si>
  <si>
    <t>Ukraine</t>
  </si>
  <si>
    <t>Moldova</t>
  </si>
  <si>
    <t>Russia</t>
  </si>
  <si>
    <t>Luxemburg</t>
  </si>
  <si>
    <t>Norway</t>
  </si>
  <si>
    <t>Serbia</t>
  </si>
  <si>
    <t>Albania</t>
  </si>
  <si>
    <t>Irland</t>
  </si>
  <si>
    <t>Bosnia and Herzegovina</t>
  </si>
  <si>
    <t>North Macedonia</t>
  </si>
  <si>
    <t>San Marino</t>
  </si>
  <si>
    <t>Algeria</t>
  </si>
  <si>
    <t>Tunisia</t>
  </si>
  <si>
    <t>Libya</t>
  </si>
  <si>
    <t>Belarus</t>
  </si>
  <si>
    <t>SE</t>
  </si>
  <si>
    <t>Sweden</t>
  </si>
  <si>
    <t>Mrd m3 [2020]</t>
  </si>
  <si>
    <t>Finland</t>
  </si>
  <si>
    <t>Romania</t>
  </si>
  <si>
    <t>OE</t>
  </si>
  <si>
    <t>Other Europe</t>
  </si>
  <si>
    <t>https://www.ins.tn/sites/default/files/publication/pdf/bms%20octobre%202022.pdf</t>
  </si>
  <si>
    <t>Imports [2020]</t>
  </si>
  <si>
    <t>Malta</t>
  </si>
  <si>
    <t>From</t>
  </si>
  <si>
    <t>To</t>
  </si>
  <si>
    <t>MA</t>
  </si>
  <si>
    <t>-</t>
  </si>
  <si>
    <t>_LNG</t>
  </si>
  <si>
    <t>_Prod</t>
  </si>
  <si>
    <t>Limitation</t>
  </si>
  <si>
    <t>Limitation in TWh</t>
  </si>
  <si>
    <t>TWh [2020]</t>
  </si>
  <si>
    <t>GWh/a</t>
  </si>
  <si>
    <t>TWh/a</t>
  </si>
  <si>
    <t>Population 2020 [Tsd]</t>
  </si>
  <si>
    <t>ZY</t>
  </si>
  <si>
    <t>Zyprus</t>
  </si>
  <si>
    <t>MT</t>
  </si>
  <si>
    <t>Montenegro</t>
  </si>
  <si>
    <t>https://ec.europa.eu/eurostat/documents/2995521/11081093/3-10072020-AP-EN.pdf/d2f799bf-4412-05cc-a357-7b49b93615f1</t>
  </si>
  <si>
    <t>https://ec.europa.eu/eurostat/statistics-explained/index.php?title=File:WBT23_Population,_2011-2022_(thousands).png</t>
  </si>
  <si>
    <t>for Bosnia</t>
  </si>
  <si>
    <t>https://ec.europa.eu/eurostat/statistics-explained/index.php?title=European_Neighbourhood_Policy_-_East_-_population_statistics#Number_of_inhabitants</t>
  </si>
  <si>
    <t>Ukraine, Moldova</t>
  </si>
  <si>
    <t>Kosovo</t>
  </si>
  <si>
    <t>TWh by share</t>
  </si>
  <si>
    <t>Mil m3 EU [2020]</t>
  </si>
  <si>
    <t>https://ec.europa.eu/eurostat/databrowser/view/nrg_cb_gasm__custom_10421303/default/table?lang=en</t>
  </si>
  <si>
    <t>Mrd m3 EU [2020]</t>
  </si>
  <si>
    <t>for all Europe</t>
  </si>
  <si>
    <t>https://www.energyinst.org/statistical-review</t>
  </si>
  <si>
    <t>Ireland</t>
  </si>
  <si>
    <t>https://www.ins.tn/sites/default/files-ftp3/files/publication/pdf/bms%20Aout%202024.pdf</t>
  </si>
  <si>
    <t>average</t>
  </si>
  <si>
    <t>GWh/d [capacity map]</t>
  </si>
  <si>
    <t>GWh/d [gasdashboard]</t>
  </si>
  <si>
    <t>GWh/d [transparency map]</t>
  </si>
  <si>
    <t>other source</t>
  </si>
  <si>
    <t>Comment</t>
  </si>
  <si>
    <t>same as AL to IT</t>
  </si>
  <si>
    <t>Assumption, same as TN to IT</t>
  </si>
  <si>
    <t>Assumption, as SE is supplied by DK, must be high enough</t>
  </si>
  <si>
    <t>Assumption, same as MA to ES</t>
  </si>
  <si>
    <t>USA</t>
  </si>
  <si>
    <t>SA</t>
  </si>
  <si>
    <t>TT</t>
  </si>
  <si>
    <t>ME</t>
  </si>
  <si>
    <t>QA</t>
  </si>
  <si>
    <t>AF</t>
  </si>
  <si>
    <t>AU</t>
  </si>
  <si>
    <t>CN</t>
  </si>
  <si>
    <t>JS</t>
  </si>
  <si>
    <t>IN</t>
  </si>
  <si>
    <t>AS</t>
  </si>
  <si>
    <t>North America</t>
  </si>
  <si>
    <t>South America</t>
  </si>
  <si>
    <t>Trinidad &amp; Tobago</t>
  </si>
  <si>
    <t>Middle East</t>
  </si>
  <si>
    <t>Africa</t>
  </si>
  <si>
    <t>Australia</t>
  </si>
  <si>
    <t>China</t>
  </si>
  <si>
    <t>Japan &amp; South Korea</t>
  </si>
  <si>
    <t>India</t>
  </si>
  <si>
    <t>Asia</t>
  </si>
  <si>
    <t>Mil m3 [2020]</t>
  </si>
  <si>
    <t>Mrd m3 [2020]2</t>
  </si>
  <si>
    <t>CR</t>
  </si>
  <si>
    <t>Caspian Region</t>
  </si>
  <si>
    <t>Qatar</t>
  </si>
  <si>
    <t>Morroco</t>
  </si>
  <si>
    <t>https://www.gecf.org/_resources/files/events/release-of-the-gecf-annual-statistical-bulletin-2023/gecf-asb-2023.pdf</t>
  </si>
  <si>
    <t>EG</t>
  </si>
  <si>
    <t>Egypt</t>
  </si>
  <si>
    <t>IM</t>
  </si>
  <si>
    <t>Indonesia &amp; Malaysia</t>
  </si>
  <si>
    <t>CM</t>
  </si>
  <si>
    <t>EL</t>
  </si>
  <si>
    <t>TWh [2020]2</t>
  </si>
  <si>
    <t>GWh [2020]</t>
  </si>
  <si>
    <t>https://www.statista.com/statistics/1538667/natural-gas-production-in-morocco-by-field/</t>
  </si>
  <si>
    <t>for Morroco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</si>
</sst>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\-* #,##0.00_-;_-* &quot;-&quot;??_-;_-@_-"/>
    <numFmt numFmtId="165" formatCode="0.0"/>
    <numFmt numFmtId="166" formatCode="0.0%"/>
  </numFmts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Arial"/>
      <family val="2"/>
    </font>
    <font>
      <u/>
      <sz val="8"/>
      <color indexed="12"/>
      <name val="Arial"/>
      <family val="2"/>
    </font>
    <font>
      <sz val="7"/>
      <name val="Arial"/>
      <family val="2"/>
    </font>
    <font>
      <b/>
      <sz val="10"/>
      <name val="Arial"/>
      <family val="2"/>
    </font>
    <font>
      <sz val="6.5"/>
      <name val="Arial"/>
      <family val="2"/>
    </font>
    <font>
      <sz val="10"/>
      <name val="Geneva"/>
    </font>
    <font>
      <sz val="10"/>
      <name val="Arial"/>
      <family val="2"/>
    </font>
    <font>
      <u/>
      <sz val="8"/>
      <color theme="10"/>
      <name val="Arial"/>
      <family val="2"/>
    </font>
    <font>
      <sz val="14"/>
      <color indexed="50"/>
      <name val="Arial"/>
      <family val="2"/>
    </font>
    <font>
      <sz val="6"/>
      <name val="Arial"/>
      <family val="2"/>
    </font>
    <font>
      <b/>
      <sz val="8.5"/>
      <color indexed="50"/>
      <name val="Arial"/>
      <family val="2"/>
    </font>
    <font>
      <b/>
      <sz val="7"/>
      <name val="Arial"/>
      <family val="2"/>
    </font>
    <font>
      <b/>
      <sz val="7"/>
      <color indexed="9"/>
      <name val="Arial"/>
      <family val="2"/>
    </font>
    <font>
      <sz val="11"/>
      <color indexed="8"/>
      <name val="Calibri"/>
      <family val="2"/>
    </font>
    <font>
      <sz val="9"/>
      <name val="Geneva"/>
    </font>
    <font>
      <sz val="11"/>
      <color rgb="FF000000"/>
      <name val="Calibri"/>
      <family val="2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5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/>
      <right/>
      <top/>
      <bottom style="thin">
        <color rgb="FF9BC2E6"/>
      </bottom>
      <diagonal/>
    </border>
    <border>
      <left/>
      <right style="thin">
        <color theme="4" tint="0.39997558519241921"/>
      </right>
      <top/>
      <bottom style="thin">
        <color rgb="FF9BC2E6"/>
      </bottom>
      <diagonal/>
    </border>
  </borders>
  <cellStyleXfs count="41">
    <xf numFmtId="0" fontId="0" fillId="0" borderId="0"/>
    <xf numFmtId="0" fontId="3" fillId="0" borderId="0" applyFill="0" applyBorder="0"/>
    <xf numFmtId="0" fontId="4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/>
    <xf numFmtId="0" fontId="1" fillId="0" borderId="0"/>
    <xf numFmtId="0" fontId="3" fillId="0" borderId="0" applyFill="0" applyBorder="0"/>
    <xf numFmtId="0" fontId="3" fillId="0" borderId="0" applyFill="0" applyBorder="0"/>
    <xf numFmtId="0" fontId="7" fillId="0" borderId="0"/>
    <xf numFmtId="0" fontId="1" fillId="0" borderId="0"/>
    <xf numFmtId="0" fontId="9" fillId="0" borderId="0"/>
    <xf numFmtId="0" fontId="3" fillId="0" borderId="0" applyFill="0" applyBorder="0"/>
    <xf numFmtId="0" fontId="8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12" fillId="0" borderId="0">
      <alignment horizontal="right"/>
    </xf>
    <xf numFmtId="0" fontId="13" fillId="0" borderId="0"/>
    <xf numFmtId="0" fontId="5" fillId="0" borderId="0" applyAlignment="0">
      <alignment horizontal="left"/>
    </xf>
    <xf numFmtId="0" fontId="14" fillId="0" borderId="1" applyNumberFormat="0" applyAlignment="0"/>
    <xf numFmtId="0" fontId="15" fillId="0" borderId="0"/>
    <xf numFmtId="0" fontId="1" fillId="0" borderId="0"/>
    <xf numFmtId="0" fontId="11" fillId="0" borderId="0"/>
    <xf numFmtId="0" fontId="3" fillId="0" borderId="0" applyFill="0" applyBorder="0"/>
    <xf numFmtId="0" fontId="5" fillId="0" borderId="0">
      <alignment horizontal="right"/>
    </xf>
    <xf numFmtId="0" fontId="3" fillId="0" borderId="0" applyFill="0" applyBorder="0"/>
    <xf numFmtId="0" fontId="6" fillId="0" borderId="0"/>
    <xf numFmtId="0" fontId="3" fillId="0" borderId="0" applyFill="0" applyBorder="0"/>
    <xf numFmtId="9" fontId="3" fillId="0" borderId="0" applyFont="0" applyFill="0" applyBorder="0" applyAlignment="0" applyProtection="0"/>
    <xf numFmtId="164" fontId="16" fillId="0" borderId="0" applyFont="0" applyFill="0" applyBorder="0" applyAlignment="0" applyProtection="0"/>
    <xf numFmtId="0" fontId="1" fillId="0" borderId="0"/>
    <xf numFmtId="0" fontId="3" fillId="0" borderId="0" applyFill="0" applyBorder="0"/>
    <xf numFmtId="166" fontId="5" fillId="0" borderId="0">
      <alignment horizontal="right"/>
    </xf>
    <xf numFmtId="166" fontId="1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9" fillId="0" borderId="0"/>
    <xf numFmtId="0" fontId="6" fillId="0" borderId="0"/>
  </cellStyleXfs>
  <cellXfs count="12">
    <xf numFmtId="0" fontId="0" fillId="0" borderId="0" xfId="0"/>
    <xf numFmtId="10" fontId="0" fillId="0" borderId="0" xfId="0" applyNumberFormat="1"/>
    <xf numFmtId="165" fontId="0" fillId="0" borderId="0" xfId="0" applyNumberFormat="1"/>
    <xf numFmtId="2" fontId="0" fillId="0" borderId="0" xfId="0" applyNumberFormat="1"/>
    <xf numFmtId="0" fontId="0" fillId="3" borderId="2" xfId="0" applyFill="1" applyBorder="1"/>
    <xf numFmtId="165" fontId="0" fillId="3" borderId="2" xfId="0" applyNumberFormat="1" applyFill="1" applyBorder="1"/>
    <xf numFmtId="0" fontId="21" fillId="2" borderId="3" xfId="0" applyFont="1" applyFill="1" applyBorder="1"/>
    <xf numFmtId="0" fontId="21" fillId="2" borderId="4" xfId="0" applyFont="1" applyFill="1" applyBorder="1"/>
    <xf numFmtId="0" fontId="21" fillId="2" borderId="5" xfId="0" applyFont="1" applyFill="1" applyBorder="1"/>
    <xf numFmtId="0" fontId="21" fillId="2" borderId="6" xfId="0" applyFont="1" applyFill="1" applyBorder="1"/>
    <xf numFmtId="0" fontId="21" fillId="2" borderId="7" xfId="0" applyFont="1" applyFill="1" applyBorder="1"/>
    <xf numFmtId="165" fontId="0" fillId="3" borderId="0" xfId="0" applyNumberFormat="1" applyFill="1"/>
  </cellXfs>
  <cellStyles count="41">
    <cellStyle name="C01_Main head" xfId="22" xr:uid="{3FF1BF2F-769C-4CF6-BB03-FA58B69C5545}"/>
    <cellStyle name="C02_Column heads" xfId="16" xr:uid="{6AA76714-52DD-4B3B-9F1F-E7ED06188786}"/>
    <cellStyle name="C03_Sub head bold" xfId="17" xr:uid="{71BDF15F-8FAB-4B9D-BF56-0C82A383AA8E}"/>
    <cellStyle name="C04_Total text white bold" xfId="20" xr:uid="{287E28E8-DA9A-4DA7-94AD-5AF1C537F15F}"/>
    <cellStyle name="C04a_Total text black with rule" xfId="19" xr:uid="{16CE27B2-E630-4389-8700-BC6F07A207BB}"/>
    <cellStyle name="C05_Main text" xfId="18" xr:uid="{19A3C003-4A4D-4B53-B889-86660BE2F4A7}"/>
    <cellStyle name="C06_Figs" xfId="24" xr:uid="{6EF7291D-EE46-4629-B94D-1ECDF30BDA6F}"/>
    <cellStyle name="C07_Figs 1 dec percent" xfId="32" xr:uid="{47221C8E-FC37-465A-9665-18759B74A6CE}"/>
    <cellStyle name="C09_Notes" xfId="7" xr:uid="{9085F154-117F-416B-8D81-36A9DB81FB8C}"/>
    <cellStyle name="Comma 2" xfId="14" xr:uid="{C220F88A-4F55-4623-B6C1-AD23C8E74659}"/>
    <cellStyle name="Comma 5" xfId="29" xr:uid="{0067ED6D-11E5-44AC-9D53-C45880789330}"/>
    <cellStyle name="Hyperlink 2" xfId="2" xr:uid="{BA9329EA-B184-49A9-9DC3-748FF9EBB7D9}"/>
    <cellStyle name="Hyperlink 2 2" xfId="3" xr:uid="{F9103865-4F21-4889-8B72-20BE8654C338}"/>
    <cellStyle name="Hyperlink 2 2 2" xfId="12" xr:uid="{5BCD4CE7-6B2C-456F-8FB9-324AD7E49CAD}"/>
    <cellStyle name="Hyperlink 3" xfId="13" xr:uid="{94940656-2676-4A09-B05D-BC18288B254C}"/>
    <cellStyle name="Normal" xfId="0" builtinId="0"/>
    <cellStyle name="Normal 18" xfId="30" xr:uid="{E7EAE102-3B70-42A2-97BE-6613C6991711}"/>
    <cellStyle name="Normal 2" xfId="1" xr:uid="{190F2216-BF41-4842-8670-90BCBED25C1F}"/>
    <cellStyle name="Normal 2 2" xfId="8" xr:uid="{BBA1F6BA-F8D2-45BD-89F2-5F79E7C1C329}"/>
    <cellStyle name="Normal 2 2 2" xfId="26" xr:uid="{AD51099B-D49D-45FE-80D3-1F4120CAB713}"/>
    <cellStyle name="Normal 2 2 3" xfId="31" xr:uid="{685F2931-69F1-4742-862E-8D36BACD9F1A}"/>
    <cellStyle name="Normal 2 2 9 2" xfId="37" xr:uid="{1D997E3D-2769-4905-B0EB-950CAA58DB0A}"/>
    <cellStyle name="Normal 2 3" xfId="40" xr:uid="{1A02E014-9D0A-45BD-84AD-CEF3659D5A24}"/>
    <cellStyle name="Normal 2 5" xfId="27" xr:uid="{BA56A082-19D7-4317-9FF5-DEC1FFBEF23C}"/>
    <cellStyle name="Normal 2 6" xfId="9" xr:uid="{A9C605D1-161F-4025-811E-28DABC062934}"/>
    <cellStyle name="Normal 20" xfId="21" xr:uid="{648D11FF-279B-4F0E-B09D-8C1EC6061892}"/>
    <cellStyle name="Normal 3" xfId="10" xr:uid="{C48EB3F3-1975-4918-BAB7-BE900719A5F7}"/>
    <cellStyle name="Normal 33" xfId="5" xr:uid="{5CD1E707-8667-45EC-ABF6-B60F6E9E59D3}"/>
    <cellStyle name="Normal 4" xfId="39" xr:uid="{6FD259F4-48D1-4A86-985F-41950DBD9149}"/>
    <cellStyle name="Normal 4 2 2" xfId="4" xr:uid="{919221B1-42A4-4700-9239-2DAFE893779F}"/>
    <cellStyle name="Normal 5" xfId="36" xr:uid="{7566378D-1084-4857-A4BB-1DAAB3764B14}"/>
    <cellStyle name="Normal 5 8 2" xfId="38" xr:uid="{AEB2F650-B345-44F9-857E-1FF7EFC5D55E}"/>
    <cellStyle name="Normal 6" xfId="11" xr:uid="{D03254E9-8E42-4BF4-8A58-7DE6DA4A8303}"/>
    <cellStyle name="Normal 8" xfId="6" xr:uid="{90F0E83A-EA1A-48E1-A5EE-D67EB082C60D}"/>
    <cellStyle name="Normal 8 2" xfId="23" xr:uid="{A358C3D2-DBD8-459F-9B06-BAA976C32485}"/>
    <cellStyle name="Normal 8 7" xfId="25" xr:uid="{76B13E51-C838-4F8D-AADA-E10D7E632F63}"/>
    <cellStyle name="Percent 2" xfId="15" xr:uid="{8FA158A0-20DC-4018-9CF3-EDDF9FADF72C}"/>
    <cellStyle name="Percent 2 2" xfId="28" xr:uid="{0AA4CE3F-8960-4102-9CAE-7448A8126969}"/>
    <cellStyle name="Percent 3" xfId="34" xr:uid="{8AB380C1-64CC-421C-8275-BF15C8D4F870}"/>
    <cellStyle name="Percent 4" xfId="35" xr:uid="{FBC58B8C-7B58-4A54-9EE4-7950F3EA222E}"/>
    <cellStyle name="Percent 8" xfId="33" xr:uid="{304ED844-55A0-412B-ADC5-6D43390D8D63}"/>
  </cellStyles>
  <dxfs count="22">
    <dxf>
      <numFmt numFmtId="0" formatCode="General"/>
    </dxf>
    <dxf>
      <numFmt numFmtId="2" formatCode="0.00"/>
    </dxf>
    <dxf>
      <numFmt numFmtId="165" formatCode="0.0"/>
    </dxf>
    <dxf>
      <numFmt numFmtId="165" formatCode="0.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165" formatCode="0.0"/>
    </dxf>
    <dxf>
      <numFmt numFmtId="2" formatCode="0.00"/>
    </dxf>
    <dxf>
      <numFmt numFmtId="165" formatCode="0.0"/>
    </dxf>
    <dxf>
      <numFmt numFmtId="165" formatCode="0.0"/>
    </dxf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numFmt numFmtId="2" formatCode="0.00"/>
    </dxf>
    <dxf>
      <numFmt numFmtId="165" formatCode="0.0"/>
    </dxf>
    <dxf>
      <numFmt numFmtId="165" formatCode="0.0"/>
    </dxf>
    <dxf>
      <numFmt numFmtId="165" formatCode="0.0"/>
    </dxf>
    <dxf>
      <numFmt numFmtId="165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2A1D17-871E-4E66-A144-F2ADD46C5E00}" name="Table2" displayName="Table2" ref="A1:G42" totalsRowShown="0">
  <autoFilter ref="A1:G42" xr:uid="{D12A1D17-871E-4E66-A144-F2ADD46C5E00}"/>
  <sortState xmlns:xlrd2="http://schemas.microsoft.com/office/spreadsheetml/2017/richdata2" ref="A2:C40">
    <sortCondition ref="B1:B40"/>
  </sortState>
  <tableColumns count="7">
    <tableColumn id="1" xr3:uid="{D3465064-BCEE-4D04-A8E6-DEAE11BBDA92}" name="Country"/>
    <tableColumn id="2" xr3:uid="{D66D54B4-4DED-47C6-BE50-755A236428ED}" name="Long_name"/>
    <tableColumn id="3" xr3:uid="{DB34E8EE-2DCE-45DC-955E-A0569FED64E5}" name="Mrd m3 [2020]" dataDxfId="21"/>
    <tableColumn id="5" xr3:uid="{4278F9D8-E46F-44B9-A622-727B8E2C8EF1}" name="Mil m3 EU [2020]" dataDxfId="20"/>
    <tableColumn id="6" xr3:uid="{F2BDB73C-713D-4BC7-B762-048AA072F297}" name="Mrd m3 EU [2020]" dataDxfId="19">
      <calculatedColumnFormula>Table2[[#This Row],[Mil m3 EU '[2020']]]/1000</calculatedColumnFormula>
    </tableColumn>
    <tableColumn id="7" xr3:uid="{337F5DC2-FD6B-445B-A2F7-5464B34B589E}" name="GWh [2020]" dataDxfId="18">
      <calculatedColumnFormula>Table2[[#This Row],[TWh '[2020']2]]*1000</calculatedColumnFormula>
    </tableColumn>
    <tableColumn id="4" xr3:uid="{5BB2DA97-8C23-44BC-9268-BDBE2BCDBBC8}" name="TWh [2020]2" dataDxfId="17">
      <calculatedColumnFormula>IF(Table2[[#This Row],[Mil m3 EU '[2020']]]&gt;0,Table2[[#This Row],[Mrd m3 EU '[2020']]],Table2[[#This Row],[Mrd m3 '[2020']]])*9.77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6071428-9756-478B-B239-1474A97B9EF4}" name="Table7" displayName="Table7" ref="A1:G17" totalsRowShown="0" headerRowDxfId="16" headerRowBorderDxfId="15" tableBorderDxfId="14">
  <autoFilter ref="A1:G17" xr:uid="{E6071428-9756-478B-B239-1474A97B9EF4}"/>
  <tableColumns count="7">
    <tableColumn id="1" xr3:uid="{3F684FB4-9656-4C92-BAF4-456019B2B924}" name="Country"/>
    <tableColumn id="2" xr3:uid="{082B059D-405D-407D-8F97-297DCD23D3B2}" name="Long_name"/>
    <tableColumn id="3" xr3:uid="{388F462C-127F-4CB7-B46A-1DD19D06D0E8}" name="Mrd m3 [2020]"/>
    <tableColumn id="4" xr3:uid="{ACDF4345-6201-4524-A8D7-A0CE31D137A6}" name="Mil m3 [2020]"/>
    <tableColumn id="5" xr3:uid="{7B596C1D-5C84-4EE8-9BEB-2A91E37A640C}" name="Mrd m3 [2020]2" dataDxfId="13">
      <calculatedColumnFormula>Table7[[#This Row],[Mil m3 '[2020']]]/1000</calculatedColumnFormula>
    </tableColumn>
    <tableColumn id="7" xr3:uid="{4A1E0E2A-2ECC-45EB-9D63-EC01B197BAA8}" name="GWh [2020]" dataDxfId="12">
      <calculatedColumnFormula>Table7[[#This Row],[TWh '[2020']2]]*1000</calculatedColumnFormula>
    </tableColumn>
    <tableColumn id="6" xr3:uid="{ECFA587C-DE79-4510-9945-328AB8DBC35F}" name="TWh [2020]2" dataDxfId="11">
      <calculatedColumnFormula>IF(Table7[[#This Row],[Mil m3 '[2020']]]&gt;0,Table7[[#This Row],[Mrd m3 '[2020']2]],Table7[[#This Row],[Mrd m3 '[2020']]])*9.77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3A1919-17A7-42D3-8518-97DC2C923D0A}" name="Table1" displayName="Table1" ref="A1:G42" totalsRowShown="0">
  <autoFilter ref="A1:G42" xr:uid="{B73A1919-17A7-42D3-8518-97DC2C923D0A}"/>
  <sortState xmlns:xlrd2="http://schemas.microsoft.com/office/spreadsheetml/2017/richdata2" ref="A2:E41">
    <sortCondition ref="B1:B41"/>
  </sortState>
  <tableColumns count="7">
    <tableColumn id="1" xr3:uid="{2E667126-F0AE-4045-8045-2063C112853F}" name="Country"/>
    <tableColumn id="2" xr3:uid="{536DA57B-A186-41E1-8967-E3467594200F}" name="Long_name"/>
    <tableColumn id="3" xr3:uid="{DEF527B1-DA00-467C-9DB5-2DC94D9B506B}" name="Mrd m3 [2020]" dataDxfId="10"/>
    <tableColumn id="4" xr3:uid="{1618AAC4-0782-47C3-91CE-2FEB95FBDD58}" name="TWh [2020]" dataDxfId="9">
      <calculatedColumnFormula>Table1[[#This Row],[Mrd m3 '[2020']]]*9.77*-1</calculatedColumnFormula>
    </tableColumn>
    <tableColumn id="5" xr3:uid="{0221D38A-A241-4AD5-A477-B5DD5AC2F6CF}" name="Population 2020 [Tsd]"/>
    <tableColumn id="6" xr3:uid="{3EB83E78-D0C6-4E28-AD34-69D840CBB511}" name="TWh by share" dataDxfId="8">
      <calculatedColumnFormula>IF(Table1[[#This Row],[TWh '[2020']]]=0,$D$27*(E2/$E$27),0)</calculatedColumnFormula>
    </tableColumn>
    <tableColumn id="7" xr3:uid="{53C148C2-CAF7-47BC-9950-964805B82325}" name="GWh [2020]" dataDxfId="7">
      <calculatedColumnFormula>MIN(Table1[[#This Row],[TWh '[2020']]],Table1[[#This Row],[TWh by share]])*1000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2521D055-B007-41DB-BE6E-1CB7426AD04E}" name="Table7910" displayName="Table7910" ref="A1:G22" totalsRowShown="0" headerRowDxfId="6" headerRowBorderDxfId="5" tableBorderDxfId="4">
  <autoFilter ref="A1:G22" xr:uid="{2521D055-B007-41DB-BE6E-1CB7426AD04E}"/>
  <tableColumns count="7">
    <tableColumn id="1" xr3:uid="{555371BF-8030-4257-9852-212E94829B9B}" name="Country"/>
    <tableColumn id="2" xr3:uid="{7A6B9E51-21D4-42B2-AFBA-7B60A87AD8C0}" name="Long_name"/>
    <tableColumn id="3" xr3:uid="{236E80DE-4D1E-44E6-BEEB-14AFF8D0DDB8}" name="Mrd m3 [2020]"/>
    <tableColumn id="4" xr3:uid="{E205F142-327E-4DD1-B26C-F606AE947DFF}" name="Mil m3 [2020]"/>
    <tableColumn id="5" xr3:uid="{75FBA110-8C6B-463E-9AAF-A26754EAB077}" name="Mrd m3 [2020]2" dataDxfId="3">
      <calculatedColumnFormula>Table7910[[#This Row],[Mil m3 '[2020']]]/1000</calculatedColumnFormula>
    </tableColumn>
    <tableColumn id="7" xr3:uid="{95C698CF-3EBE-40E8-840D-A6C3E41CFB2C}" name="GWh [2020]" dataDxfId="2">
      <calculatedColumnFormula>Table7910[[#This Row],[TWh '[2020']]]*1000</calculatedColumnFormula>
    </tableColumn>
    <tableColumn id="6" xr3:uid="{44160680-3C35-4A7A-9677-B7F78304684A}" name="TWh [2020]" dataDxfId="1">
      <calculatedColumnFormula>IF(Table7910[[#This Row],[Mil m3 '[2020']]]&gt;0,Table7910[[#This Row],[Mrd m3 '[2020']2]],Table7910[[#This Row],[Mrd m3 '[2020']]])*9.77*(-1)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12C0BEF-3C88-4803-B1D2-BF2F4DD3F518}" name="Table3" displayName="Table3" ref="A1:H109" totalsRowShown="0">
  <autoFilter ref="A1:H109" xr:uid="{E12C0BEF-3C88-4803-B1D2-BF2F4DD3F518}"/>
  <sortState xmlns:xlrd2="http://schemas.microsoft.com/office/spreadsheetml/2017/richdata2" ref="A2:H109">
    <sortCondition ref="A1:A109"/>
  </sortState>
  <tableColumns count="8">
    <tableColumn id="1" xr3:uid="{219AA680-07D9-48B0-B14B-30DEB35BCA8F}" name="From"/>
    <tableColumn id="2" xr3:uid="{E784BABD-0C8D-432D-BD44-A8B352E95ABA}" name="To"/>
    <tableColumn id="3" xr3:uid="{E3A34820-3FE9-4103-AD3C-3049C2E0EF69}" name="GWh/d [capacity map]"/>
    <tableColumn id="6" xr3:uid="{A0FB7BA7-3F41-4BBA-8A14-1E94492463BD}" name="GWh/d [gasdashboard]"/>
    <tableColumn id="7" xr3:uid="{397AB07D-FFB8-4071-9AA1-95B47650C2EE}" name="GWh/d [transparency map]"/>
    <tableColumn id="4" xr3:uid="{3AEF69B4-7F8D-4A8D-9ECC-304CF79E8972}" name="GWh/a" dataDxfId="0">
      <calculatedColumnFormula>MIN(Table3[[#This Row],[GWh/d '[capacity map']]:[GWh/d '[transparency map']]])*365</calculatedColumnFormula>
    </tableColumn>
    <tableColumn id="5" xr3:uid="{C0891C32-33A4-460A-9650-5007708D8C42}" name="TWh/a">
      <calculatedColumnFormula>F2/1000</calculatedColumnFormula>
    </tableColumn>
    <tableColumn id="8" xr3:uid="{E4B126C2-804B-4928-BF8B-8FE6229310A1}" name="Com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4"/>
  <sheetViews>
    <sheetView workbookViewId="0">
      <selection activeCell="J25" sqref="J25"/>
    </sheetView>
  </sheetViews>
  <sheetFormatPr defaultRowHeight="14.4"/>
  <sheetData>
    <row r="1" spans="1:15">
      <c r="A1" t="s">
        <v>12</v>
      </c>
      <c r="B1" t="s">
        <v>93</v>
      </c>
      <c r="C1" t="s">
        <v>15</v>
      </c>
      <c r="D1" t="s">
        <v>90</v>
      </c>
      <c r="E1" t="s">
        <v>13</v>
      </c>
      <c r="F1" t="s">
        <v>14</v>
      </c>
      <c r="G1" t="s">
        <v>98</v>
      </c>
      <c r="H1" t="s">
        <v>101</v>
      </c>
      <c r="I1" t="s">
        <v>99</v>
      </c>
      <c r="N1" t="s">
        <v>92</v>
      </c>
      <c r="O1" t="s">
        <v>93</v>
      </c>
    </row>
    <row r="2" spans="1:15">
      <c r="A2" t="s">
        <v>0</v>
      </c>
      <c r="B2" t="s">
        <v>17</v>
      </c>
      <c r="C2">
        <v>11.4</v>
      </c>
      <c r="D2">
        <v>5.0999999999999996</v>
      </c>
      <c r="E2" s="1">
        <f>D2/C2</f>
        <v>0.44736842105263153</v>
      </c>
      <c r="F2">
        <v>9</v>
      </c>
      <c r="G2">
        <f>IF(C2&gt;F2,F2,C2)</f>
        <v>9</v>
      </c>
      <c r="H2">
        <f>I2*1000</f>
        <v>87929.999999999985</v>
      </c>
      <c r="I2">
        <f>G2*9.77</f>
        <v>87.929999999999993</v>
      </c>
      <c r="K2" t="s">
        <v>17</v>
      </c>
      <c r="L2" t="s">
        <v>96</v>
      </c>
      <c r="N2" t="str">
        <f>_xlfn.CONCAT(K2,L2)</f>
        <v>BE_LNG</v>
      </c>
      <c r="O2" t="str">
        <f>K2</f>
        <v>BE</v>
      </c>
    </row>
    <row r="3" spans="1:15">
      <c r="A3" t="s">
        <v>2</v>
      </c>
      <c r="B3" t="s">
        <v>25</v>
      </c>
      <c r="C3">
        <v>33</v>
      </c>
      <c r="D3">
        <v>19.600000000000001</v>
      </c>
      <c r="E3" s="1">
        <f t="shared" ref="E3:E14" si="0">D3/C3</f>
        <v>0.59393939393939399</v>
      </c>
      <c r="F3">
        <v>33</v>
      </c>
      <c r="G3">
        <f t="shared" ref="G3:G14" si="1">IF(C3&gt;F3,F3,C3)</f>
        <v>33</v>
      </c>
      <c r="H3">
        <f t="shared" ref="H3:H14" si="2">I3*1000</f>
        <v>322409.99999999994</v>
      </c>
      <c r="I3">
        <f t="shared" ref="I3:I14" si="3">G3*9.77</f>
        <v>322.40999999999997</v>
      </c>
      <c r="K3" t="s">
        <v>25</v>
      </c>
      <c r="L3" t="s">
        <v>96</v>
      </c>
      <c r="N3" t="str">
        <f t="shared" ref="N3:N13" si="4">_xlfn.CONCAT(K3,L3)</f>
        <v>FR_LNG</v>
      </c>
      <c r="O3" t="str">
        <f t="shared" ref="O3:O13" si="5">K3</f>
        <v>FR</v>
      </c>
    </row>
    <row r="4" spans="1:15">
      <c r="A4" t="s">
        <v>3</v>
      </c>
      <c r="B4" t="s">
        <v>165</v>
      </c>
      <c r="C4">
        <v>7</v>
      </c>
      <c r="D4">
        <v>2.5</v>
      </c>
      <c r="E4" s="1">
        <f t="shared" si="0"/>
        <v>0.35714285714285715</v>
      </c>
      <c r="F4">
        <v>7.5</v>
      </c>
      <c r="G4">
        <f t="shared" si="1"/>
        <v>7</v>
      </c>
      <c r="H4">
        <f t="shared" si="2"/>
        <v>68390</v>
      </c>
      <c r="I4">
        <f t="shared" si="3"/>
        <v>68.39</v>
      </c>
      <c r="K4" t="s">
        <v>165</v>
      </c>
      <c r="L4" t="s">
        <v>96</v>
      </c>
      <c r="N4" t="str">
        <f t="shared" si="4"/>
        <v>EL_LNG</v>
      </c>
      <c r="O4" t="str">
        <f t="shared" si="5"/>
        <v>EL</v>
      </c>
    </row>
    <row r="5" spans="1:15">
      <c r="A5" t="s">
        <v>4</v>
      </c>
      <c r="B5" t="s">
        <v>21</v>
      </c>
      <c r="C5">
        <v>15.95</v>
      </c>
      <c r="D5">
        <v>12.1</v>
      </c>
      <c r="E5" s="1">
        <f t="shared" si="0"/>
        <v>0.75862068965517238</v>
      </c>
      <c r="F5">
        <v>15.8</v>
      </c>
      <c r="G5">
        <f t="shared" si="1"/>
        <v>15.8</v>
      </c>
      <c r="H5">
        <f t="shared" si="2"/>
        <v>154366</v>
      </c>
      <c r="I5">
        <f t="shared" si="3"/>
        <v>154.36600000000001</v>
      </c>
      <c r="K5" t="s">
        <v>21</v>
      </c>
      <c r="L5" t="s">
        <v>96</v>
      </c>
      <c r="N5" t="str">
        <f t="shared" si="4"/>
        <v>IT_LNG</v>
      </c>
      <c r="O5" t="str">
        <f t="shared" si="5"/>
        <v>IT</v>
      </c>
    </row>
    <row r="6" spans="1:15">
      <c r="A6" t="s">
        <v>5</v>
      </c>
      <c r="B6" t="s">
        <v>24</v>
      </c>
      <c r="C6">
        <v>2.6</v>
      </c>
      <c r="D6">
        <v>0.4</v>
      </c>
      <c r="E6" s="1">
        <f t="shared" si="0"/>
        <v>0.15384615384615385</v>
      </c>
      <c r="F6">
        <v>2.6</v>
      </c>
      <c r="G6">
        <f t="shared" si="1"/>
        <v>2.6</v>
      </c>
      <c r="H6">
        <f t="shared" si="2"/>
        <v>25402</v>
      </c>
      <c r="I6">
        <f t="shared" si="3"/>
        <v>25.402000000000001</v>
      </c>
      <c r="K6" t="s">
        <v>24</v>
      </c>
      <c r="L6" t="s">
        <v>96</v>
      </c>
      <c r="N6" t="str">
        <f t="shared" si="4"/>
        <v>HR_LNG</v>
      </c>
      <c r="O6" t="str">
        <f t="shared" si="5"/>
        <v>HR</v>
      </c>
    </row>
    <row r="7" spans="1:15">
      <c r="A7" t="s">
        <v>6</v>
      </c>
      <c r="B7" t="s">
        <v>34</v>
      </c>
      <c r="C7">
        <v>4</v>
      </c>
      <c r="D7">
        <v>1.6</v>
      </c>
      <c r="E7" s="1">
        <f t="shared" si="0"/>
        <v>0.4</v>
      </c>
      <c r="F7">
        <v>4</v>
      </c>
      <c r="G7">
        <f t="shared" si="1"/>
        <v>4</v>
      </c>
      <c r="H7">
        <f t="shared" si="2"/>
        <v>39080</v>
      </c>
      <c r="I7">
        <f t="shared" si="3"/>
        <v>39.08</v>
      </c>
      <c r="K7" t="s">
        <v>34</v>
      </c>
      <c r="L7" t="s">
        <v>96</v>
      </c>
      <c r="N7" t="str">
        <f t="shared" si="4"/>
        <v>LT_LNG</v>
      </c>
      <c r="O7" t="str">
        <f t="shared" si="5"/>
        <v>LT</v>
      </c>
    </row>
    <row r="8" spans="1:15">
      <c r="A8" t="s">
        <v>7</v>
      </c>
      <c r="B8" t="s">
        <v>18</v>
      </c>
      <c r="C8">
        <v>12</v>
      </c>
      <c r="D8">
        <v>8.1999999999999993</v>
      </c>
      <c r="E8" s="1">
        <f t="shared" si="0"/>
        <v>0.68333333333333324</v>
      </c>
      <c r="F8">
        <v>12.5</v>
      </c>
      <c r="G8">
        <f t="shared" si="1"/>
        <v>12</v>
      </c>
      <c r="H8">
        <f t="shared" si="2"/>
        <v>117240</v>
      </c>
      <c r="I8">
        <f t="shared" si="3"/>
        <v>117.24</v>
      </c>
      <c r="K8" t="s">
        <v>18</v>
      </c>
      <c r="L8" t="s">
        <v>96</v>
      </c>
      <c r="N8" t="str">
        <f t="shared" si="4"/>
        <v>NL_LNG</v>
      </c>
      <c r="O8" t="str">
        <f t="shared" si="5"/>
        <v>NL</v>
      </c>
    </row>
    <row r="9" spans="1:15">
      <c r="A9" t="s">
        <v>8</v>
      </c>
      <c r="B9" t="s">
        <v>27</v>
      </c>
      <c r="C9">
        <v>6.2</v>
      </c>
      <c r="D9">
        <v>4.0999999999999996</v>
      </c>
      <c r="E9" s="1">
        <f t="shared" si="0"/>
        <v>0.66129032258064513</v>
      </c>
      <c r="F9">
        <v>5.8</v>
      </c>
      <c r="G9">
        <f t="shared" si="1"/>
        <v>5.8</v>
      </c>
      <c r="H9">
        <f t="shared" si="2"/>
        <v>56666</v>
      </c>
      <c r="I9">
        <f t="shared" si="3"/>
        <v>56.665999999999997</v>
      </c>
      <c r="K9" t="s">
        <v>27</v>
      </c>
      <c r="L9" t="s">
        <v>96</v>
      </c>
      <c r="N9" t="str">
        <f t="shared" si="4"/>
        <v>PL_LNG</v>
      </c>
      <c r="O9" t="str">
        <f t="shared" si="5"/>
        <v>PL</v>
      </c>
    </row>
    <row r="10" spans="1:15">
      <c r="A10" t="s">
        <v>1</v>
      </c>
      <c r="B10" t="s">
        <v>37</v>
      </c>
      <c r="C10">
        <v>7.6</v>
      </c>
      <c r="D10">
        <v>6.1</v>
      </c>
      <c r="E10" s="1">
        <f t="shared" si="0"/>
        <v>0.80263157894736836</v>
      </c>
      <c r="F10">
        <v>7.3</v>
      </c>
      <c r="G10">
        <f t="shared" si="1"/>
        <v>7.3</v>
      </c>
      <c r="H10">
        <f t="shared" si="2"/>
        <v>71321</v>
      </c>
      <c r="I10">
        <f t="shared" si="3"/>
        <v>71.320999999999998</v>
      </c>
      <c r="K10" t="s">
        <v>37</v>
      </c>
      <c r="L10" t="s">
        <v>96</v>
      </c>
      <c r="N10" t="str">
        <f t="shared" si="4"/>
        <v>PT_LNG</v>
      </c>
      <c r="O10" t="str">
        <f t="shared" si="5"/>
        <v>PT</v>
      </c>
    </row>
    <row r="11" spans="1:15">
      <c r="A11" t="s">
        <v>9</v>
      </c>
      <c r="B11" t="s">
        <v>36</v>
      </c>
      <c r="C11">
        <v>60.1</v>
      </c>
      <c r="D11">
        <v>20.9</v>
      </c>
      <c r="E11" s="1">
        <f t="shared" si="0"/>
        <v>0.3477537437603993</v>
      </c>
      <c r="F11">
        <v>67.099999999999994</v>
      </c>
      <c r="G11">
        <f t="shared" si="1"/>
        <v>60.1</v>
      </c>
      <c r="H11">
        <f t="shared" si="2"/>
        <v>587177</v>
      </c>
      <c r="I11">
        <f t="shared" si="3"/>
        <v>587.17700000000002</v>
      </c>
      <c r="K11" t="s">
        <v>36</v>
      </c>
      <c r="L11" t="s">
        <v>96</v>
      </c>
      <c r="N11" t="str">
        <f t="shared" si="4"/>
        <v>ES_LNG</v>
      </c>
      <c r="O11" t="str">
        <f t="shared" si="5"/>
        <v>ES</v>
      </c>
    </row>
    <row r="12" spans="1:15">
      <c r="A12" t="s">
        <v>10</v>
      </c>
      <c r="B12" t="s">
        <v>46</v>
      </c>
      <c r="C12">
        <v>43.6</v>
      </c>
      <c r="D12">
        <v>14.8</v>
      </c>
      <c r="E12" s="1">
        <f t="shared" si="0"/>
        <v>0.33944954128440369</v>
      </c>
      <c r="F12">
        <v>43.6</v>
      </c>
      <c r="G12">
        <f>IF(C12&gt;F12,F12,C12)</f>
        <v>43.6</v>
      </c>
      <c r="H12">
        <f t="shared" si="2"/>
        <v>425972</v>
      </c>
      <c r="I12">
        <f t="shared" si="3"/>
        <v>425.97199999999998</v>
      </c>
      <c r="K12" t="s">
        <v>46</v>
      </c>
      <c r="L12" t="s">
        <v>96</v>
      </c>
      <c r="N12" t="str">
        <f t="shared" si="4"/>
        <v>TR_LNG</v>
      </c>
      <c r="O12" t="str">
        <f t="shared" si="5"/>
        <v>TR</v>
      </c>
    </row>
    <row r="13" spans="1:15">
      <c r="A13" t="s">
        <v>11</v>
      </c>
      <c r="B13" t="s">
        <v>11</v>
      </c>
      <c r="C13">
        <v>48.1</v>
      </c>
      <c r="D13">
        <v>18.600000000000001</v>
      </c>
      <c r="E13" s="1">
        <f t="shared" si="0"/>
        <v>0.38669438669438672</v>
      </c>
      <c r="F13">
        <v>52.3</v>
      </c>
      <c r="G13">
        <f t="shared" si="1"/>
        <v>48.1</v>
      </c>
      <c r="H13">
        <f t="shared" si="2"/>
        <v>469937</v>
      </c>
      <c r="I13">
        <f t="shared" si="3"/>
        <v>469.93700000000001</v>
      </c>
      <c r="K13" t="s">
        <v>11</v>
      </c>
      <c r="L13" t="s">
        <v>96</v>
      </c>
      <c r="N13" t="str">
        <f t="shared" si="4"/>
        <v>UK_LNG</v>
      </c>
      <c r="O13" t="str">
        <f t="shared" si="5"/>
        <v>UK</v>
      </c>
    </row>
    <row r="14" spans="1:15">
      <c r="A14" t="s">
        <v>91</v>
      </c>
      <c r="B14" t="s">
        <v>95</v>
      </c>
      <c r="C14">
        <v>0.7</v>
      </c>
      <c r="E14" s="1">
        <f t="shared" si="0"/>
        <v>0</v>
      </c>
      <c r="F14">
        <v>0.7</v>
      </c>
      <c r="G14">
        <f t="shared" si="1"/>
        <v>0.7</v>
      </c>
      <c r="H14">
        <f t="shared" si="2"/>
        <v>6838.9999999999991</v>
      </c>
      <c r="I14">
        <f t="shared" si="3"/>
        <v>6.8389999999999995</v>
      </c>
      <c r="K14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F82F4-4954-4D06-9A30-AE8575CA18DE}">
  <dimension ref="A1:N49"/>
  <sheetViews>
    <sheetView tabSelected="1" topLeftCell="A28" workbookViewId="0">
      <selection activeCell="D55" sqref="D55"/>
    </sheetView>
  </sheetViews>
  <sheetFormatPr defaultRowHeight="14.4"/>
  <cols>
    <col min="1" max="1" width="9.5546875" customWidth="1"/>
    <col min="2" max="2" width="19.21875" customWidth="1"/>
    <col min="3" max="3" width="15" customWidth="1"/>
    <col min="4" max="4" width="17.109375" customWidth="1"/>
    <col min="5" max="6" width="17.77734375" customWidth="1"/>
    <col min="7" max="8" width="15" customWidth="1"/>
  </cols>
  <sheetData>
    <row r="1" spans="1:14">
      <c r="A1" t="s">
        <v>16</v>
      </c>
      <c r="B1" t="s">
        <v>55</v>
      </c>
      <c r="C1" t="s">
        <v>84</v>
      </c>
      <c r="D1" t="s">
        <v>115</v>
      </c>
      <c r="E1" t="s">
        <v>117</v>
      </c>
      <c r="F1" t="s">
        <v>167</v>
      </c>
      <c r="G1" t="s">
        <v>166</v>
      </c>
      <c r="M1" t="s">
        <v>92</v>
      </c>
      <c r="N1" t="s">
        <v>93</v>
      </c>
    </row>
    <row r="2" spans="1:14">
      <c r="A2" t="s">
        <v>41</v>
      </c>
      <c r="B2" t="s">
        <v>73</v>
      </c>
      <c r="C2" s="2"/>
      <c r="D2" s="2">
        <v>56.895000000000003</v>
      </c>
      <c r="E2" s="2">
        <f>Table2[[#This Row],[Mil m3 EU '[2020']]]/1000</f>
        <v>5.6895000000000001E-2</v>
      </c>
      <c r="F2" s="2">
        <f>Table2[[#This Row],[TWh '[2020']2]]*1000</f>
        <v>555.86415</v>
      </c>
      <c r="G2" s="3">
        <f>IF(Table2[[#This Row],[Mil m3 EU '[2020']]]&gt;0,Table2[[#This Row],[Mrd m3 EU '[2020']]],Table2[[#This Row],[Mrd m3 '[2020']]])*9.77</f>
        <v>0.55586415</v>
      </c>
      <c r="H2" s="2"/>
      <c r="J2" t="s">
        <v>97</v>
      </c>
      <c r="M2" t="str">
        <f t="shared" ref="M2:M40" si="0">_xlfn.CONCAT(A2,$J$2)</f>
        <v>AL_Prod</v>
      </c>
      <c r="N2" t="str">
        <f>Table2[[#This Row],[Country]]</f>
        <v>AL</v>
      </c>
    </row>
    <row r="3" spans="1:14">
      <c r="A3" t="s">
        <v>49</v>
      </c>
      <c r="B3" t="s">
        <v>78</v>
      </c>
      <c r="C3" s="2">
        <v>81.424612499999995</v>
      </c>
      <c r="D3" s="2"/>
      <c r="E3" s="2">
        <f>Table2[[#This Row],[Mil m3 EU '[2020']]]/1000</f>
        <v>0</v>
      </c>
      <c r="F3" s="2">
        <f>Table2[[#This Row],[TWh '[2020']2]]*1000</f>
        <v>795518.46412499994</v>
      </c>
      <c r="G3" s="3">
        <f>IF(Table2[[#This Row],[Mil m3 EU '[2020']]]&gt;0,Table2[[#This Row],[Mrd m3 EU '[2020']]],Table2[[#This Row],[Mrd m3 '[2020']]])*9.77</f>
        <v>795.51846412499992</v>
      </c>
      <c r="H3" s="2"/>
      <c r="M3" t="str">
        <f t="shared" si="0"/>
        <v>DZ_Prod</v>
      </c>
      <c r="N3" t="str">
        <f>Table2[[#This Row],[Country]]</f>
        <v>DZ</v>
      </c>
    </row>
    <row r="4" spans="1:14">
      <c r="A4" t="s">
        <v>20</v>
      </c>
      <c r="B4" t="s">
        <v>57</v>
      </c>
      <c r="C4" s="2"/>
      <c r="D4" s="2">
        <v>773.976</v>
      </c>
      <c r="E4" s="2">
        <f>Table2[[#This Row],[Mil m3 EU '[2020']]]/1000</f>
        <v>0.773976</v>
      </c>
      <c r="F4" s="2">
        <f>Table2[[#This Row],[TWh '[2020']2]]*1000</f>
        <v>7561.7455199999995</v>
      </c>
      <c r="G4" s="3">
        <f>IF(Table2[[#This Row],[Mil m3 EU '[2020']]]&gt;0,Table2[[#This Row],[Mrd m3 EU '[2020']]],Table2[[#This Row],[Mrd m3 '[2020']]])*9.77</f>
        <v>7.5617455199999997</v>
      </c>
      <c r="H4" s="2"/>
      <c r="M4" t="str">
        <f t="shared" si="0"/>
        <v>AT_Prod</v>
      </c>
      <c r="N4" t="str">
        <f>Table2[[#This Row],[Country]]</f>
        <v>AT</v>
      </c>
    </row>
    <row r="5" spans="1:14">
      <c r="A5" t="s">
        <v>52</v>
      </c>
      <c r="B5" t="s">
        <v>81</v>
      </c>
      <c r="C5" s="2"/>
      <c r="D5" s="2"/>
      <c r="E5" s="2">
        <f>Table2[[#This Row],[Mil m3 EU '[2020']]]/1000</f>
        <v>0</v>
      </c>
      <c r="F5" s="2">
        <f>Table2[[#This Row],[TWh '[2020']2]]*1000</f>
        <v>0</v>
      </c>
      <c r="G5" s="3">
        <f>IF(Table2[[#This Row],[Mil m3 EU '[2020']]]&gt;0,Table2[[#This Row],[Mrd m3 EU '[2020']]],Table2[[#This Row],[Mrd m3 '[2020']]])*9.77</f>
        <v>0</v>
      </c>
      <c r="H5" s="2"/>
      <c r="M5" t="str">
        <f t="shared" si="0"/>
        <v>BY_Prod</v>
      </c>
      <c r="N5" t="str">
        <f>Table2[[#This Row],[Country]]</f>
        <v>BY</v>
      </c>
    </row>
    <row r="6" spans="1:14">
      <c r="A6" t="s">
        <v>17</v>
      </c>
      <c r="B6" t="s">
        <v>0</v>
      </c>
      <c r="C6" s="2"/>
      <c r="D6" s="2">
        <v>5.9</v>
      </c>
      <c r="E6" s="2">
        <f>Table2[[#This Row],[Mil m3 EU '[2020']]]/1000</f>
        <v>5.9000000000000007E-3</v>
      </c>
      <c r="F6" s="2">
        <f>Table2[[#This Row],[TWh '[2020']2]]*1000</f>
        <v>57.643000000000008</v>
      </c>
      <c r="G6" s="3">
        <f>IF(Table2[[#This Row],[Mil m3 EU '[2020']]]&gt;0,Table2[[#This Row],[Mrd m3 EU '[2020']]],Table2[[#This Row],[Mrd m3 '[2020']]])*9.77</f>
        <v>5.7643000000000007E-2</v>
      </c>
      <c r="H6" s="2"/>
      <c r="M6" t="str">
        <f t="shared" si="0"/>
        <v>BE_Prod</v>
      </c>
      <c r="N6" t="str">
        <f>Table2[[#This Row],[Country]]</f>
        <v>BE</v>
      </c>
    </row>
    <row r="7" spans="1:14">
      <c r="A7" t="s">
        <v>44</v>
      </c>
      <c r="B7" t="s">
        <v>75</v>
      </c>
      <c r="C7" s="2"/>
      <c r="D7" s="2"/>
      <c r="E7" s="2">
        <f>Table2[[#This Row],[Mil m3 EU '[2020']]]/1000</f>
        <v>0</v>
      </c>
      <c r="F7" s="2">
        <f>Table2[[#This Row],[TWh '[2020']2]]*1000</f>
        <v>0</v>
      </c>
      <c r="G7" s="3">
        <f>IF(Table2[[#This Row],[Mil m3 EU '[2020']]]&gt;0,Table2[[#This Row],[Mrd m3 EU '[2020']]],Table2[[#This Row],[Mrd m3 '[2020']]])*9.77</f>
        <v>0</v>
      </c>
      <c r="H7" s="2"/>
      <c r="M7" t="str">
        <f t="shared" si="0"/>
        <v>BA_Prod</v>
      </c>
      <c r="N7" t="str">
        <f>Table2[[#This Row],[Country]]</f>
        <v>BA</v>
      </c>
    </row>
    <row r="8" spans="1:14">
      <c r="A8" t="s">
        <v>32</v>
      </c>
      <c r="B8" t="s">
        <v>64</v>
      </c>
      <c r="C8" s="2"/>
      <c r="D8" s="2">
        <v>54.350999999999999</v>
      </c>
      <c r="E8" s="2">
        <f>Table2[[#This Row],[Mil m3 EU '[2020']]]/1000</f>
        <v>5.4350999999999997E-2</v>
      </c>
      <c r="F8" s="2">
        <f>Table2[[#This Row],[TWh '[2020']2]]*1000</f>
        <v>531.00927000000001</v>
      </c>
      <c r="G8" s="3">
        <f>IF(Table2[[#This Row],[Mil m3 EU '[2020']]]&gt;0,Table2[[#This Row],[Mrd m3 EU '[2020']]],Table2[[#This Row],[Mrd m3 '[2020']]])*9.77</f>
        <v>0.53100926999999998</v>
      </c>
      <c r="H8" s="2"/>
      <c r="M8" t="str">
        <f t="shared" si="0"/>
        <v>BG_Prod</v>
      </c>
      <c r="N8" t="str">
        <f>Table2[[#This Row],[Country]]</f>
        <v>BG</v>
      </c>
    </row>
    <row r="9" spans="1:14">
      <c r="A9" t="s">
        <v>24</v>
      </c>
      <c r="B9" t="s">
        <v>5</v>
      </c>
      <c r="C9" s="2"/>
      <c r="D9" s="2">
        <v>888.38499999999999</v>
      </c>
      <c r="E9" s="2">
        <f>Table2[[#This Row],[Mil m3 EU '[2020']]]/1000</f>
        <v>0.88838499999999998</v>
      </c>
      <c r="F9" s="2">
        <f>Table2[[#This Row],[TWh '[2020']2]]*1000</f>
        <v>8679.5214500000002</v>
      </c>
      <c r="G9" s="3">
        <f>IF(Table2[[#This Row],[Mil m3 EU '[2020']]]&gt;0,Table2[[#This Row],[Mrd m3 EU '[2020']]],Table2[[#This Row],[Mrd m3 '[2020']]])*9.77</f>
        <v>8.6795214499999993</v>
      </c>
      <c r="H9" s="2"/>
      <c r="M9" t="str">
        <f t="shared" si="0"/>
        <v>HR_Prod</v>
      </c>
      <c r="N9" t="str">
        <f>Table2[[#This Row],[Country]]</f>
        <v>HR</v>
      </c>
    </row>
    <row r="10" spans="1:14">
      <c r="A10" t="s">
        <v>28</v>
      </c>
      <c r="B10" t="s">
        <v>61</v>
      </c>
      <c r="C10" s="2"/>
      <c r="D10" s="2">
        <v>196.07500000000002</v>
      </c>
      <c r="E10" s="2">
        <f>Table2[[#This Row],[Mil m3 EU '[2020']]]/1000</f>
        <v>0.19607500000000003</v>
      </c>
      <c r="F10" s="2">
        <f>Table2[[#This Row],[TWh '[2020']2]]*1000</f>
        <v>1915.6527500000002</v>
      </c>
      <c r="G10" s="3">
        <f>IF(Table2[[#This Row],[Mil m3 EU '[2020']]]&gt;0,Table2[[#This Row],[Mrd m3 EU '[2020']]],Table2[[#This Row],[Mrd m3 '[2020']]])*9.77</f>
        <v>1.9156527500000002</v>
      </c>
      <c r="H10" s="2"/>
      <c r="M10" t="str">
        <f t="shared" si="0"/>
        <v>CZ_Prod</v>
      </c>
      <c r="N10" t="str">
        <f>Table2[[#This Row],[Country]]</f>
        <v>CZ</v>
      </c>
    </row>
    <row r="11" spans="1:14">
      <c r="A11" t="s">
        <v>26</v>
      </c>
      <c r="B11" t="s">
        <v>60</v>
      </c>
      <c r="C11" s="2">
        <v>1.3796929768583337</v>
      </c>
      <c r="D11" s="2">
        <v>1427.5409999999997</v>
      </c>
      <c r="E11" s="2">
        <f>Table2[[#This Row],[Mil m3 EU '[2020']]]/1000</f>
        <v>1.4275409999999997</v>
      </c>
      <c r="F11" s="2">
        <f>Table2[[#This Row],[TWh '[2020']2]]*1000</f>
        <v>13947.075569999997</v>
      </c>
      <c r="G11" s="3">
        <f>IF(Table2[[#This Row],[Mil m3 EU '[2020']]]&gt;0,Table2[[#This Row],[Mrd m3 EU '[2020']]],Table2[[#This Row],[Mrd m3 '[2020']]])*9.77</f>
        <v>13.947075569999997</v>
      </c>
      <c r="H11" s="2"/>
      <c r="M11" t="str">
        <f t="shared" si="0"/>
        <v>DK_Prod</v>
      </c>
      <c r="N11" t="str">
        <f>Table2[[#This Row],[Country]]</f>
        <v>DK</v>
      </c>
    </row>
    <row r="12" spans="1:14">
      <c r="A12" t="s">
        <v>53</v>
      </c>
      <c r="B12" t="s">
        <v>66</v>
      </c>
      <c r="C12" s="2"/>
      <c r="D12" s="2">
        <v>0</v>
      </c>
      <c r="E12" s="2">
        <f>Table2[[#This Row],[Mil m3 EU '[2020']]]/1000</f>
        <v>0</v>
      </c>
      <c r="F12" s="2">
        <f>Table2[[#This Row],[TWh '[2020']2]]*1000</f>
        <v>0</v>
      </c>
      <c r="G12" s="3">
        <f>IF(Table2[[#This Row],[Mil m3 EU '[2020']]]&gt;0,Table2[[#This Row],[Mrd m3 EU '[2020']]],Table2[[#This Row],[Mrd m3 '[2020']]])*9.77</f>
        <v>0</v>
      </c>
      <c r="H12" s="2"/>
      <c r="M12" t="str">
        <f t="shared" si="0"/>
        <v>EE_Prod</v>
      </c>
      <c r="N12" t="str">
        <f>Table2[[#This Row],[Country]]</f>
        <v>EE</v>
      </c>
    </row>
    <row r="13" spans="1:14">
      <c r="A13" t="s">
        <v>54</v>
      </c>
      <c r="B13" t="s">
        <v>85</v>
      </c>
      <c r="C13" s="2"/>
      <c r="D13" s="2"/>
      <c r="E13" s="2">
        <f>Table2[[#This Row],[Mil m3 EU '[2020']]]/1000</f>
        <v>0</v>
      </c>
      <c r="F13" s="2">
        <f>Table2[[#This Row],[TWh '[2020']2]]*1000</f>
        <v>0</v>
      </c>
      <c r="G13" s="3">
        <f>IF(Table2[[#This Row],[Mil m3 EU '[2020']]]&gt;0,Table2[[#This Row],[Mrd m3 EU '[2020']]],Table2[[#This Row],[Mrd m3 '[2020']]])*9.77</f>
        <v>0</v>
      </c>
      <c r="H13" s="2"/>
      <c r="M13" t="str">
        <f t="shared" si="0"/>
        <v>FI_Prod</v>
      </c>
      <c r="N13" t="str">
        <f>Table2[[#This Row],[Country]]</f>
        <v>FI</v>
      </c>
    </row>
    <row r="14" spans="1:14">
      <c r="A14" t="s">
        <v>25</v>
      </c>
      <c r="B14" t="s">
        <v>2</v>
      </c>
      <c r="C14" s="2"/>
      <c r="D14" s="2">
        <v>17.349000000000004</v>
      </c>
      <c r="E14" s="2">
        <f>Table2[[#This Row],[Mil m3 EU '[2020']]]/1000</f>
        <v>1.7349000000000003E-2</v>
      </c>
      <c r="F14" s="2">
        <f>Table2[[#This Row],[TWh '[2020']2]]*1000</f>
        <v>169.49973000000003</v>
      </c>
      <c r="G14" s="3">
        <f>IF(Table2[[#This Row],[Mil m3 EU '[2020']]]&gt;0,Table2[[#This Row],[Mrd m3 EU '[2020']]],Table2[[#This Row],[Mrd m3 '[2020']]])*9.77</f>
        <v>0.16949973000000002</v>
      </c>
      <c r="H14" s="2"/>
      <c r="M14" t="str">
        <f t="shared" si="0"/>
        <v>FR_Prod</v>
      </c>
      <c r="N14" t="str">
        <f>Table2[[#This Row],[Country]]</f>
        <v>FR</v>
      </c>
    </row>
    <row r="15" spans="1:14">
      <c r="A15" t="s">
        <v>19</v>
      </c>
      <c r="B15" t="s">
        <v>56</v>
      </c>
      <c r="C15" s="2">
        <v>4.5324203399999998</v>
      </c>
      <c r="D15" s="2">
        <v>4874</v>
      </c>
      <c r="E15" s="2">
        <f>Table2[[#This Row],[Mil m3 EU '[2020']]]/1000</f>
        <v>4.8739999999999997</v>
      </c>
      <c r="F15" s="2">
        <f>Table2[[#This Row],[TWh '[2020']2]]*1000</f>
        <v>47618.979999999996</v>
      </c>
      <c r="G15" s="3">
        <f>IF(Table2[[#This Row],[Mil m3 EU '[2020']]]&gt;0,Table2[[#This Row],[Mrd m3 EU '[2020']]],Table2[[#This Row],[Mrd m3 '[2020']]])*9.77</f>
        <v>47.618979999999993</v>
      </c>
      <c r="H15" s="2"/>
      <c r="M15" t="str">
        <f t="shared" si="0"/>
        <v>DE_Prod</v>
      </c>
      <c r="N15" t="str">
        <f>Table2[[#This Row],[Country]]</f>
        <v>DE</v>
      </c>
    </row>
    <row r="16" spans="1:14">
      <c r="A16" t="s">
        <v>165</v>
      </c>
      <c r="B16" t="s">
        <v>3</v>
      </c>
      <c r="C16" s="2"/>
      <c r="D16" s="2">
        <v>6.4800000000000022</v>
      </c>
      <c r="E16" s="2">
        <f>Table2[[#This Row],[Mil m3 EU '[2020']]]/1000</f>
        <v>6.4800000000000023E-3</v>
      </c>
      <c r="F16" s="2">
        <f>Table2[[#This Row],[TWh '[2020']2]]*1000</f>
        <v>63.309600000000025</v>
      </c>
      <c r="G16" s="3">
        <f>IF(Table2[[#This Row],[Mil m3 EU '[2020']]]&gt;0,Table2[[#This Row],[Mrd m3 EU '[2020']]],Table2[[#This Row],[Mrd m3 '[2020']]])*9.77</f>
        <v>6.3309600000000021E-2</v>
      </c>
      <c r="H16" s="2"/>
      <c r="M16" t="str">
        <f t="shared" si="0"/>
        <v>EL_Prod</v>
      </c>
      <c r="N16" t="str">
        <f>Table2[[#This Row],[Country]]</f>
        <v>EL</v>
      </c>
    </row>
    <row r="17" spans="1:14">
      <c r="A17" t="s">
        <v>30</v>
      </c>
      <c r="B17" t="s">
        <v>63</v>
      </c>
      <c r="C17" s="2"/>
      <c r="D17" s="2">
        <v>1685</v>
      </c>
      <c r="E17" s="2">
        <f>Table2[[#This Row],[Mil m3 EU '[2020']]]/1000</f>
        <v>1.6850000000000001</v>
      </c>
      <c r="F17" s="2">
        <f>Table2[[#This Row],[TWh '[2020']2]]*1000</f>
        <v>16462.45</v>
      </c>
      <c r="G17" s="3">
        <f>IF(Table2[[#This Row],[Mil m3 EU '[2020']]]&gt;0,Table2[[#This Row],[Mrd m3 EU '[2020']]],Table2[[#This Row],[Mrd m3 '[2020']]])*9.77</f>
        <v>16.46245</v>
      </c>
      <c r="H17" s="2"/>
      <c r="M17" t="str">
        <f t="shared" si="0"/>
        <v>HU_Prod</v>
      </c>
      <c r="N17" t="str">
        <f>Table2[[#This Row],[Country]]</f>
        <v>HU</v>
      </c>
    </row>
    <row r="18" spans="1:14">
      <c r="A18" t="s">
        <v>43</v>
      </c>
      <c r="B18" t="s">
        <v>120</v>
      </c>
      <c r="C18" s="2"/>
      <c r="D18" s="2">
        <v>2029.6509999999998</v>
      </c>
      <c r="E18" s="2">
        <f>Table2[[#This Row],[Mil m3 EU '[2020']]]/1000</f>
        <v>2.0296509999999999</v>
      </c>
      <c r="F18" s="2">
        <f>Table2[[#This Row],[TWh '[2020']2]]*1000</f>
        <v>19829.690269999996</v>
      </c>
      <c r="G18" s="3">
        <f>IF(Table2[[#This Row],[Mil m3 EU '[2020']]]&gt;0,Table2[[#This Row],[Mrd m3 EU '[2020']]],Table2[[#This Row],[Mrd m3 '[2020']]])*9.77</f>
        <v>19.829690269999997</v>
      </c>
      <c r="H18" s="2"/>
      <c r="M18" t="str">
        <f t="shared" si="0"/>
        <v>IE_Prod</v>
      </c>
      <c r="N18" t="str">
        <f>Table2[[#This Row],[Country]]</f>
        <v>IE</v>
      </c>
    </row>
    <row r="19" spans="1:14">
      <c r="A19" t="s">
        <v>21</v>
      </c>
      <c r="B19" t="s">
        <v>4</v>
      </c>
      <c r="C19" s="2">
        <v>3.9120907084594152</v>
      </c>
      <c r="D19" s="2">
        <v>3932</v>
      </c>
      <c r="E19" s="2">
        <f>Table2[[#This Row],[Mil m3 EU '[2020']]]/1000</f>
        <v>3.9319999999999999</v>
      </c>
      <c r="F19" s="2">
        <f>Table2[[#This Row],[TWh '[2020']2]]*1000</f>
        <v>38415.64</v>
      </c>
      <c r="G19" s="3">
        <f>IF(Table2[[#This Row],[Mil m3 EU '[2020']]]&gt;0,Table2[[#This Row],[Mrd m3 EU '[2020']]],Table2[[#This Row],[Mrd m3 '[2020']]])*9.77</f>
        <v>38.415639999999996</v>
      </c>
      <c r="H19" s="2"/>
      <c r="M19" t="str">
        <f t="shared" si="0"/>
        <v>IT_Prod</v>
      </c>
      <c r="N19" t="str">
        <f>Table2[[#This Row],[Country]]</f>
        <v>IT</v>
      </c>
    </row>
    <row r="20" spans="1:14">
      <c r="A20" t="s">
        <v>35</v>
      </c>
      <c r="B20" t="s">
        <v>65</v>
      </c>
      <c r="C20" s="2"/>
      <c r="D20" s="2"/>
      <c r="E20" s="2">
        <f>Table2[[#This Row],[Mil m3 EU '[2020']]]/1000</f>
        <v>0</v>
      </c>
      <c r="F20" s="2">
        <f>Table2[[#This Row],[TWh '[2020']2]]*1000</f>
        <v>0</v>
      </c>
      <c r="G20" s="3">
        <f>IF(Table2[[#This Row],[Mil m3 EU '[2020']]]&gt;0,Table2[[#This Row],[Mrd m3 EU '[2020']]],Table2[[#This Row],[Mrd m3 '[2020']]])*9.77</f>
        <v>0</v>
      </c>
      <c r="H20" s="2"/>
      <c r="M20" t="str">
        <f t="shared" si="0"/>
        <v>LV_Prod</v>
      </c>
      <c r="N20" t="str">
        <f>Table2[[#This Row],[Country]]</f>
        <v>LV</v>
      </c>
    </row>
    <row r="21" spans="1:14">
      <c r="A21" t="s">
        <v>51</v>
      </c>
      <c r="B21" t="s">
        <v>80</v>
      </c>
      <c r="C21" s="2">
        <v>12.699712072345603</v>
      </c>
      <c r="D21" s="2"/>
      <c r="E21" s="2">
        <f>Table2[[#This Row],[Mil m3 EU '[2020']]]/1000</f>
        <v>0</v>
      </c>
      <c r="F21" s="2">
        <f>Table2[[#This Row],[TWh '[2020']2]]*1000</f>
        <v>124076.18694681654</v>
      </c>
      <c r="G21" s="3">
        <f>IF(Table2[[#This Row],[Mil m3 EU '[2020']]]&gt;0,Table2[[#This Row],[Mrd m3 EU '[2020']]],Table2[[#This Row],[Mrd m3 '[2020']]])*9.77</f>
        <v>124.07618694681653</v>
      </c>
      <c r="H21" s="2"/>
      <c r="M21" t="str">
        <f t="shared" si="0"/>
        <v>LY_Prod</v>
      </c>
      <c r="N21" t="str">
        <f>Table2[[#This Row],[Country]]</f>
        <v>LY</v>
      </c>
    </row>
    <row r="22" spans="1:14">
      <c r="A22" t="s">
        <v>34</v>
      </c>
      <c r="B22" t="s">
        <v>6</v>
      </c>
      <c r="C22" s="2"/>
      <c r="D22" s="2"/>
      <c r="E22" s="2">
        <f>Table2[[#This Row],[Mil m3 EU '[2020']]]/1000</f>
        <v>0</v>
      </c>
      <c r="F22" s="2">
        <f>Table2[[#This Row],[TWh '[2020']2]]*1000</f>
        <v>0</v>
      </c>
      <c r="G22" s="3">
        <f>IF(Table2[[#This Row],[Mil m3 EU '[2020']]]&gt;0,Table2[[#This Row],[Mrd m3 EU '[2020']]],Table2[[#This Row],[Mrd m3 '[2020']]])*9.77</f>
        <v>0</v>
      </c>
      <c r="H22" s="2"/>
      <c r="M22" t="str">
        <f t="shared" si="0"/>
        <v>LT_Prod</v>
      </c>
      <c r="N22" t="str">
        <f>Table2[[#This Row],[Country]]</f>
        <v>LT</v>
      </c>
    </row>
    <row r="23" spans="1:14">
      <c r="A23" t="s">
        <v>42</v>
      </c>
      <c r="B23" t="s">
        <v>70</v>
      </c>
      <c r="C23" s="2"/>
      <c r="D23" s="2"/>
      <c r="E23" s="2">
        <f>Table2[[#This Row],[Mil m3 EU '[2020']]]/1000</f>
        <v>0</v>
      </c>
      <c r="F23" s="2">
        <f>Table2[[#This Row],[TWh '[2020']2]]*1000</f>
        <v>0</v>
      </c>
      <c r="G23" s="3">
        <f>IF(Table2[[#This Row],[Mil m3 EU '[2020']]]&gt;0,Table2[[#This Row],[Mrd m3 EU '[2020']]],Table2[[#This Row],[Mrd m3 '[2020']]])*9.77</f>
        <v>0</v>
      </c>
      <c r="H23" s="2"/>
      <c r="M23" t="str">
        <f t="shared" si="0"/>
        <v>LU_Prod</v>
      </c>
      <c r="N23" t="str">
        <f>Table2[[#This Row],[Country]]</f>
        <v>LU</v>
      </c>
    </row>
    <row r="24" spans="1:14">
      <c r="A24" t="s">
        <v>39</v>
      </c>
      <c r="B24" t="s">
        <v>68</v>
      </c>
      <c r="C24" s="2"/>
      <c r="D24" s="2"/>
      <c r="E24" s="2">
        <f>Table2[[#This Row],[Mil m3 EU '[2020']]]/1000</f>
        <v>0</v>
      </c>
      <c r="F24" s="2">
        <f>Table2[[#This Row],[TWh '[2020']2]]*1000</f>
        <v>0</v>
      </c>
      <c r="G24" s="3">
        <f>IF(Table2[[#This Row],[Mil m3 EU '[2020']]]&gt;0,Table2[[#This Row],[Mrd m3 EU '[2020']]],Table2[[#This Row],[Mrd m3 '[2020']]])*9.77</f>
        <v>0</v>
      </c>
      <c r="H24" s="2"/>
      <c r="M24" t="str">
        <f t="shared" si="0"/>
        <v>MD_Prod</v>
      </c>
      <c r="N24" t="str">
        <f>Table2[[#This Row],[Country]]</f>
        <v>MD</v>
      </c>
    </row>
    <row r="25" spans="1:14">
      <c r="A25" t="s">
        <v>18</v>
      </c>
      <c r="B25" t="s">
        <v>7</v>
      </c>
      <c r="C25" s="2">
        <v>20.091666666666669</v>
      </c>
      <c r="D25" s="2">
        <v>23966.123</v>
      </c>
      <c r="E25" s="2">
        <f>Table2[[#This Row],[Mil m3 EU '[2020']]]/1000</f>
        <v>23.966123</v>
      </c>
      <c r="F25" s="2">
        <f>Table2[[#This Row],[TWh '[2020']2]]*1000</f>
        <v>234149.02171</v>
      </c>
      <c r="G25" s="3">
        <f>IF(Table2[[#This Row],[Mil m3 EU '[2020']]]&gt;0,Table2[[#This Row],[Mrd m3 EU '[2020']]],Table2[[#This Row],[Mrd m3 '[2020']]])*9.77</f>
        <v>234.14902171</v>
      </c>
      <c r="H25" s="2"/>
      <c r="M25" t="str">
        <f t="shared" si="0"/>
        <v>NL_Prod</v>
      </c>
      <c r="N25" t="str">
        <f>Table2[[#This Row],[Country]]</f>
        <v>NL</v>
      </c>
    </row>
    <row r="26" spans="1:14">
      <c r="A26" t="s">
        <v>45</v>
      </c>
      <c r="B26" t="s">
        <v>76</v>
      </c>
      <c r="C26" s="2"/>
      <c r="D26" s="2"/>
      <c r="E26" s="2">
        <f>Table2[[#This Row],[Mil m3 EU '[2020']]]/1000</f>
        <v>0</v>
      </c>
      <c r="F26" s="2">
        <f>Table2[[#This Row],[TWh '[2020']2]]*1000</f>
        <v>0</v>
      </c>
      <c r="G26" s="3">
        <f>IF(Table2[[#This Row],[Mil m3 EU '[2020']]]&gt;0,Table2[[#This Row],[Mrd m3 EU '[2020']]],Table2[[#This Row],[Mrd m3 '[2020']]])*9.77</f>
        <v>0</v>
      </c>
      <c r="H26" s="2"/>
      <c r="M26" t="str">
        <f t="shared" si="0"/>
        <v>MK_Prod</v>
      </c>
      <c r="N26" t="str">
        <f>Table2[[#This Row],[Country]]</f>
        <v>MK</v>
      </c>
    </row>
    <row r="27" spans="1:14">
      <c r="A27" t="s">
        <v>48</v>
      </c>
      <c r="B27" t="s">
        <v>71</v>
      </c>
      <c r="C27" s="2">
        <v>111.71588259981999</v>
      </c>
      <c r="D27" s="2">
        <v>116206.11699999998</v>
      </c>
      <c r="E27" s="2">
        <f>Table2[[#This Row],[Mil m3 EU '[2020']]]/1000</f>
        <v>116.20611699999998</v>
      </c>
      <c r="F27" s="2">
        <f>Table2[[#This Row],[TWh '[2020']2]]*1000</f>
        <v>1135333.7630899998</v>
      </c>
      <c r="G27" s="3">
        <f>IF(Table2[[#This Row],[Mil m3 EU '[2020']]]&gt;0,Table2[[#This Row],[Mrd m3 EU '[2020']]],Table2[[#This Row],[Mrd m3 '[2020']]])*9.77</f>
        <v>1135.3337630899998</v>
      </c>
      <c r="H27" s="2"/>
      <c r="M27" t="str">
        <f t="shared" si="0"/>
        <v>NO_Prod</v>
      </c>
      <c r="N27" t="str">
        <f>Table2[[#This Row],[Country]]</f>
        <v>NO</v>
      </c>
    </row>
    <row r="28" spans="1:14">
      <c r="A28" t="s">
        <v>27</v>
      </c>
      <c r="B28" t="s">
        <v>8</v>
      </c>
      <c r="C28" s="2">
        <v>3.9287777777777784</v>
      </c>
      <c r="D28" s="2">
        <v>5592.88</v>
      </c>
      <c r="E28" s="2">
        <f>Table2[[#This Row],[Mil m3 EU '[2020']]]/1000</f>
        <v>5.5928800000000001</v>
      </c>
      <c r="F28" s="2">
        <f>Table2[[#This Row],[TWh '[2020']2]]*1000</f>
        <v>54642.437599999997</v>
      </c>
      <c r="G28" s="3">
        <f>IF(Table2[[#This Row],[Mil m3 EU '[2020']]]&gt;0,Table2[[#This Row],[Mrd m3 EU '[2020']]],Table2[[#This Row],[Mrd m3 '[2020']]])*9.77</f>
        <v>54.642437600000001</v>
      </c>
      <c r="H28" s="2"/>
      <c r="M28" t="str">
        <f t="shared" si="0"/>
        <v>PL_Prod</v>
      </c>
      <c r="N28" t="str">
        <f>Table2[[#This Row],[Country]]</f>
        <v>PL</v>
      </c>
    </row>
    <row r="29" spans="1:14">
      <c r="A29" t="s">
        <v>37</v>
      </c>
      <c r="B29" t="s">
        <v>1</v>
      </c>
      <c r="C29" s="2"/>
      <c r="D29" s="2"/>
      <c r="E29" s="2">
        <f>Table2[[#This Row],[Mil m3 EU '[2020']]]/1000</f>
        <v>0</v>
      </c>
      <c r="F29" s="2">
        <f>Table2[[#This Row],[TWh '[2020']2]]*1000</f>
        <v>0</v>
      </c>
      <c r="G29" s="3">
        <f>IF(Table2[[#This Row],[Mil m3 EU '[2020']]]&gt;0,Table2[[#This Row],[Mrd m3 EU '[2020']]],Table2[[#This Row],[Mrd m3 '[2020']]])*9.77</f>
        <v>0</v>
      </c>
      <c r="H29" s="2"/>
      <c r="M29" t="str">
        <f t="shared" si="0"/>
        <v>PT_Prod</v>
      </c>
      <c r="N29" t="str">
        <f>Table2[[#This Row],[Country]]</f>
        <v>PT</v>
      </c>
    </row>
    <row r="30" spans="1:14">
      <c r="A30" t="s">
        <v>33</v>
      </c>
      <c r="B30" t="s">
        <v>86</v>
      </c>
      <c r="C30" s="2">
        <v>8.5963213888888905</v>
      </c>
      <c r="D30" s="2">
        <v>9017</v>
      </c>
      <c r="E30" s="2">
        <f>Table2[[#This Row],[Mil m3 EU '[2020']]]/1000</f>
        <v>9.0169999999999995</v>
      </c>
      <c r="F30" s="2">
        <f>Table2[[#This Row],[TWh '[2020']2]]*1000</f>
        <v>88096.09</v>
      </c>
      <c r="G30" s="3">
        <f>IF(Table2[[#This Row],[Mil m3 EU '[2020']]]&gt;0,Table2[[#This Row],[Mrd m3 EU '[2020']]],Table2[[#This Row],[Mrd m3 '[2020']]])*9.77</f>
        <v>88.09608999999999</v>
      </c>
      <c r="H30" s="2"/>
      <c r="M30" t="str">
        <f t="shared" si="0"/>
        <v>RO_Prod</v>
      </c>
      <c r="N30" t="str">
        <f>Table2[[#This Row],[Country]]</f>
        <v>RO</v>
      </c>
    </row>
    <row r="31" spans="1:14">
      <c r="A31" t="s">
        <v>40</v>
      </c>
      <c r="B31" t="s">
        <v>69</v>
      </c>
      <c r="C31" s="2">
        <v>638.44665603244835</v>
      </c>
      <c r="D31" s="2"/>
      <c r="E31" s="2">
        <f>Table2[[#This Row],[Mil m3 EU '[2020']]]/1000</f>
        <v>0</v>
      </c>
      <c r="F31" s="2">
        <f>Table2[[#This Row],[TWh '[2020']2]]*1000</f>
        <v>6237623.8294370202</v>
      </c>
      <c r="G31" s="3">
        <f>IF(Table2[[#This Row],[Mil m3 EU '[2020']]]&gt;0,Table2[[#This Row],[Mrd m3 EU '[2020']]],Table2[[#This Row],[Mrd m3 '[2020']]])*9.77</f>
        <v>6237.6238294370205</v>
      </c>
      <c r="H31" s="2"/>
      <c r="M31" t="str">
        <f t="shared" si="0"/>
        <v>RU_Prod</v>
      </c>
      <c r="N31" t="str">
        <f>Table2[[#This Row],[Country]]</f>
        <v>RU</v>
      </c>
    </row>
    <row r="32" spans="1:14">
      <c r="A32" t="s">
        <v>47</v>
      </c>
      <c r="B32" t="s">
        <v>77</v>
      </c>
      <c r="C32" s="2"/>
      <c r="D32" s="2"/>
      <c r="E32" s="2">
        <f>Table2[[#This Row],[Mil m3 EU '[2020']]]/1000</f>
        <v>0</v>
      </c>
      <c r="F32" s="2">
        <f>Table2[[#This Row],[TWh '[2020']2]]*1000</f>
        <v>0</v>
      </c>
      <c r="G32" s="3">
        <f>IF(Table2[[#This Row],[Mil m3 EU '[2020']]]&gt;0,Table2[[#This Row],[Mrd m3 EU '[2020']]],Table2[[#This Row],[Mrd m3 '[2020']]])*9.77</f>
        <v>0</v>
      </c>
      <c r="H32" s="2"/>
      <c r="M32" t="str">
        <f t="shared" si="0"/>
        <v>SM_Prod</v>
      </c>
      <c r="N32" t="str">
        <f>Table2[[#This Row],[Country]]</f>
        <v>SM</v>
      </c>
    </row>
    <row r="33" spans="1:14">
      <c r="A33" t="s">
        <v>31</v>
      </c>
      <c r="B33" t="s">
        <v>72</v>
      </c>
      <c r="C33" s="2"/>
      <c r="D33" s="2">
        <v>409</v>
      </c>
      <c r="E33" s="2">
        <f>Table2[[#This Row],[Mil m3 EU '[2020']]]/1000</f>
        <v>0.40899999999999997</v>
      </c>
      <c r="F33" s="2">
        <f>Table2[[#This Row],[TWh '[2020']2]]*1000</f>
        <v>3995.9299999999994</v>
      </c>
      <c r="G33" s="3">
        <f>IF(Table2[[#This Row],[Mil m3 EU '[2020']]]&gt;0,Table2[[#This Row],[Mrd m3 EU '[2020']]],Table2[[#This Row],[Mrd m3 '[2020']]])*9.77</f>
        <v>3.9959299999999995</v>
      </c>
      <c r="H33" s="2"/>
      <c r="M33" t="str">
        <f t="shared" si="0"/>
        <v>RS_Prod</v>
      </c>
      <c r="N33" t="str">
        <f>Table2[[#This Row],[Country]]</f>
        <v>RS</v>
      </c>
    </row>
    <row r="34" spans="1:14">
      <c r="A34" t="s">
        <v>29</v>
      </c>
      <c r="B34" t="s">
        <v>62</v>
      </c>
      <c r="C34" s="2"/>
      <c r="D34" s="2">
        <v>66.700999999999993</v>
      </c>
      <c r="E34" s="2">
        <f>Table2[[#This Row],[Mil m3 EU '[2020']]]/1000</f>
        <v>6.6700999999999996E-2</v>
      </c>
      <c r="F34" s="2">
        <f>Table2[[#This Row],[TWh '[2020']2]]*1000</f>
        <v>651.66876999999988</v>
      </c>
      <c r="G34" s="3">
        <f>IF(Table2[[#This Row],[Mil m3 EU '[2020']]]&gt;0,Table2[[#This Row],[Mrd m3 EU '[2020']]],Table2[[#This Row],[Mrd m3 '[2020']]])*9.77</f>
        <v>0.6516687699999999</v>
      </c>
      <c r="H34" s="2"/>
      <c r="M34" t="str">
        <f t="shared" si="0"/>
        <v>SK_Prod</v>
      </c>
      <c r="N34" t="str">
        <f>Table2[[#This Row],[Country]]</f>
        <v>SK</v>
      </c>
    </row>
    <row r="35" spans="1:14">
      <c r="A35" t="s">
        <v>23</v>
      </c>
      <c r="B35" t="s">
        <v>59</v>
      </c>
      <c r="C35" s="2"/>
      <c r="D35" s="2">
        <v>5.3340000000000005</v>
      </c>
      <c r="E35" s="2">
        <f>Table2[[#This Row],[Mil m3 EU '[2020']]]/1000</f>
        <v>5.3340000000000002E-3</v>
      </c>
      <c r="F35" s="2">
        <f>Table2[[#This Row],[TWh '[2020']2]]*1000</f>
        <v>52.11318</v>
      </c>
      <c r="G35" s="3">
        <f>IF(Table2[[#This Row],[Mil m3 EU '[2020']]]&gt;0,Table2[[#This Row],[Mrd m3 EU '[2020']]],Table2[[#This Row],[Mrd m3 '[2020']]])*9.77</f>
        <v>5.2113180000000002E-2</v>
      </c>
      <c r="H35" s="2"/>
      <c r="M35" t="str">
        <f t="shared" si="0"/>
        <v>SI_Prod</v>
      </c>
      <c r="N35" t="str">
        <f>Table2[[#This Row],[Country]]</f>
        <v>SI</v>
      </c>
    </row>
    <row r="36" spans="1:14">
      <c r="A36" t="s">
        <v>22</v>
      </c>
      <c r="B36" t="s">
        <v>58</v>
      </c>
      <c r="C36" s="2"/>
      <c r="D36" s="2"/>
      <c r="E36" s="2">
        <f>Table2[[#This Row],[Mil m3 EU '[2020']]]/1000</f>
        <v>0</v>
      </c>
      <c r="F36" s="2">
        <f>Table2[[#This Row],[TWh '[2020']2]]*1000</f>
        <v>0</v>
      </c>
      <c r="G36" s="3">
        <f>IF(Table2[[#This Row],[Mil m3 EU '[2020']]]&gt;0,Table2[[#This Row],[Mrd m3 EU '[2020']]],Table2[[#This Row],[Mrd m3 '[2020']]])*9.77</f>
        <v>0</v>
      </c>
      <c r="H36" s="2"/>
      <c r="M36" t="str">
        <f t="shared" si="0"/>
        <v>CH_Prod</v>
      </c>
      <c r="N36" t="str">
        <f>Table2[[#This Row],[Country]]</f>
        <v>CH</v>
      </c>
    </row>
    <row r="37" spans="1:14">
      <c r="A37" t="s">
        <v>50</v>
      </c>
      <c r="B37" t="s">
        <v>79</v>
      </c>
      <c r="C37" s="2">
        <v>1.9</v>
      </c>
      <c r="D37" s="2"/>
      <c r="E37" s="2">
        <f>Table2[[#This Row],[Mil m3 EU '[2020']]]/1000</f>
        <v>0</v>
      </c>
      <c r="F37" s="2">
        <f>Table2[[#This Row],[TWh '[2020']2]]*1000</f>
        <v>18563</v>
      </c>
      <c r="G37" s="3">
        <f>IF(Table2[[#This Row],[Mil m3 EU '[2020']]]&gt;0,Table2[[#This Row],[Mrd m3 EU '[2020']]],Table2[[#This Row],[Mrd m3 '[2020']]])*9.77</f>
        <v>18.562999999999999</v>
      </c>
      <c r="H37" s="2"/>
      <c r="M37" t="str">
        <f t="shared" si="0"/>
        <v>TN_Prod</v>
      </c>
      <c r="N37" t="str">
        <f>Table2[[#This Row],[Country]]</f>
        <v>TN</v>
      </c>
    </row>
    <row r="38" spans="1:14">
      <c r="A38" t="s">
        <v>46</v>
      </c>
      <c r="B38" t="s">
        <v>10</v>
      </c>
      <c r="C38" s="2"/>
      <c r="D38" s="2">
        <v>437.50999999999993</v>
      </c>
      <c r="E38" s="2">
        <f>Table2[[#This Row],[Mil m3 EU '[2020']]]/1000</f>
        <v>0.43750999999999995</v>
      </c>
      <c r="F38" s="2">
        <f>Table2[[#This Row],[TWh '[2020']2]]*1000</f>
        <v>4274.4726999999993</v>
      </c>
      <c r="G38" s="3">
        <f>IF(Table2[[#This Row],[Mil m3 EU '[2020']]]&gt;0,Table2[[#This Row],[Mrd m3 EU '[2020']]],Table2[[#This Row],[Mrd m3 '[2020']]])*9.77</f>
        <v>4.2744726999999996</v>
      </c>
      <c r="H38" s="2"/>
      <c r="M38" t="str">
        <f t="shared" si="0"/>
        <v>TR_Prod</v>
      </c>
      <c r="N38" t="str">
        <f>Table2[[#This Row],[Country]]</f>
        <v>TR</v>
      </c>
    </row>
    <row r="39" spans="1:14">
      <c r="A39" t="s">
        <v>11</v>
      </c>
      <c r="B39" t="s">
        <v>11</v>
      </c>
      <c r="C39" s="2">
        <v>39.571421400000006</v>
      </c>
      <c r="D39" s="2">
        <v>32836.551999999996</v>
      </c>
      <c r="E39" s="2">
        <f>Table2[[#This Row],[Mil m3 EU '[2020']]]/1000</f>
        <v>32.836551999999998</v>
      </c>
      <c r="F39" s="2">
        <f>Table2[[#This Row],[TWh '[2020']2]]*1000</f>
        <v>320813.11303999997</v>
      </c>
      <c r="G39" s="3">
        <f>IF(Table2[[#This Row],[Mil m3 EU '[2020']]]&gt;0,Table2[[#This Row],[Mrd m3 EU '[2020']]],Table2[[#This Row],[Mrd m3 '[2020']]])*9.77</f>
        <v>320.81311303999996</v>
      </c>
      <c r="H39" s="2"/>
      <c r="M39" t="str">
        <f t="shared" si="0"/>
        <v>UK_Prod</v>
      </c>
      <c r="N39" t="str">
        <f>Table2[[#This Row],[Country]]</f>
        <v>UK</v>
      </c>
    </row>
    <row r="40" spans="1:14">
      <c r="A40" t="s">
        <v>38</v>
      </c>
      <c r="B40" t="s">
        <v>67</v>
      </c>
      <c r="C40" s="2">
        <v>19.117502458210424</v>
      </c>
      <c r="D40" s="2">
        <v>19516</v>
      </c>
      <c r="E40" s="2">
        <f>Table2[[#This Row],[Mil m3 EU '[2020']]]/1000</f>
        <v>19.515999999999998</v>
      </c>
      <c r="F40" s="2">
        <f>Table2[[#This Row],[TWh '[2020']2]]*1000</f>
        <v>190671.31999999998</v>
      </c>
      <c r="G40" s="3">
        <f>IF(Table2[[#This Row],[Mil m3 EU '[2020']]]&gt;0,Table2[[#This Row],[Mrd m3 EU '[2020']]],Table2[[#This Row],[Mrd m3 '[2020']]])*9.77</f>
        <v>190.67131999999998</v>
      </c>
      <c r="H40" s="2"/>
      <c r="M40" t="str">
        <f t="shared" si="0"/>
        <v>UA_Prod</v>
      </c>
      <c r="N40" t="str">
        <f>Table2[[#This Row],[Country]]</f>
        <v>UA</v>
      </c>
    </row>
    <row r="41" spans="1:14">
      <c r="A41" t="s">
        <v>87</v>
      </c>
      <c r="B41" t="s">
        <v>88</v>
      </c>
      <c r="C41" s="2">
        <v>6.2834748117948553</v>
      </c>
      <c r="D41" s="2"/>
      <c r="E41" s="2">
        <f>Table2[[#This Row],[Mil m3 EU '[2020']]]/1000</f>
        <v>0</v>
      </c>
      <c r="F41" s="2">
        <f>Table2[[#This Row],[TWh '[2020']2]]*1000</f>
        <v>61389.548911235732</v>
      </c>
      <c r="G41" s="3">
        <f>IF(Table2[[#This Row],[Mil m3 EU '[2020']]]&gt;0,Table2[[#This Row],[Mrd m3 EU '[2020']]],Table2[[#This Row],[Mrd m3 '[2020']]])*9.77</f>
        <v>61.389548911235735</v>
      </c>
      <c r="H41" s="2"/>
      <c r="M41" t="str">
        <f t="shared" ref="M41:M42" si="1">_xlfn.CONCAT(A41,$J$2)</f>
        <v>OE_Prod</v>
      </c>
      <c r="N41" t="str">
        <f>Table2[[#This Row],[Country]]</f>
        <v>OE</v>
      </c>
    </row>
    <row r="42" spans="1:14">
      <c r="A42" t="s">
        <v>36</v>
      </c>
      <c r="B42" t="s">
        <v>9</v>
      </c>
      <c r="C42" s="2"/>
      <c r="D42" s="2">
        <v>46</v>
      </c>
      <c r="E42" s="2">
        <f>Table2[[#This Row],[Mil m3 EU '[2020']]]/1000</f>
        <v>4.5999999999999999E-2</v>
      </c>
      <c r="F42" s="2">
        <f>Table2[[#This Row],[TWh '[2020']2]]*1000</f>
        <v>449.41999999999996</v>
      </c>
      <c r="G42" s="3">
        <f>IF(Table2[[#This Row],[Mil m3 EU '[2020']]]&gt;0,Table2[[#This Row],[Mrd m3 EU '[2020']]],Table2[[#This Row],[Mrd m3 '[2020']]])*9.77</f>
        <v>0.44941999999999999</v>
      </c>
      <c r="M42" t="str">
        <f t="shared" si="1"/>
        <v>ES_Prod</v>
      </c>
      <c r="N42" t="str">
        <f>Table2[[#This Row],[Country]]</f>
        <v>ES</v>
      </c>
    </row>
    <row r="44" spans="1:14">
      <c r="C44" s="2">
        <f>SUM(Table2[Mrd m3 '[2020']])</f>
        <v>953.60023173327022</v>
      </c>
      <c r="D44" s="2">
        <f>SUM(Table2[Mil m3 EU '[2020']])/1000+C31+C37+C21+C3</f>
        <v>958.51780060479393</v>
      </c>
      <c r="E44">
        <f>SUMIF(Table2[Mil m3 EU '[2020']],"&gt;0",Table2[Mrd m3 EU '[2020']])</f>
        <v>224.04681999999994</v>
      </c>
    </row>
    <row r="45" spans="1:14">
      <c r="E45" s="2"/>
      <c r="F45" s="2"/>
    </row>
    <row r="47" spans="1:14">
      <c r="A47" t="s">
        <v>119</v>
      </c>
    </row>
    <row r="48" spans="1:14">
      <c r="A48" t="s">
        <v>79</v>
      </c>
      <c r="B48" t="s">
        <v>89</v>
      </c>
      <c r="I48" t="s">
        <v>122</v>
      </c>
    </row>
    <row r="49" spans="1:2">
      <c r="A49" t="s">
        <v>118</v>
      </c>
      <c r="B49" t="s">
        <v>116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B51A3E-1808-4462-B1E3-D6075EC1FD95}">
  <dimension ref="A1:G21"/>
  <sheetViews>
    <sheetView workbookViewId="0">
      <selection activeCell="B9" sqref="B9"/>
    </sheetView>
  </sheetViews>
  <sheetFormatPr defaultRowHeight="14.4"/>
  <cols>
    <col min="1" max="1" width="9.5546875" customWidth="1"/>
    <col min="2" max="2" width="19.21875" customWidth="1"/>
    <col min="3" max="3" width="15" customWidth="1"/>
    <col min="4" max="4" width="17.109375" customWidth="1"/>
    <col min="5" max="6" width="17.77734375" customWidth="1"/>
    <col min="7" max="8" width="15" customWidth="1"/>
  </cols>
  <sheetData>
    <row r="1" spans="1:7">
      <c r="A1" s="9" t="s">
        <v>16</v>
      </c>
      <c r="B1" s="9" t="s">
        <v>55</v>
      </c>
      <c r="C1" s="9" t="s">
        <v>84</v>
      </c>
      <c r="D1" s="9" t="s">
        <v>153</v>
      </c>
      <c r="E1" s="9" t="s">
        <v>154</v>
      </c>
      <c r="F1" s="10" t="s">
        <v>167</v>
      </c>
      <c r="G1" s="10" t="s">
        <v>166</v>
      </c>
    </row>
    <row r="2" spans="1:7">
      <c r="A2" t="s">
        <v>132</v>
      </c>
      <c r="B2" s="4" t="s">
        <v>132</v>
      </c>
      <c r="C2" s="5">
        <v>924.81292668594142</v>
      </c>
      <c r="D2" s="5"/>
      <c r="E2" s="5">
        <f>Table7[[#This Row],[Mil m3 '[2020']]]/1000</f>
        <v>0</v>
      </c>
      <c r="F2" s="11">
        <f>Table7[[#This Row],[TWh '[2020']2]]*1000</f>
        <v>9035422.2937216479</v>
      </c>
      <c r="G2" s="3">
        <f>IF(Table7[[#This Row],[Mil m3 '[2020']]]&gt;0,Table7[[#This Row],[Mrd m3 '[2020']2]],Table7[[#This Row],[Mrd m3 '[2020']]])*9.77</f>
        <v>9035.4222937216473</v>
      </c>
    </row>
    <row r="3" spans="1:7">
      <c r="A3" t="s">
        <v>164</v>
      </c>
      <c r="B3" t="s">
        <v>143</v>
      </c>
      <c r="C3">
        <f>165.613+35.5252809102083</f>
        <v>201.13828091020829</v>
      </c>
      <c r="E3" s="2">
        <f>Table7[[#This Row],[Mil m3 '[2020']]]/1000</f>
        <v>0</v>
      </c>
      <c r="F3" s="2">
        <f>Table7[[#This Row],[TWh '[2020']2]]*1000</f>
        <v>1965121.004492735</v>
      </c>
      <c r="G3" s="3">
        <f>IF(Table7[[#This Row],[Mil m3 '[2020']]]&gt;0,Table7[[#This Row],[Mrd m3 '[2020']2]],Table7[[#This Row],[Mrd m3 '[2020']]])*9.77</f>
        <v>1965.121004492735</v>
      </c>
    </row>
    <row r="4" spans="1:7">
      <c r="A4" t="s">
        <v>133</v>
      </c>
      <c r="B4" t="s">
        <v>144</v>
      </c>
      <c r="C4">
        <f>156.619145389645-29.4652641615749</f>
        <v>127.15388122807011</v>
      </c>
      <c r="E4" s="2">
        <f>Table7[[#This Row],[Mil m3 '[2020']]]/1000</f>
        <v>0</v>
      </c>
      <c r="F4" s="2">
        <f>Table7[[#This Row],[TWh '[2020']2]]*1000</f>
        <v>1242293.4195982448</v>
      </c>
      <c r="G4" s="3">
        <f>IF(Table7[[#This Row],[Mil m3 '[2020']]]&gt;0,Table7[[#This Row],[Mrd m3 '[2020']2]],Table7[[#This Row],[Mrd m3 '[2020']]])*9.77</f>
        <v>1242.2934195982448</v>
      </c>
    </row>
    <row r="5" spans="1:7">
      <c r="A5" t="s">
        <v>134</v>
      </c>
      <c r="B5" t="s">
        <v>145</v>
      </c>
      <c r="C5">
        <v>29.4652641615749</v>
      </c>
      <c r="E5" s="2">
        <f>Table7[[#This Row],[Mil m3 '[2020']]]/1000</f>
        <v>0</v>
      </c>
      <c r="F5" s="2">
        <f>Table7[[#This Row],[TWh '[2020']2]]*1000</f>
        <v>287875.63085858675</v>
      </c>
      <c r="G5" s="3">
        <f>IF(Table7[[#This Row],[Mil m3 '[2020']]]&gt;0,Table7[[#This Row],[Mrd m3 '[2020']2]],Table7[[#This Row],[Mrd m3 '[2020']]])*9.77</f>
        <v>287.87563085858676</v>
      </c>
    </row>
    <row r="6" spans="1:7">
      <c r="A6" t="s">
        <v>135</v>
      </c>
      <c r="B6" t="s">
        <v>146</v>
      </c>
      <c r="C6">
        <f>667.939379731508-174.9348378172</f>
        <v>493.00454191430799</v>
      </c>
      <c r="E6" s="2">
        <f>Table7[[#This Row],[Mil m3 '[2020']]]/1000</f>
        <v>0</v>
      </c>
      <c r="F6" s="2">
        <f>Table7[[#This Row],[TWh '[2020']2]]*1000</f>
        <v>4816654.3745027892</v>
      </c>
      <c r="G6" s="3">
        <f>IF(Table7[[#This Row],[Mil m3 '[2020']]]&gt;0,Table7[[#This Row],[Mrd m3 '[2020']2]],Table7[[#This Row],[Mrd m3 '[2020']]])*9.77</f>
        <v>4816.6543745027893</v>
      </c>
    </row>
    <row r="7" spans="1:7">
      <c r="A7" t="s">
        <v>136</v>
      </c>
      <c r="B7" t="s">
        <v>157</v>
      </c>
      <c r="C7">
        <v>174.93483781719999</v>
      </c>
      <c r="E7" s="2">
        <f>Table7[[#This Row],[Mil m3 '[2020']]]/1000</f>
        <v>0</v>
      </c>
      <c r="F7" s="2">
        <f>Table7[[#This Row],[TWh '[2020']2]]*1000</f>
        <v>1709113.3654740439</v>
      </c>
      <c r="G7" s="3">
        <f>IF(Table7[[#This Row],[Mil m3 '[2020']]]&gt;0,Table7[[#This Row],[Mrd m3 '[2020']2]],Table7[[#This Row],[Mrd m3 '[2020']]])*9.77</f>
        <v>1709.1133654740438</v>
      </c>
    </row>
    <row r="8" spans="1:7">
      <c r="A8" t="s">
        <v>137</v>
      </c>
      <c r="B8" t="s">
        <v>147</v>
      </c>
      <c r="C8" s="2">
        <f>231.909048813308-nodes_gas_prod_europe_2020!C21-nodes_gas_prod_europe_2020!C3-nodes_gas_prod_europe_2020!C37-C16</f>
        <v>77.419550083247572</v>
      </c>
      <c r="E8" s="2">
        <f>Table7[[#This Row],[Mil m3 '[2020']]]/1000</f>
        <v>0</v>
      </c>
      <c r="F8" s="2">
        <f>Table7[[#This Row],[TWh '[2020']2]]*1000</f>
        <v>756389.00431332877</v>
      </c>
      <c r="G8" s="3">
        <f>IF(Table7[[#This Row],[Mil m3 '[2020']]]&gt;0,Table7[[#This Row],[Mrd m3 '[2020']2]],Table7[[#This Row],[Mrd m3 '[2020']]])*9.77</f>
        <v>756.38900431332877</v>
      </c>
    </row>
    <row r="9" spans="1:7">
      <c r="A9" t="s">
        <v>94</v>
      </c>
      <c r="B9" t="s">
        <v>158</v>
      </c>
      <c r="C9" s="2">
        <v>7.0000000000000007E-2</v>
      </c>
      <c r="E9" s="2">
        <f>Table7[[#This Row],[Mil m3 '[2020']]]/1000</f>
        <v>0</v>
      </c>
      <c r="F9" s="2">
        <f>Table7[[#This Row],[TWh '[2020']2]]*1000</f>
        <v>683.90000000000009</v>
      </c>
      <c r="G9" s="3">
        <f>IF(Table7[[#This Row],[Mil m3 '[2020']]]&gt;0,Table7[[#This Row],[Mrd m3 '[2020']2]],Table7[[#This Row],[Mrd m3 '[2020']]])*9.77</f>
        <v>0.68390000000000006</v>
      </c>
    </row>
    <row r="10" spans="1:7">
      <c r="A10" t="s">
        <v>138</v>
      </c>
      <c r="B10" t="s">
        <v>148</v>
      </c>
      <c r="C10">
        <v>145.71638020075315</v>
      </c>
      <c r="E10" s="2">
        <f>Table7[[#This Row],[Mil m3 '[2020']]]/1000</f>
        <v>0</v>
      </c>
      <c r="F10" s="2">
        <f>Table7[[#This Row],[TWh '[2020']2]]*1000</f>
        <v>1423649.0345613582</v>
      </c>
      <c r="G10" s="3">
        <f>IF(Table7[[#This Row],[Mil m3 '[2020']]]&gt;0,Table7[[#This Row],[Mrd m3 '[2020']2]],Table7[[#This Row],[Mrd m3 '[2020']]])*9.77</f>
        <v>1423.6490345613581</v>
      </c>
    </row>
    <row r="11" spans="1:7">
      <c r="A11" t="s">
        <v>139</v>
      </c>
      <c r="B11" t="s">
        <v>149</v>
      </c>
      <c r="C11">
        <v>194.00921828908548</v>
      </c>
      <c r="E11" s="2">
        <f>Table7[[#This Row],[Mil m3 '[2020']]]/1000</f>
        <v>0</v>
      </c>
      <c r="F11" s="2">
        <f>Table7[[#This Row],[TWh '[2020']2]]*1000</f>
        <v>1895470.0626843651</v>
      </c>
      <c r="G11" s="3">
        <f>IF(Table7[[#This Row],[Mil m3 '[2020']]]&gt;0,Table7[[#This Row],[Mrd m3 '[2020']2]],Table7[[#This Row],[Mrd m3 '[2020']]])*9.77</f>
        <v>1895.4700626843651</v>
      </c>
    </row>
    <row r="12" spans="1:7">
      <c r="A12" t="s">
        <v>140</v>
      </c>
      <c r="B12" t="s">
        <v>150</v>
      </c>
      <c r="C12">
        <v>0</v>
      </c>
      <c r="E12" s="2">
        <f>Table7[[#This Row],[Mil m3 '[2020']]]/1000</f>
        <v>0</v>
      </c>
      <c r="F12" s="2">
        <f>Table7[[#This Row],[TWh '[2020']2]]*1000</f>
        <v>0</v>
      </c>
      <c r="G12" s="3">
        <f>IF(Table7[[#This Row],[Mil m3 '[2020']]]&gt;0,Table7[[#This Row],[Mrd m3 '[2020']2]],Table7[[#This Row],[Mrd m3 '[2020']]])*9.77</f>
        <v>0</v>
      </c>
    </row>
    <row r="13" spans="1:7">
      <c r="A13" t="s">
        <v>141</v>
      </c>
      <c r="B13" t="s">
        <v>151</v>
      </c>
      <c r="C13">
        <v>23.760626555099513</v>
      </c>
      <c r="E13" s="2">
        <f>Table7[[#This Row],[Mil m3 '[2020']]]/1000</f>
        <v>0</v>
      </c>
      <c r="F13" s="2">
        <f>Table7[[#This Row],[TWh '[2020']2]]*1000</f>
        <v>232141.32144332223</v>
      </c>
      <c r="G13" s="3">
        <f>IF(Table7[[#This Row],[Mil m3 '[2020']]]&gt;0,Table7[[#This Row],[Mrd m3 '[2020']2]],Table7[[#This Row],[Mrd m3 '[2020']]])*9.77</f>
        <v>232.14132144332223</v>
      </c>
    </row>
    <row r="14" spans="1:7">
      <c r="A14" t="s">
        <v>142</v>
      </c>
      <c r="B14" t="s">
        <v>152</v>
      </c>
      <c r="C14">
        <f>656.2735508682-C13-C11-C10-C12-C17</f>
        <v>154.99710695848057</v>
      </c>
      <c r="E14" s="2">
        <f>Table7[[#This Row],[Mil m3 '[2020']]]/1000</f>
        <v>0</v>
      </c>
      <c r="F14" s="2">
        <f>Table7[[#This Row],[TWh '[2020']2]]*1000</f>
        <v>1514321.734984355</v>
      </c>
      <c r="G14" s="3">
        <f>IF(Table7[[#This Row],[Mil m3 '[2020']]]&gt;0,Table7[[#This Row],[Mrd m3 '[2020']2]],Table7[[#This Row],[Mrd m3 '[2020']]])*9.77</f>
        <v>1514.3217349843551</v>
      </c>
    </row>
    <row r="15" spans="1:7">
      <c r="A15" t="s">
        <v>155</v>
      </c>
      <c r="B15" t="s">
        <v>156</v>
      </c>
      <c r="C15">
        <f>808.357450256401-638.446656032448</f>
        <v>169.91079422395296</v>
      </c>
      <c r="E15" s="2">
        <f>Table7[[#This Row],[Mil m3 '[2020']]]/1000</f>
        <v>0</v>
      </c>
      <c r="F15" s="2">
        <f>Table7[[#This Row],[TWh '[2020']2]]*1000</f>
        <v>1660028.4595680204</v>
      </c>
      <c r="G15" s="3">
        <f>IF(Table7[[#This Row],[Mil m3 '[2020']]]&gt;0,Table7[[#This Row],[Mrd m3 '[2020']2]],Table7[[#This Row],[Mrd m3 '[2020']]])*9.77</f>
        <v>1660.0284595680205</v>
      </c>
    </row>
    <row r="16" spans="1:7">
      <c r="A16" t="s">
        <v>160</v>
      </c>
      <c r="B16" t="s">
        <v>161</v>
      </c>
      <c r="C16">
        <v>58.465174157714841</v>
      </c>
      <c r="E16" s="2">
        <f>Table7[[#This Row],[Mil m3 '[2020']]]/1000</f>
        <v>0</v>
      </c>
      <c r="F16" s="2">
        <f>Table7[[#This Row],[TWh '[2020']2]]*1000</f>
        <v>571204.75152087398</v>
      </c>
      <c r="G16" s="3">
        <f>IF(Table7[[#This Row],[Mil m3 '[2020']]]&gt;0,Table7[[#This Row],[Mrd m3 '[2020']2]],Table7[[#This Row],[Mrd m3 '[2020']]])*9.77</f>
        <v>571.20475152087397</v>
      </c>
    </row>
    <row r="17" spans="1:7">
      <c r="A17" t="s">
        <v>162</v>
      </c>
      <c r="B17" t="s">
        <v>163</v>
      </c>
      <c r="C17">
        <f>64.6974253845862+73.0927934801951</f>
        <v>137.79021886478131</v>
      </c>
      <c r="E17" s="2">
        <f>Table7[[#This Row],[Mil m3 '[2020']]]/1000</f>
        <v>0</v>
      </c>
      <c r="F17" s="2">
        <f>Table7[[#This Row],[TWh '[2020']2]]*1000</f>
        <v>1346210.4383089133</v>
      </c>
      <c r="G17" s="3">
        <f>IF(Table7[[#This Row],[Mil m3 '[2020']]]&gt;0,Table7[[#This Row],[Mrd m3 '[2020']2]],Table7[[#This Row],[Mrd m3 '[2020']]])*9.77</f>
        <v>1346.2104383089134</v>
      </c>
    </row>
    <row r="20" spans="1:7">
      <c r="A20" t="s">
        <v>119</v>
      </c>
    </row>
    <row r="21" spans="1:7">
      <c r="A21" t="s">
        <v>168</v>
      </c>
      <c r="B21" t="s">
        <v>169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5996C-4401-4161-B17D-CF2A8462856A}">
  <dimension ref="A1:G53"/>
  <sheetViews>
    <sheetView workbookViewId="0">
      <selection activeCell="G6" sqref="G6"/>
    </sheetView>
  </sheetViews>
  <sheetFormatPr defaultRowHeight="14.4"/>
  <cols>
    <col min="1" max="1" width="9.5546875" customWidth="1"/>
    <col min="2" max="2" width="12.5546875" customWidth="1"/>
    <col min="3" max="3" width="15" customWidth="1"/>
    <col min="4" max="4" width="12" customWidth="1"/>
    <col min="5" max="5" width="22.21875" customWidth="1"/>
    <col min="14" max="14" width="11.77734375" bestFit="1" customWidth="1"/>
  </cols>
  <sheetData>
    <row r="1" spans="1:7">
      <c r="A1" t="s">
        <v>16</v>
      </c>
      <c r="B1" t="s">
        <v>55</v>
      </c>
      <c r="C1" t="s">
        <v>84</v>
      </c>
      <c r="D1" t="s">
        <v>100</v>
      </c>
      <c r="E1" t="s">
        <v>103</v>
      </c>
      <c r="F1" t="s">
        <v>114</v>
      </c>
      <c r="G1" t="s">
        <v>167</v>
      </c>
    </row>
    <row r="2" spans="1:7">
      <c r="A2" t="s">
        <v>41</v>
      </c>
      <c r="B2" t="s">
        <v>73</v>
      </c>
      <c r="C2" s="2"/>
      <c r="D2">
        <f>Table1[[#This Row],[Mrd m3 '[2020']]]*9.77*-1</f>
        <v>0</v>
      </c>
      <c r="E2">
        <v>2846</v>
      </c>
      <c r="F2">
        <f>IF(Table1[[#This Row],[TWh '[2020']]]=0,$D$27*(E2/$E$27),0)</f>
        <v>-7.7179334425266708</v>
      </c>
      <c r="G2">
        <f>MIN(Table1[[#This Row],[TWh '[2020']]],Table1[[#This Row],[TWh by share]])*1000</f>
        <v>-7717.9334425266707</v>
      </c>
    </row>
    <row r="3" spans="1:7">
      <c r="A3" t="s">
        <v>20</v>
      </c>
      <c r="B3" t="s">
        <v>57</v>
      </c>
      <c r="C3" s="2">
        <v>8.5272482121300026</v>
      </c>
      <c r="D3">
        <f>Table1[[#This Row],[Mrd m3 '[2020']]]*9.77*-1</f>
        <v>-83.31121503251012</v>
      </c>
      <c r="E3">
        <v>8901.1</v>
      </c>
      <c r="F3">
        <f>IF(Table1[[#This Row],[TWh '[2020']]]=0,$D$27*(E3/$E$27),0)</f>
        <v>0</v>
      </c>
      <c r="G3">
        <f>MIN(Table1[[#This Row],[TWh '[2020']]],Table1[[#This Row],[TWh by share]])*1000</f>
        <v>-83311.215032510125</v>
      </c>
    </row>
    <row r="4" spans="1:7">
      <c r="A4" t="s">
        <v>17</v>
      </c>
      <c r="B4" t="s">
        <v>0</v>
      </c>
      <c r="C4" s="2">
        <v>16.998179999999998</v>
      </c>
      <c r="D4">
        <f>Table1[[#This Row],[Mrd m3 '[2020']]]*9.77*-1</f>
        <v>-166.07221859999999</v>
      </c>
      <c r="E4">
        <v>11549.9</v>
      </c>
      <c r="F4">
        <f>IF(Table1[[#This Row],[TWh '[2020']]]=0,$D$27*(E4/$E$27),0)</f>
        <v>0</v>
      </c>
      <c r="G4">
        <f>MIN(Table1[[#This Row],[TWh '[2020']]],Table1[[#This Row],[TWh by share]])*1000</f>
        <v>-166072.21859999999</v>
      </c>
    </row>
    <row r="5" spans="1:7">
      <c r="A5" t="s">
        <v>44</v>
      </c>
      <c r="B5" t="s">
        <v>75</v>
      </c>
      <c r="C5" s="2"/>
      <c r="D5">
        <f>Table1[[#This Row],[Mrd m3 '[2020']]]*9.77*-1</f>
        <v>0</v>
      </c>
      <c r="E5">
        <v>3492</v>
      </c>
      <c r="F5">
        <f>IF(Table1[[#This Row],[TWh '[2020']]]=0,$D$27*(E5/$E$27),0)</f>
        <v>-9.4697904361571084</v>
      </c>
      <c r="G5">
        <v>-5110</v>
      </c>
    </row>
    <row r="6" spans="1:7">
      <c r="A6" t="s">
        <v>32</v>
      </c>
      <c r="B6" t="s">
        <v>64</v>
      </c>
      <c r="C6" s="2">
        <v>2.9206500000000002</v>
      </c>
      <c r="D6">
        <f>Table1[[#This Row],[Mrd m3 '[2020']]]*9.77*-1</f>
        <v>-28.534750500000001</v>
      </c>
      <c r="E6">
        <v>6951.5</v>
      </c>
      <c r="F6">
        <f>IF(Table1[[#This Row],[TWh '[2020']]]=0,$D$27*(E6/$E$27),0)</f>
        <v>0</v>
      </c>
      <c r="G6">
        <f>MIN(Table1[[#This Row],[TWh '[2020']]],Table1[[#This Row],[TWh by share]])*1000</f>
        <v>-28534.750500000002</v>
      </c>
    </row>
    <row r="7" spans="1:7">
      <c r="A7" t="s">
        <v>24</v>
      </c>
      <c r="B7" t="s">
        <v>5</v>
      </c>
      <c r="C7" s="2">
        <v>2.9368094170890702</v>
      </c>
      <c r="D7">
        <f>Table1[[#This Row],[Mrd m3 '[2020']]]*9.77*-1</f>
        <v>-28.692628004960213</v>
      </c>
      <c r="E7">
        <v>4058.2</v>
      </c>
      <c r="F7">
        <f>IF(Table1[[#This Row],[TWh '[2020']]]=0,$D$27*(E7/$E$27),0)</f>
        <v>0</v>
      </c>
      <c r="G7">
        <f>MIN(Table1[[#This Row],[TWh '[2020']]],Table1[[#This Row],[TWh by share]])*1000</f>
        <v>-28692.628004960214</v>
      </c>
    </row>
    <row r="8" spans="1:7">
      <c r="A8" t="s">
        <v>28</v>
      </c>
      <c r="B8" t="s">
        <v>61</v>
      </c>
      <c r="C8" s="2">
        <v>8.4623749999999998</v>
      </c>
      <c r="D8">
        <f>Table1[[#This Row],[Mrd m3 '[2020']]]*9.77*-1</f>
        <v>-82.677403749999996</v>
      </c>
      <c r="E8">
        <v>10693.9</v>
      </c>
      <c r="F8">
        <f>IF(Table1[[#This Row],[TWh '[2020']]]=0,$D$27*(E8/$E$27),0)</f>
        <v>0</v>
      </c>
      <c r="G8">
        <f>MIN(Table1[[#This Row],[TWh '[2020']]],Table1[[#This Row],[TWh by share]])*1000</f>
        <v>-82677.403749999998</v>
      </c>
    </row>
    <row r="9" spans="1:7">
      <c r="A9" t="s">
        <v>26</v>
      </c>
      <c r="B9" t="s">
        <v>60</v>
      </c>
      <c r="C9" s="2">
        <v>2.3225881808696536</v>
      </c>
      <c r="D9">
        <f>Table1[[#This Row],[Mrd m3 '[2020']]]*9.77*-1</f>
        <v>-22.691686527096515</v>
      </c>
      <c r="E9">
        <v>5822.8</v>
      </c>
      <c r="F9">
        <f>IF(Table1[[#This Row],[TWh '[2020']]]=0,$D$27*(E9/$E$27),0)</f>
        <v>0</v>
      </c>
      <c r="G9">
        <f>MIN(Table1[[#This Row],[TWh '[2020']]],Table1[[#This Row],[TWh by share]])*1000</f>
        <v>-22691.686527096514</v>
      </c>
    </row>
    <row r="10" spans="1:7">
      <c r="A10" t="s">
        <v>53</v>
      </c>
      <c r="B10" t="s">
        <v>66</v>
      </c>
      <c r="C10" s="2">
        <v>0.43005000000000004</v>
      </c>
      <c r="D10">
        <f>Table1[[#This Row],[Mrd m3 '[2020']]]*9.77*-1</f>
        <v>-4.2015885000000006</v>
      </c>
      <c r="E10">
        <v>1329</v>
      </c>
      <c r="F10">
        <f>IF(Table1[[#This Row],[TWh '[2020']]]=0,$D$27*(E10/$E$27),0)</f>
        <v>0</v>
      </c>
      <c r="G10">
        <f>MIN(Table1[[#This Row],[TWh '[2020']]],Table1[[#This Row],[TWh by share]])*1000</f>
        <v>-4201.5885000000007</v>
      </c>
    </row>
    <row r="11" spans="1:7">
      <c r="A11" t="s">
        <v>54</v>
      </c>
      <c r="B11" t="s">
        <v>85</v>
      </c>
      <c r="C11" s="2">
        <v>2.0718055555555557</v>
      </c>
      <c r="D11">
        <f>Table1[[#This Row],[Mrd m3 '[2020']]]*9.77*-1</f>
        <v>-20.241540277777776</v>
      </c>
      <c r="E11">
        <v>5525.3</v>
      </c>
      <c r="F11">
        <f>IF(Table1[[#This Row],[TWh '[2020']]]=0,$D$27*(E11/$E$27),0)</f>
        <v>0</v>
      </c>
      <c r="G11">
        <f>MIN(Table1[[#This Row],[TWh '[2020']]],Table1[[#This Row],[TWh by share]])*1000</f>
        <v>-20241.540277777778</v>
      </c>
    </row>
    <row r="12" spans="1:7">
      <c r="A12" t="s">
        <v>25</v>
      </c>
      <c r="B12" t="s">
        <v>2</v>
      </c>
      <c r="C12" s="2">
        <v>40.582840274999995</v>
      </c>
      <c r="D12">
        <f>Table1[[#This Row],[Mrd m3 '[2020']]]*9.77*-1</f>
        <v>-396.49434948674991</v>
      </c>
      <c r="E12">
        <v>67098.8</v>
      </c>
      <c r="F12">
        <f>IF(Table1[[#This Row],[TWh '[2020']]]=0,$D$27*(E12/$E$27),0)</f>
        <v>0</v>
      </c>
      <c r="G12">
        <f>MIN(Table1[[#This Row],[TWh '[2020']]],Table1[[#This Row],[TWh by share]])*1000</f>
        <v>-396494.34948674991</v>
      </c>
    </row>
    <row r="13" spans="1:7">
      <c r="A13" t="s">
        <v>19</v>
      </c>
      <c r="B13" t="s">
        <v>56</v>
      </c>
      <c r="C13" s="2">
        <v>87.107500000000002</v>
      </c>
      <c r="D13">
        <f>Table1[[#This Row],[Mrd m3 '[2020']]]*9.77*-1</f>
        <v>-851.04027499999995</v>
      </c>
      <c r="E13">
        <v>83166.7</v>
      </c>
      <c r="F13">
        <f>IF(Table1[[#This Row],[TWh '[2020']]]=0,$D$27*(E13/$E$27),0)</f>
        <v>0</v>
      </c>
      <c r="G13">
        <f>MIN(Table1[[#This Row],[TWh '[2020']]],Table1[[#This Row],[TWh by share]])*1000</f>
        <v>-851040.27499999991</v>
      </c>
    </row>
    <row r="14" spans="1:7">
      <c r="A14" t="s">
        <v>165</v>
      </c>
      <c r="B14" t="s">
        <v>3</v>
      </c>
      <c r="C14" s="2">
        <v>6.3426600000000004</v>
      </c>
      <c r="D14">
        <f>Table1[[#This Row],[Mrd m3 '[2020']]]*9.77*-1</f>
        <v>-61.967788200000001</v>
      </c>
      <c r="E14">
        <v>10709.7</v>
      </c>
      <c r="F14">
        <f>IF(Table1[[#This Row],[TWh '[2020']]]=0,$D$27*(E14/$E$27),0)</f>
        <v>0</v>
      </c>
      <c r="G14">
        <f>MIN(Table1[[#This Row],[TWh '[2020']]],Table1[[#This Row],[TWh by share]])*1000</f>
        <v>-61967.788200000003</v>
      </c>
    </row>
    <row r="15" spans="1:7">
      <c r="A15" t="s">
        <v>30</v>
      </c>
      <c r="B15" t="s">
        <v>63</v>
      </c>
      <c r="C15" s="2">
        <v>10.192972222222224</v>
      </c>
      <c r="D15">
        <f>Table1[[#This Row],[Mrd m3 '[2020']]]*9.77*-1</f>
        <v>-99.585338611111126</v>
      </c>
      <c r="E15">
        <v>9769.5</v>
      </c>
      <c r="F15">
        <f>IF(Table1[[#This Row],[TWh '[2020']]]=0,$D$27*(E15/$E$27),0)</f>
        <v>0</v>
      </c>
      <c r="G15">
        <f>MIN(Table1[[#This Row],[TWh '[2020']]],Table1[[#This Row],[TWh by share]])*1000</f>
        <v>-99585.338611111132</v>
      </c>
    </row>
    <row r="16" spans="1:7">
      <c r="A16" t="s">
        <v>43</v>
      </c>
      <c r="B16" t="s">
        <v>74</v>
      </c>
      <c r="C16" s="2">
        <v>5.3080830939788495</v>
      </c>
      <c r="D16">
        <f>Table1[[#This Row],[Mrd m3 '[2020']]]*9.77*-1</f>
        <v>-51.859971828173357</v>
      </c>
      <c r="E16">
        <v>4963.8</v>
      </c>
      <c r="F16">
        <f>IF(Table1[[#This Row],[TWh '[2020']]]=0,$D$27*(E16/$E$27),0)</f>
        <v>0</v>
      </c>
      <c r="G16">
        <f>MIN(Table1[[#This Row],[TWh '[2020']]],Table1[[#This Row],[TWh by share]])*1000</f>
        <v>-51859.971828173359</v>
      </c>
    </row>
    <row r="17" spans="1:7">
      <c r="A17" t="s">
        <v>21</v>
      </c>
      <c r="B17" t="s">
        <v>4</v>
      </c>
      <c r="C17" s="2">
        <v>67.625157295559788</v>
      </c>
      <c r="D17">
        <f>Table1[[#This Row],[Mrd m3 '[2020']]]*9.77*-1</f>
        <v>-660.69778677761906</v>
      </c>
      <c r="E17">
        <v>60244.6</v>
      </c>
      <c r="F17">
        <f>IF(Table1[[#This Row],[TWh '[2020']]]=0,$D$27*(E17/$E$27),0)</f>
        <v>0</v>
      </c>
      <c r="G17">
        <f>MIN(Table1[[#This Row],[TWh '[2020']]],Table1[[#This Row],[TWh by share]])*1000</f>
        <v>-660697.78677761904</v>
      </c>
    </row>
    <row r="18" spans="1:7">
      <c r="A18" t="s">
        <v>35</v>
      </c>
      <c r="B18" t="s">
        <v>65</v>
      </c>
      <c r="C18" s="2">
        <v>1.0731875</v>
      </c>
      <c r="D18">
        <f>Table1[[#This Row],[Mrd m3 '[2020']]]*9.77*-1</f>
        <v>-10.485041874999999</v>
      </c>
      <c r="E18">
        <v>1907.7</v>
      </c>
      <c r="F18">
        <f>IF(Table1[[#This Row],[TWh '[2020']]]=0,$D$27*(E18/$E$27),0)</f>
        <v>0</v>
      </c>
      <c r="G18">
        <f>MIN(Table1[[#This Row],[TWh '[2020']]],Table1[[#This Row],[TWh by share]])*1000</f>
        <v>-10485.041874999999</v>
      </c>
    </row>
    <row r="19" spans="1:7">
      <c r="A19" t="s">
        <v>34</v>
      </c>
      <c r="B19" t="s">
        <v>6</v>
      </c>
      <c r="C19" s="2">
        <v>2.3604840000000005</v>
      </c>
      <c r="D19">
        <f>Table1[[#This Row],[Mrd m3 '[2020']]]*9.77*-1</f>
        <v>-23.061928680000005</v>
      </c>
      <c r="E19">
        <v>2794.1</v>
      </c>
      <c r="F19">
        <f>IF(Table1[[#This Row],[TWh '[2020']]]=0,$D$27*(E19/$E$27),0)</f>
        <v>0</v>
      </c>
      <c r="G19">
        <f>MIN(Table1[[#This Row],[TWh '[2020']]],Table1[[#This Row],[TWh by share]])*1000</f>
        <v>-23061.928680000005</v>
      </c>
    </row>
    <row r="20" spans="1:7">
      <c r="A20" t="s">
        <v>42</v>
      </c>
      <c r="B20" t="s">
        <v>70</v>
      </c>
      <c r="C20" s="2">
        <v>0.722536175</v>
      </c>
      <c r="D20">
        <f>Table1[[#This Row],[Mrd m3 '[2020']]]*9.77*-1</f>
        <v>-7.0591784297499993</v>
      </c>
      <c r="E20">
        <v>626.1</v>
      </c>
      <c r="F20">
        <f>IF(Table1[[#This Row],[TWh '[2020']]]=0,$D$27*(E20/$E$27),0)</f>
        <v>0</v>
      </c>
      <c r="G20">
        <f>MIN(Table1[[#This Row],[TWh '[2020']]],Table1[[#This Row],[TWh by share]])*1000</f>
        <v>-7059.1784297499989</v>
      </c>
    </row>
    <row r="21" spans="1:7">
      <c r="A21" t="s">
        <v>106</v>
      </c>
      <c r="B21" t="s">
        <v>91</v>
      </c>
      <c r="C21" s="2"/>
      <c r="D21">
        <f>Table1[[#This Row],[Mrd m3 '[2020']]]*9.77*-1</f>
        <v>0</v>
      </c>
      <c r="E21">
        <v>514.6</v>
      </c>
      <c r="F21">
        <f>IF(Table1[[#This Row],[TWh '[2020']]]=0,$D$27*(E21/$E$27),0)</f>
        <v>-1.395519518455455</v>
      </c>
      <c r="G21">
        <f>MIN(Table1[[#This Row],[TWh '[2020']]],Table1[[#This Row],[TWh by share]])*1000</f>
        <v>-1395.519518455455</v>
      </c>
    </row>
    <row r="22" spans="1:7">
      <c r="A22" t="s">
        <v>39</v>
      </c>
      <c r="B22" t="s">
        <v>68</v>
      </c>
      <c r="C22" s="2"/>
      <c r="D22">
        <f>Table1[[#This Row],[Mrd m3 '[2020']]]*9.77*-1</f>
        <v>0</v>
      </c>
      <c r="E22">
        <v>2579</v>
      </c>
      <c r="F22">
        <f>IF(Table1[[#This Row],[TWh '[2020']]]=0,$D$27*(E22/$E$27),0)</f>
        <v>-6.9938687098651737</v>
      </c>
      <c r="G22">
        <f>MIN(Table1[[#This Row],[TWh '[2020']]],Table1[[#This Row],[TWh by share]])*1000</f>
        <v>-6993.8687098651735</v>
      </c>
    </row>
    <row r="23" spans="1:7">
      <c r="B23" t="s">
        <v>107</v>
      </c>
      <c r="C23" s="2"/>
      <c r="D23">
        <f>Table1[[#This Row],[Mrd m3 '[2020']]]*9.77*-1</f>
        <v>0</v>
      </c>
      <c r="E23">
        <v>621.9</v>
      </c>
      <c r="F23">
        <f>IF(Table1[[#This Row],[TWh '[2020']]]=0,$D$27*(E23/$E$27),0)</f>
        <v>-1.6865013379857121</v>
      </c>
      <c r="G23">
        <f>MIN(Table1[[#This Row],[TWh '[2020']]],Table1[[#This Row],[TWh by share]])*1000</f>
        <v>-1686.5013379857121</v>
      </c>
    </row>
    <row r="24" spans="1:7">
      <c r="A24" t="s">
        <v>18</v>
      </c>
      <c r="B24" t="s">
        <v>7</v>
      </c>
      <c r="C24" s="2">
        <v>36.094444444444456</v>
      </c>
      <c r="D24">
        <f>Table1[[#This Row],[Mrd m3 '[2020']]]*9.77*-1</f>
        <v>-352.64272222222229</v>
      </c>
      <c r="E24">
        <v>17407.599999999999</v>
      </c>
      <c r="F24">
        <f>IF(Table1[[#This Row],[TWh '[2020']]]=0,$D$27*(E24/$E$27),0)</f>
        <v>0</v>
      </c>
      <c r="G24">
        <f>MIN(Table1[[#This Row],[TWh '[2020']]],Table1[[#This Row],[TWh by share]])*1000</f>
        <v>-352642.72222222231</v>
      </c>
    </row>
    <row r="25" spans="1:7">
      <c r="A25" t="s">
        <v>45</v>
      </c>
      <c r="B25" t="s">
        <v>76</v>
      </c>
      <c r="C25" s="2">
        <v>0.324946535664</v>
      </c>
      <c r="D25">
        <f>Table1[[#This Row],[Mrd m3 '[2020']]]*9.77*-1</f>
        <v>-3.1747276534372797</v>
      </c>
      <c r="E25">
        <v>2076.3000000000002</v>
      </c>
      <c r="F25">
        <f>IF(Table1[[#This Row],[TWh '[2020']]]=0,$D$27*(E25/$E$27),0)</f>
        <v>0</v>
      </c>
      <c r="G25">
        <f>MIN(Table1[[#This Row],[TWh '[2020']]],Table1[[#This Row],[TWh by share]])*1000</f>
        <v>-3174.7276534372795</v>
      </c>
    </row>
    <row r="26" spans="1:7">
      <c r="A26" t="s">
        <v>48</v>
      </c>
      <c r="B26" t="s">
        <v>71</v>
      </c>
      <c r="C26" s="2">
        <v>4.4535245861624997</v>
      </c>
      <c r="D26">
        <f>Table1[[#This Row],[Mrd m3 '[2020']]]*9.77*-1</f>
        <v>-43.510935206807623</v>
      </c>
      <c r="E26">
        <v>5367.6</v>
      </c>
      <c r="F26">
        <f>IF(Table1[[#This Row],[TWh '[2020']]]=0,$D$27*(E26/$E$27),0)</f>
        <v>0</v>
      </c>
      <c r="G26">
        <f>MIN(Table1[[#This Row],[TWh '[2020']]],Table1[[#This Row],[TWh by share]])*1000</f>
        <v>-43510.935206807626</v>
      </c>
    </row>
    <row r="27" spans="1:7">
      <c r="A27" t="s">
        <v>87</v>
      </c>
      <c r="B27" t="s">
        <v>88</v>
      </c>
      <c r="C27" s="2">
        <v>5.4542940093096091</v>
      </c>
      <c r="D27">
        <f>Table1[[#This Row],[Mrd m3 '[2020']]]*9.77*-1</f>
        <v>-53.28845247095488</v>
      </c>
      <c r="E27">
        <f>SUMIF(D2:D26,"=0",E2:E26)+SUMIF(D28:D42,"=0",E28:E42)</f>
        <v>19650.2</v>
      </c>
      <c r="F27">
        <f>IF(Table1[[#This Row],[TWh '[2020']]]=0,$D$27*(E27/$E$27),0)</f>
        <v>0</v>
      </c>
      <c r="G27">
        <f>MIN(Table1[[#This Row],[TWh '[2020']]],Table1[[#This Row],[TWh by share]])*1000</f>
        <v>-53288.452470954879</v>
      </c>
    </row>
    <row r="28" spans="1:7">
      <c r="A28" t="s">
        <v>27</v>
      </c>
      <c r="B28" t="s">
        <v>8</v>
      </c>
      <c r="C28" s="2">
        <v>21.064583333333339</v>
      </c>
      <c r="D28">
        <f>Table1[[#This Row],[Mrd m3 '[2020']]]*9.77*-1</f>
        <v>-205.80097916666671</v>
      </c>
      <c r="E28">
        <v>37958.1</v>
      </c>
      <c r="F28">
        <f>IF(Table1[[#This Row],[TWh '[2020']]]=0,$D$27*(E28/$E$27),0)</f>
        <v>0</v>
      </c>
      <c r="G28">
        <f>MIN(Table1[[#This Row],[TWh '[2020']]],Table1[[#This Row],[TWh by share]])*1000</f>
        <v>-205800.97916666672</v>
      </c>
    </row>
    <row r="29" spans="1:7">
      <c r="A29" t="s">
        <v>37</v>
      </c>
      <c r="B29" t="s">
        <v>1</v>
      </c>
      <c r="C29" s="2">
        <v>6.0366596174639984</v>
      </c>
      <c r="D29">
        <f>Table1[[#This Row],[Mrd m3 '[2020']]]*9.77*-1</f>
        <v>-58.978164462623262</v>
      </c>
      <c r="E29">
        <v>10295.9</v>
      </c>
      <c r="F29">
        <f>IF(Table1[[#This Row],[TWh '[2020']]]=0,$D$27*(E29/$E$27),0)</f>
        <v>0</v>
      </c>
      <c r="G29">
        <f>MIN(Table1[[#This Row],[TWh '[2020']]],Table1[[#This Row],[TWh by share]])*1000</f>
        <v>-58978.164462623259</v>
      </c>
    </row>
    <row r="30" spans="1:7">
      <c r="A30" t="s">
        <v>33</v>
      </c>
      <c r="B30" t="s">
        <v>86</v>
      </c>
      <c r="C30" s="2">
        <v>11.262552972222222</v>
      </c>
      <c r="D30">
        <f>Table1[[#This Row],[Mrd m3 '[2020']]]*9.77*-1</f>
        <v>-110.03514253861111</v>
      </c>
      <c r="E30">
        <v>19318</v>
      </c>
      <c r="F30">
        <f>IF(Table1[[#This Row],[TWh '[2020']]]=0,$D$27*(E30/$E$27),0)</f>
        <v>0</v>
      </c>
      <c r="G30">
        <f>MIN(Table1[[#This Row],[TWh '[2020']]],Table1[[#This Row],[TWh by share]])*1000</f>
        <v>-110035.14253861111</v>
      </c>
    </row>
    <row r="31" spans="1:7">
      <c r="A31" t="s">
        <v>47</v>
      </c>
      <c r="B31" t="s">
        <v>77</v>
      </c>
      <c r="C31" s="2"/>
      <c r="D31">
        <f>Table1[[#This Row],[Mrd m3 '[2020']]]*9.77*-1</f>
        <v>0</v>
      </c>
      <c r="E31">
        <v>0</v>
      </c>
      <c r="F31">
        <f>IF(Table1[[#This Row],[TWh '[2020']]]=0,$D$27*(E31/$E$27),0)</f>
        <v>0</v>
      </c>
      <c r="G31">
        <f>MIN(Table1[[#This Row],[TWh '[2020']]],Table1[[#This Row],[TWh by share]])*1000</f>
        <v>0</v>
      </c>
    </row>
    <row r="32" spans="1:7">
      <c r="A32" t="s">
        <v>31</v>
      </c>
      <c r="B32" t="s">
        <v>72</v>
      </c>
      <c r="C32" s="2"/>
      <c r="D32">
        <f>Table1[[#This Row],[Mrd m3 '[2020']]]*9.77*-1</f>
        <v>0</v>
      </c>
      <c r="E32">
        <v>6926.7</v>
      </c>
      <c r="F32">
        <f>IF(Table1[[#This Row],[TWh '[2020']]]=0,$D$27*(E32/$E$27),0)</f>
        <v>-18.784191699349783</v>
      </c>
      <c r="G32">
        <f>MIN(Table1[[#This Row],[TWh '[2020']]],Table1[[#This Row],[TWh by share]])*1000</f>
        <v>-18784.191699349783</v>
      </c>
    </row>
    <row r="33" spans="1:7">
      <c r="A33" t="s">
        <v>29</v>
      </c>
      <c r="B33" t="s">
        <v>62</v>
      </c>
      <c r="C33" s="2">
        <v>4.754638388888889</v>
      </c>
      <c r="D33">
        <f>Table1[[#This Row],[Mrd m3 '[2020']]]*9.77*-1</f>
        <v>-46.452817059444442</v>
      </c>
      <c r="E33">
        <v>5457.9</v>
      </c>
      <c r="F33">
        <f>IF(Table1[[#This Row],[TWh '[2020']]]=0,$D$27*(E33/$E$27),0)</f>
        <v>0</v>
      </c>
      <c r="G33">
        <f>MIN(Table1[[#This Row],[TWh '[2020']]],Table1[[#This Row],[TWh by share]])*1000</f>
        <v>-46452.817059444438</v>
      </c>
    </row>
    <row r="34" spans="1:7">
      <c r="A34" t="s">
        <v>23</v>
      </c>
      <c r="B34" t="s">
        <v>59</v>
      </c>
      <c r="C34" s="2">
        <v>0.85516059371380015</v>
      </c>
      <c r="D34">
        <f>Table1[[#This Row],[Mrd m3 '[2020']]]*9.77*-1</f>
        <v>-8.354919000583827</v>
      </c>
      <c r="E34">
        <v>2095.9</v>
      </c>
      <c r="F34">
        <f>IF(Table1[[#This Row],[TWh '[2020']]]=0,$D$27*(E34/$E$27),0)</f>
        <v>0</v>
      </c>
      <c r="G34">
        <f>MIN(Table1[[#This Row],[TWh '[2020']]],Table1[[#This Row],[TWh by share]])*1000</f>
        <v>-8354.9190005838263</v>
      </c>
    </row>
    <row r="35" spans="1:7">
      <c r="A35" t="s">
        <v>36</v>
      </c>
      <c r="B35" t="s">
        <v>9</v>
      </c>
      <c r="C35" s="2">
        <v>32.490230910000008</v>
      </c>
      <c r="D35">
        <f>Table1[[#This Row],[Mrd m3 '[2020']]]*9.77*-1</f>
        <v>-317.42955599070007</v>
      </c>
      <c r="E35">
        <v>47330</v>
      </c>
      <c r="F35">
        <f>IF(Table1[[#This Row],[TWh '[2020']]]=0,$D$27*(E35/$E$27),0)</f>
        <v>0</v>
      </c>
      <c r="G35">
        <f>MIN(Table1[[#This Row],[TWh '[2020']]],Table1[[#This Row],[TWh by share]])*1000</f>
        <v>-317429.55599070009</v>
      </c>
    </row>
    <row r="36" spans="1:7">
      <c r="A36" t="s">
        <v>82</v>
      </c>
      <c r="B36" t="s">
        <v>83</v>
      </c>
      <c r="C36" s="2">
        <v>0.99092500000000006</v>
      </c>
      <c r="D36">
        <f>Table1[[#This Row],[Mrd m3 '[2020']]]*9.77*-1</f>
        <v>-9.6813372500000003</v>
      </c>
      <c r="E36">
        <v>10327.6</v>
      </c>
      <c r="F36">
        <f>IF(Table1[[#This Row],[TWh '[2020']]]=0,$D$27*(E36/$E$27),0)</f>
        <v>0</v>
      </c>
      <c r="G36">
        <f>MIN(Table1[[#This Row],[TWh '[2020']]],Table1[[#This Row],[TWh by share]])*1000</f>
        <v>-9681.3372500000005</v>
      </c>
    </row>
    <row r="37" spans="1:7">
      <c r="A37" t="s">
        <v>22</v>
      </c>
      <c r="B37" t="s">
        <v>58</v>
      </c>
      <c r="C37" s="2">
        <v>3.3147222222222226</v>
      </c>
      <c r="D37">
        <f>Table1[[#This Row],[Mrd m3 '[2020']]]*9.77*-1</f>
        <v>-32.384836111111113</v>
      </c>
      <c r="E37">
        <v>8606</v>
      </c>
      <c r="F37">
        <f>IF(Table1[[#This Row],[TWh '[2020']]]=0,$D$27*(E37/$E$27),0)</f>
        <v>0</v>
      </c>
      <c r="G37">
        <f>MIN(Table1[[#This Row],[TWh '[2020']]],Table1[[#This Row],[TWh by share]])*1000</f>
        <v>-32384.836111111112</v>
      </c>
    </row>
    <row r="38" spans="1:7">
      <c r="A38" t="s">
        <v>46</v>
      </c>
      <c r="B38" t="s">
        <v>10</v>
      </c>
      <c r="C38" s="2">
        <v>46.209907500000007</v>
      </c>
      <c r="D38">
        <f>Table1[[#This Row],[Mrd m3 '[2020']]]*9.77*-1</f>
        <v>-451.47079627500005</v>
      </c>
      <c r="E38">
        <v>83155</v>
      </c>
      <c r="F38">
        <f>IF(Table1[[#This Row],[TWh '[2020']]]=0,$D$27*(E38/$E$27),0)</f>
        <v>0</v>
      </c>
      <c r="G38">
        <f>MIN(Table1[[#This Row],[TWh '[2020']]],Table1[[#This Row],[TWh by share]])*1000</f>
        <v>-451470.79627500003</v>
      </c>
    </row>
    <row r="39" spans="1:7">
      <c r="A39" t="s">
        <v>11</v>
      </c>
      <c r="B39" t="s">
        <v>11</v>
      </c>
      <c r="C39" s="2">
        <v>73.145389499999993</v>
      </c>
      <c r="D39">
        <f>Table1[[#This Row],[Mrd m3 '[2020']]]*9.77*-1</f>
        <v>-714.63045541499991</v>
      </c>
      <c r="E39">
        <v>67025.5</v>
      </c>
      <c r="F39">
        <f>IF(Table1[[#This Row],[TWh '[2020']]]=0,$D$27*(E39/$E$27),0)</f>
        <v>0</v>
      </c>
      <c r="G39">
        <f>MIN(Table1[[#This Row],[TWh '[2020']]],Table1[[#This Row],[TWh by share]])*1000</f>
        <v>-714630.45541499986</v>
      </c>
    </row>
    <row r="40" spans="1:7">
      <c r="A40" t="s">
        <v>38</v>
      </c>
      <c r="B40" t="s">
        <v>67</v>
      </c>
      <c r="C40" s="2">
        <v>29.338741396263522</v>
      </c>
      <c r="D40">
        <f>Table1[[#This Row],[Mrd m3 '[2020']]]*9.77*-1</f>
        <v>-286.63950344149458</v>
      </c>
      <c r="E40">
        <v>41733</v>
      </c>
      <c r="F40">
        <f>IF(Table1[[#This Row],[TWh '[2020']]]=0,$D$27*(E40/$E$27),0)</f>
        <v>0</v>
      </c>
      <c r="G40">
        <f>MIN(Table1[[#This Row],[TWh '[2020']]],Table1[[#This Row],[TWh by share]])*1000</f>
        <v>-286639.5034414946</v>
      </c>
    </row>
    <row r="41" spans="1:7">
      <c r="A41" t="s">
        <v>104</v>
      </c>
      <c r="B41" t="s">
        <v>105</v>
      </c>
      <c r="C41" s="2"/>
      <c r="D41">
        <f>Table1[[#This Row],[Mrd m3 '[2020']]]*9.77*-1</f>
        <v>0</v>
      </c>
      <c r="E41">
        <v>888</v>
      </c>
      <c r="F41">
        <f>IF(Table1[[#This Row],[TWh '[2020']]]=0,$D$27*(E41/$E$27),0)</f>
        <v>-2.4081254030090244</v>
      </c>
      <c r="G41">
        <f>MIN(Table1[[#This Row],[TWh '[2020']]],Table1[[#This Row],[TWh by share]])*1000</f>
        <v>-2408.1254030090245</v>
      </c>
    </row>
    <row r="42" spans="1:7">
      <c r="B42" t="s">
        <v>113</v>
      </c>
      <c r="C42" s="2"/>
      <c r="D42">
        <f>Table1[[#This Row],[Mrd m3 '[2020']]]*9.77*-1</f>
        <v>0</v>
      </c>
      <c r="E42">
        <v>1782</v>
      </c>
      <c r="F42">
        <f>IF(Table1[[#This Row],[TWh '[2020']]]=0,$D$27*(E42/$E$27),0)</f>
        <v>-4.8325219236059471</v>
      </c>
      <c r="G42">
        <f>MIN(Table1[[#This Row],[TWh '[2020']]],Table1[[#This Row],[TWh by share]])*1000</f>
        <v>-4832.5219236059474</v>
      </c>
    </row>
    <row r="44" spans="1:7">
      <c r="C44" s="2">
        <f>SUM(Table1[Mrd m3 '[2020']])</f>
        <v>541.77584793709366</v>
      </c>
    </row>
    <row r="50" spans="1:2">
      <c r="A50" t="s">
        <v>119</v>
      </c>
    </row>
    <row r="51" spans="1:2">
      <c r="A51" t="s">
        <v>108</v>
      </c>
    </row>
    <row r="52" spans="1:2">
      <c r="A52" t="s">
        <v>109</v>
      </c>
      <c r="B52" t="s">
        <v>110</v>
      </c>
    </row>
    <row r="53" spans="1:2">
      <c r="A53" t="s">
        <v>111</v>
      </c>
      <c r="B53" t="s">
        <v>112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12057-E499-4FE6-95AB-7A9B585F85EC}">
  <dimension ref="A1:I25"/>
  <sheetViews>
    <sheetView workbookViewId="0">
      <selection activeCell="A19" sqref="A19"/>
    </sheetView>
  </sheetViews>
  <sheetFormatPr defaultRowHeight="14.4"/>
  <cols>
    <col min="1" max="1" width="9.5546875" customWidth="1"/>
    <col min="2" max="2" width="12.5546875" customWidth="1"/>
    <col min="3" max="3" width="15" customWidth="1"/>
    <col min="4" max="4" width="12" customWidth="1"/>
    <col min="5" max="6" width="22.21875" customWidth="1"/>
    <col min="15" max="15" width="11.77734375" bestFit="1" customWidth="1"/>
  </cols>
  <sheetData>
    <row r="1" spans="1:7">
      <c r="A1" s="6" t="s">
        <v>16</v>
      </c>
      <c r="B1" s="7" t="s">
        <v>55</v>
      </c>
      <c r="C1" s="7" t="s">
        <v>84</v>
      </c>
      <c r="D1" s="7" t="s">
        <v>153</v>
      </c>
      <c r="E1" s="7" t="s">
        <v>154</v>
      </c>
      <c r="F1" s="7" t="s">
        <v>167</v>
      </c>
      <c r="G1" s="8" t="s">
        <v>100</v>
      </c>
    </row>
    <row r="2" spans="1:7">
      <c r="A2" t="s">
        <v>132</v>
      </c>
      <c r="B2" s="4" t="s">
        <v>132</v>
      </c>
      <c r="C2" s="5">
        <v>834.54962782115695</v>
      </c>
      <c r="D2" s="5"/>
      <c r="E2" s="5">
        <f>Table7910[[#This Row],[Mil m3 '[2020']]]/1000</f>
        <v>0</v>
      </c>
      <c r="F2" s="11">
        <f>Table7910[[#This Row],[TWh '[2020']]]*1000</f>
        <v>-8153549.8638127027</v>
      </c>
      <c r="G2" s="3">
        <f>IF(Table7910[[#This Row],[Mil m3 '[2020']]]&gt;0,Table7910[[#This Row],[Mrd m3 '[2020']2]],Table7910[[#This Row],[Mrd m3 '[2020']]])*9.77*(-1)</f>
        <v>-8153.5498638127028</v>
      </c>
    </row>
    <row r="3" spans="1:7">
      <c r="A3" t="s">
        <v>164</v>
      </c>
      <c r="B3" t="s">
        <v>143</v>
      </c>
      <c r="C3">
        <f>1042.08498320178-834.549627821157</f>
        <v>207.53535538062306</v>
      </c>
      <c r="E3" s="2">
        <f>Table7910[[#This Row],[Mil m3 '[2020']]]/1000</f>
        <v>0</v>
      </c>
      <c r="F3" s="2">
        <f>Table7910[[#This Row],[TWh '[2020']]]*1000</f>
        <v>-2027620.4220686874</v>
      </c>
      <c r="G3" s="3">
        <f>IF(Table7910[[#This Row],[Mil m3 '[2020']]]&gt;0,Table7910[[#This Row],[Mrd m3 '[2020']2]],Table7910[[#This Row],[Mrd m3 '[2020']]])*9.77*(-1)</f>
        <v>-2027.6204220686873</v>
      </c>
    </row>
    <row r="4" spans="1:7">
      <c r="A4" t="s">
        <v>133</v>
      </c>
      <c r="B4" t="s">
        <v>144</v>
      </c>
      <c r="C4">
        <f>148.570059919613-15.1856471767803</f>
        <v>133.38441274283269</v>
      </c>
      <c r="E4" s="2">
        <f>Table7910[[#This Row],[Mil m3 '[2020']]]/1000</f>
        <v>0</v>
      </c>
      <c r="F4" s="2">
        <f>Table7910[[#This Row],[TWh '[2020']]]*1000</f>
        <v>-1303165.7124974753</v>
      </c>
      <c r="G4" s="3">
        <f>IF(Table7910[[#This Row],[Mil m3 '[2020']]]&gt;0,Table7910[[#This Row],[Mrd m3 '[2020']2]],Table7910[[#This Row],[Mrd m3 '[2020']]])*9.77*(-1)</f>
        <v>-1303.1657124974754</v>
      </c>
    </row>
    <row r="5" spans="1:7">
      <c r="A5" t="s">
        <v>134</v>
      </c>
      <c r="B5" t="s">
        <v>145</v>
      </c>
      <c r="C5">
        <f>15.1856471767803</f>
        <v>15.1856471767803</v>
      </c>
      <c r="E5" s="2">
        <f>Table7910[[#This Row],[Mil m3 '[2020']]]/1000</f>
        <v>0</v>
      </c>
      <c r="F5" s="2">
        <f>Table7910[[#This Row],[TWh '[2020']]]*1000</f>
        <v>-148363.77291714353</v>
      </c>
      <c r="G5" s="3">
        <f>IF(Table7910[[#This Row],[Mil m3 '[2020']]]&gt;0,Table7910[[#This Row],[Mrd m3 '[2020']2]],Table7910[[#This Row],[Mrd m3 '[2020']]])*9.77*(-1)</f>
        <v>-148.36377291714354</v>
      </c>
    </row>
    <row r="6" spans="1:7">
      <c r="A6" t="s">
        <v>135</v>
      </c>
      <c r="B6" t="s">
        <v>146</v>
      </c>
      <c r="C6" s="2">
        <f>552.897499957585-38.4132347090566</f>
        <v>514.48426524852835</v>
      </c>
      <c r="E6" s="2">
        <f>Table7910[[#This Row],[Mil m3 '[2020']]]/1000</f>
        <v>0</v>
      </c>
      <c r="F6" s="2">
        <f>Table7910[[#This Row],[TWh '[2020']]]*1000</f>
        <v>-5026511.2714781221</v>
      </c>
      <c r="G6" s="3">
        <f>IF(Table7910[[#This Row],[Mil m3 '[2020']]]&gt;0,Table7910[[#This Row],[Mrd m3 '[2020']2]],Table7910[[#This Row],[Mrd m3 '[2020']]])*9.77*(-1)</f>
        <v>-5026.5112714781217</v>
      </c>
    </row>
    <row r="7" spans="1:7">
      <c r="A7" t="s">
        <v>136</v>
      </c>
      <c r="B7" t="s">
        <v>157</v>
      </c>
      <c r="C7">
        <v>38.413234709056603</v>
      </c>
      <c r="E7" s="2">
        <f>Table7910[[#This Row],[Mil m3 '[2020']]]/1000</f>
        <v>0</v>
      </c>
      <c r="F7" s="2">
        <f>Table7910[[#This Row],[TWh '[2020']]]*1000</f>
        <v>-375297.30310748302</v>
      </c>
      <c r="G7" s="3">
        <f>IF(Table7910[[#This Row],[Mil m3 '[2020']]]&gt;0,Table7910[[#This Row],[Mrd m3 '[2020']2]],Table7910[[#This Row],[Mrd m3 '[2020']]])*9.77*(-1)</f>
        <v>-375.297303107483</v>
      </c>
    </row>
    <row r="8" spans="1:7">
      <c r="A8" t="s">
        <v>137</v>
      </c>
      <c r="B8" t="s">
        <v>147</v>
      </c>
      <c r="C8" s="2">
        <f>154.184349315883-C16-C17-C18-C19-C20</f>
        <v>40.449273476568081</v>
      </c>
      <c r="E8" s="2">
        <f>Table7910[[#This Row],[Mil m3 '[2020']]]/1000</f>
        <v>0</v>
      </c>
      <c r="F8" s="2">
        <f>Table7910[[#This Row],[TWh '[2020']]]*1000</f>
        <v>-395189.40186607011</v>
      </c>
      <c r="G8" s="3">
        <f>IF(Table7910[[#This Row],[Mil m3 '[2020']]]&gt;0,Table7910[[#This Row],[Mrd m3 '[2020']2]],Table7910[[#This Row],[Mrd m3 '[2020']]])*9.77*(-1)</f>
        <v>-395.18940186607011</v>
      </c>
    </row>
    <row r="9" spans="1:7">
      <c r="A9" t="s">
        <v>138</v>
      </c>
      <c r="B9" t="s">
        <v>148</v>
      </c>
      <c r="C9">
        <v>42.317339828787539</v>
      </c>
      <c r="E9" s="2">
        <f>Table7910[[#This Row],[Mil m3 '[2020']]]/1000</f>
        <v>0</v>
      </c>
      <c r="F9" s="2">
        <f>Table7910[[#This Row],[TWh '[2020']]]*1000</f>
        <v>-413440.4101272542</v>
      </c>
      <c r="G9" s="3">
        <f>IF(Table7910[[#This Row],[Mil m3 '[2020']]]&gt;0,Table7910[[#This Row],[Mrd m3 '[2020']2]],Table7910[[#This Row],[Mrd m3 '[2020']]])*9.77*(-1)</f>
        <v>-413.44041012725421</v>
      </c>
    </row>
    <row r="10" spans="1:7">
      <c r="A10" t="s">
        <v>139</v>
      </c>
      <c r="B10" t="s">
        <v>149</v>
      </c>
      <c r="C10">
        <v>336.61725663716805</v>
      </c>
      <c r="E10" s="2">
        <f>Table7910[[#This Row],[Mil m3 '[2020']]]/1000</f>
        <v>0</v>
      </c>
      <c r="F10" s="2">
        <f>Table7910[[#This Row],[TWh '[2020']]]*1000</f>
        <v>-3288750.5973451314</v>
      </c>
      <c r="G10" s="3">
        <f>IF(Table7910[[#This Row],[Mil m3 '[2020']]]&gt;0,Table7910[[#This Row],[Mrd m3 '[2020']2]],Table7910[[#This Row],[Mrd m3 '[2020']]])*9.77*(-1)</f>
        <v>-3288.7505973451316</v>
      </c>
    </row>
    <row r="11" spans="1:7">
      <c r="A11" t="s">
        <v>140</v>
      </c>
      <c r="B11" t="s">
        <v>150</v>
      </c>
      <c r="C11">
        <f>104.1275049683+57.53730834</f>
        <v>161.66481330830001</v>
      </c>
      <c r="E11" s="2">
        <f>Table7910[[#This Row],[Mil m3 '[2020']]]/1000</f>
        <v>0</v>
      </c>
      <c r="F11" s="2">
        <f>Table7910[[#This Row],[TWh '[2020']]]*1000</f>
        <v>-1579465.226022091</v>
      </c>
      <c r="G11" s="3">
        <f>IF(Table7910[[#This Row],[Mil m3 '[2020']]]&gt;0,Table7910[[#This Row],[Mrd m3 '[2020']2]],Table7910[[#This Row],[Mrd m3 '[2020']]])*9.77*(-1)</f>
        <v>-1579.465226022091</v>
      </c>
    </row>
    <row r="12" spans="1:7">
      <c r="A12" t="s">
        <v>141</v>
      </c>
      <c r="B12" t="s">
        <v>151</v>
      </c>
      <c r="C12">
        <v>60.360121323378813</v>
      </c>
      <c r="E12" s="2">
        <f>Table7910[[#This Row],[Mil m3 '[2020']]]/1000</f>
        <v>0</v>
      </c>
      <c r="F12" s="2">
        <f>Table7910[[#This Row],[TWh '[2020']]]*1000</f>
        <v>-589718.3853294109</v>
      </c>
      <c r="G12" s="3">
        <f>IF(Table7910[[#This Row],[Mil m3 '[2020']]]&gt;0,Table7910[[#This Row],[Mrd m3 '[2020']2]],Table7910[[#This Row],[Mrd m3 '[2020']]])*9.77*(-1)</f>
        <v>-589.71838532941092</v>
      </c>
    </row>
    <row r="13" spans="1:7">
      <c r="A13" t="s">
        <v>142</v>
      </c>
      <c r="B13" t="s">
        <v>152</v>
      </c>
      <c r="C13">
        <f>876.9412368709-C12-C10-C9-C11-C21</f>
        <v>189.7875106376263</v>
      </c>
      <c r="E13" s="2">
        <f>Table7910[[#This Row],[Mil m3 '[2020']]]/1000</f>
        <v>0</v>
      </c>
      <c r="F13" s="2">
        <f>Table7910[[#This Row],[TWh '[2020']]]*1000</f>
        <v>-1854223.9789296088</v>
      </c>
      <c r="G13" s="3">
        <f>IF(Table7910[[#This Row],[Mil m3 '[2020']]]&gt;0,Table7910[[#This Row],[Mrd m3 '[2020']2]],Table7910[[#This Row],[Mrd m3 '[2020']]])*9.77*(-1)</f>
        <v>-1854.2239789296088</v>
      </c>
    </row>
    <row r="14" spans="1:7">
      <c r="A14" t="s">
        <v>155</v>
      </c>
      <c r="B14" t="s">
        <v>156</v>
      </c>
      <c r="C14">
        <f>554.955290969357-423.483407079646-17.7510088495575</f>
        <v>113.72087504015346</v>
      </c>
      <c r="E14" s="2">
        <f>Table7910[[#This Row],[Mil m3 '[2020']]]/1000</f>
        <v>0</v>
      </c>
      <c r="F14" s="2">
        <f>Table7910[[#This Row],[TWh '[2020']]]*1000</f>
        <v>-1111052.9491422991</v>
      </c>
      <c r="G14" s="3">
        <f>IF(Table7910[[#This Row],[Mil m3 '[2020']]]&gt;0,Table7910[[#This Row],[Mrd m3 '[2020']2]],Table7910[[#This Row],[Mrd m3 '[2020']]])*9.77*(-1)</f>
        <v>-1111.0529491422992</v>
      </c>
    </row>
    <row r="15" spans="1:7">
      <c r="A15" t="s">
        <v>40</v>
      </c>
      <c r="B15" t="s">
        <v>69</v>
      </c>
      <c r="C15">
        <v>423.48340707964599</v>
      </c>
      <c r="E15" s="2">
        <f>Table7910[[#This Row],[Mil m3 '[2020']]]/1000</f>
        <v>0</v>
      </c>
      <c r="F15" s="2">
        <f>Table7910[[#This Row],[TWh '[2020']]]*1000</f>
        <v>-4137432.8871681411</v>
      </c>
      <c r="G15" s="3">
        <f>IF(Table7910[[#This Row],[Mil m3 '[2020']]]&gt;0,Table7910[[#This Row],[Mrd m3 '[2020']2]],Table7910[[#This Row],[Mrd m3 '[2020']]])*9.77*(-1)</f>
        <v>-4137.432887168141</v>
      </c>
    </row>
    <row r="16" spans="1:7">
      <c r="A16" t="s">
        <v>49</v>
      </c>
      <c r="B16" t="s">
        <v>78</v>
      </c>
      <c r="C16">
        <v>43.350037499999999</v>
      </c>
      <c r="E16" s="2">
        <f>Table7910[[#This Row],[Mil m3 '[2020']]]/1000</f>
        <v>0</v>
      </c>
      <c r="F16" s="2">
        <f>Table7910[[#This Row],[TWh '[2020']]]*1000</f>
        <v>-423529.86637499998</v>
      </c>
      <c r="G16" s="3">
        <f>IF(Table7910[[#This Row],[Mil m3 '[2020']]]&gt;0,Table7910[[#This Row],[Mrd m3 '[2020']2]],Table7910[[#This Row],[Mrd m3 '[2020']]])*9.77*(-1)</f>
        <v>-423.52986637499998</v>
      </c>
    </row>
    <row r="17" spans="1:9">
      <c r="A17" t="s">
        <v>51</v>
      </c>
      <c r="B17" t="s">
        <v>80</v>
      </c>
      <c r="C17">
        <v>7.7</v>
      </c>
      <c r="E17" s="2">
        <f>Table7910[[#This Row],[Mil m3 '[2020']]]/1000</f>
        <v>0</v>
      </c>
      <c r="F17" s="2">
        <f>Table7910[[#This Row],[TWh '[2020']]]*1000</f>
        <v>-75229</v>
      </c>
      <c r="G17" s="3">
        <f>IF(Table7910[[#This Row],[Mil m3 '[2020']]]&gt;0,Table7910[[#This Row],[Mrd m3 '[2020']2]],Table7910[[#This Row],[Mrd m3 '[2020']]])*9.77*(-1)</f>
        <v>-75.228999999999999</v>
      </c>
    </row>
    <row r="18" spans="1:9">
      <c r="A18" t="s">
        <v>50</v>
      </c>
      <c r="B18" t="s">
        <v>79</v>
      </c>
      <c r="C18">
        <v>3.5904531497162</v>
      </c>
      <c r="E18" s="2">
        <f>Table7910[[#This Row],[Mil m3 '[2020']]]/1000</f>
        <v>0</v>
      </c>
      <c r="F18" s="2">
        <f>Table7910[[#This Row],[TWh '[2020']]]*1000</f>
        <v>-35078.727272727272</v>
      </c>
      <c r="G18" s="3">
        <f>IF(Table7910[[#This Row],[Mil m3 '[2020']]]&gt;0,Table7910[[#This Row],[Mrd m3 '[2020']2]],Table7910[[#This Row],[Mrd m3 '[2020']]])*9.77*(-1)</f>
        <v>-35.078727272727271</v>
      </c>
    </row>
    <row r="19" spans="1:9">
      <c r="A19" t="s">
        <v>94</v>
      </c>
      <c r="B19" t="s">
        <v>158</v>
      </c>
      <c r="C19">
        <v>0.78666131450805166</v>
      </c>
      <c r="E19" s="2">
        <f>Table7910[[#This Row],[Mil m3 '[2020']]]/1000</f>
        <v>0</v>
      </c>
      <c r="F19" s="2">
        <f>Table7910[[#This Row],[TWh '[2020']]]*1000</f>
        <v>-7685.681042743664</v>
      </c>
      <c r="G19" s="3">
        <f>IF(Table7910[[#This Row],[Mil m3 '[2020']]]&gt;0,Table7910[[#This Row],[Mrd m3 '[2020']2]],Table7910[[#This Row],[Mrd m3 '[2020']]])*9.77*(-1)</f>
        <v>-7.6856810427436644</v>
      </c>
    </row>
    <row r="20" spans="1:9">
      <c r="A20" t="s">
        <v>160</v>
      </c>
      <c r="B20" t="s">
        <v>161</v>
      </c>
      <c r="C20">
        <v>58.307923875090665</v>
      </c>
      <c r="E20" s="2">
        <f>Table7910[[#This Row],[Mil m3 '[2020']]]/1000</f>
        <v>0</v>
      </c>
      <c r="F20" s="2">
        <f>Table7910[[#This Row],[TWh '[2020']]]*1000</f>
        <v>-569668.41625963582</v>
      </c>
      <c r="G20" s="3">
        <f>IF(Table7910[[#This Row],[Mil m3 '[2020']]]&gt;0,Table7910[[#This Row],[Mrd m3 '[2020']2]],Table7910[[#This Row],[Mrd m3 '[2020']]])*9.77*(-1)</f>
        <v>-569.66841625963582</v>
      </c>
    </row>
    <row r="21" spans="1:9">
      <c r="A21" t="s">
        <v>162</v>
      </c>
      <c r="B21" t="s">
        <v>163</v>
      </c>
      <c r="C21">
        <f>42.5805321356392+43.613663</f>
        <v>86.194195135639205</v>
      </c>
      <c r="E21" s="2">
        <f>Table7910[[#This Row],[Mil m3 '[2020']]]/1000</f>
        <v>0</v>
      </c>
      <c r="F21" s="2">
        <f>Table7910[[#This Row],[TWh '[2020']]]*1000</f>
        <v>-842117.28647519497</v>
      </c>
      <c r="G21" s="3">
        <f>IF(Table7910[[#This Row],[Mil m3 '[2020']]]&gt;0,Table7910[[#This Row],[Mrd m3 '[2020']2]],Table7910[[#This Row],[Mrd m3 '[2020']]])*9.77*(-1)</f>
        <v>-842.11728647519499</v>
      </c>
    </row>
    <row r="22" spans="1:9">
      <c r="A22" t="s">
        <v>52</v>
      </c>
      <c r="B22" t="s">
        <v>81</v>
      </c>
      <c r="C22">
        <v>17.7510088495575</v>
      </c>
      <c r="E22" s="2">
        <f>Table7910[[#This Row],[Mil m3 '[2020']]]/1000</f>
        <v>0</v>
      </c>
      <c r="F22" s="2">
        <f>Table7910[[#This Row],[TWh '[2020']]]*1000</f>
        <v>-173427.35646017679</v>
      </c>
      <c r="G22" s="3">
        <f>IF(Table7910[[#This Row],[Mil m3 '[2020']]]&gt;0,Table7910[[#This Row],[Mrd m3 '[2020']2]],Table7910[[#This Row],[Mrd m3 '[2020']]])*9.77*(-1)</f>
        <v>-173.42735646017678</v>
      </c>
    </row>
    <row r="24" spans="1:9">
      <c r="A24" t="s">
        <v>79</v>
      </c>
      <c r="B24" t="s">
        <v>121</v>
      </c>
      <c r="I24" t="s">
        <v>122</v>
      </c>
    </row>
    <row r="25" spans="1:9">
      <c r="A25" t="s">
        <v>80</v>
      </c>
      <c r="B25" t="s">
        <v>159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7211D-DC17-4DD6-B657-CA08F8FBC20F}">
  <dimension ref="A1:H109"/>
  <sheetViews>
    <sheetView workbookViewId="0">
      <selection activeCell="D84" sqref="D84"/>
    </sheetView>
  </sheetViews>
  <sheetFormatPr defaultRowHeight="14.4"/>
  <cols>
    <col min="3" max="3" width="20.44140625" customWidth="1"/>
    <col min="4" max="4" width="17.21875" customWidth="1"/>
    <col min="5" max="5" width="16.21875" customWidth="1"/>
    <col min="6" max="6" width="8.77734375" customWidth="1"/>
    <col min="11" max="12" width="10.21875" customWidth="1"/>
  </cols>
  <sheetData>
    <row r="1" spans="1:8">
      <c r="A1" t="s">
        <v>92</v>
      </c>
      <c r="B1" t="s">
        <v>93</v>
      </c>
      <c r="C1" t="s">
        <v>123</v>
      </c>
      <c r="D1" t="s">
        <v>124</v>
      </c>
      <c r="E1" t="s">
        <v>125</v>
      </c>
      <c r="F1" t="s">
        <v>101</v>
      </c>
      <c r="G1" t="s">
        <v>102</v>
      </c>
      <c r="H1" t="s">
        <v>127</v>
      </c>
    </row>
    <row r="2" spans="1:8">
      <c r="A2" t="s">
        <v>41</v>
      </c>
      <c r="B2" t="s">
        <v>21</v>
      </c>
      <c r="C2">
        <v>487.1</v>
      </c>
      <c r="D2">
        <v>549.9</v>
      </c>
      <c r="F2">
        <f>MIN(Table3[[#This Row],[GWh/d '[capacity map']]:[GWh/d '[transparency map']]])*365</f>
        <v>177791.5</v>
      </c>
      <c r="G2">
        <f t="shared" ref="G2:G32" si="0">F2/1000</f>
        <v>177.79150000000001</v>
      </c>
    </row>
    <row r="3" spans="1:8">
      <c r="A3" t="s">
        <v>20</v>
      </c>
      <c r="B3" t="s">
        <v>19</v>
      </c>
      <c r="C3">
        <v>339.96799999999996</v>
      </c>
      <c r="F3">
        <f>MIN(Table3[[#This Row],[GWh/d '[capacity map']]:[GWh/d '[transparency map']]])*365</f>
        <v>124088.31999999999</v>
      </c>
      <c r="G3">
        <f t="shared" si="0"/>
        <v>124.08832</v>
      </c>
    </row>
    <row r="4" spans="1:8">
      <c r="A4" t="s">
        <v>20</v>
      </c>
      <c r="B4" t="s">
        <v>30</v>
      </c>
      <c r="C4">
        <v>153.1</v>
      </c>
      <c r="F4">
        <f>MIN(Table3[[#This Row],[GWh/d '[capacity map']]:[GWh/d '[transparency map']]])*365</f>
        <v>55881.5</v>
      </c>
      <c r="G4">
        <f t="shared" si="0"/>
        <v>55.881500000000003</v>
      </c>
    </row>
    <row r="5" spans="1:8">
      <c r="A5" t="s">
        <v>20</v>
      </c>
      <c r="B5" t="s">
        <v>21</v>
      </c>
      <c r="C5">
        <v>1150</v>
      </c>
      <c r="F5">
        <f>MIN(Table3[[#This Row],[GWh/d '[capacity map']]:[GWh/d '[transparency map']]])*365</f>
        <v>419750</v>
      </c>
      <c r="G5">
        <f t="shared" si="0"/>
        <v>419.75</v>
      </c>
    </row>
    <row r="6" spans="1:8">
      <c r="A6" t="s">
        <v>20</v>
      </c>
      <c r="B6" t="s">
        <v>23</v>
      </c>
      <c r="C6">
        <v>112.5</v>
      </c>
      <c r="F6">
        <f>MIN(Table3[[#This Row],[GWh/d '[capacity map']]:[GWh/d '[transparency map']]])*365</f>
        <v>41062.5</v>
      </c>
      <c r="G6">
        <f t="shared" si="0"/>
        <v>41.0625</v>
      </c>
    </row>
    <row r="7" spans="1:8">
      <c r="A7" t="s">
        <v>20</v>
      </c>
      <c r="B7" t="s">
        <v>29</v>
      </c>
      <c r="C7">
        <v>246.5</v>
      </c>
      <c r="F7">
        <f>MIN(Table3[[#This Row],[GWh/d '[capacity map']]:[GWh/d '[transparency map']]])*365</f>
        <v>89972.5</v>
      </c>
      <c r="G7">
        <f t="shared" si="0"/>
        <v>89.972499999999997</v>
      </c>
    </row>
    <row r="8" spans="1:8">
      <c r="A8" t="s">
        <v>17</v>
      </c>
      <c r="B8" t="s">
        <v>19</v>
      </c>
      <c r="C8">
        <v>322.77</v>
      </c>
      <c r="F8">
        <f>MIN(Table3[[#This Row],[GWh/d '[capacity map']]:[GWh/d '[transparency map']]])*365</f>
        <v>117811.04999999999</v>
      </c>
      <c r="G8">
        <f t="shared" si="0"/>
        <v>117.81104999999999</v>
      </c>
    </row>
    <row r="9" spans="1:8">
      <c r="A9" t="s">
        <v>17</v>
      </c>
      <c r="B9" t="s">
        <v>25</v>
      </c>
      <c r="C9">
        <v>870</v>
      </c>
      <c r="F9">
        <f>MIN(Table3[[#This Row],[GWh/d '[capacity map']]:[GWh/d '[transparency map']]])*365</f>
        <v>317550</v>
      </c>
      <c r="G9">
        <f t="shared" si="0"/>
        <v>317.55</v>
      </c>
    </row>
    <row r="10" spans="1:8">
      <c r="A10" t="s">
        <v>17</v>
      </c>
      <c r="B10" t="s">
        <v>42</v>
      </c>
      <c r="E10">
        <v>41.973541999999995</v>
      </c>
      <c r="F10">
        <f>MIN(Table3[[#This Row],[GWh/d '[capacity map']]:[GWh/d '[transparency map']]])*365</f>
        <v>15320.342829999998</v>
      </c>
      <c r="G10">
        <f t="shared" si="0"/>
        <v>15.320342829999998</v>
      </c>
    </row>
    <row r="11" spans="1:8">
      <c r="A11" t="s">
        <v>17</v>
      </c>
      <c r="B11" t="s">
        <v>18</v>
      </c>
      <c r="C11">
        <v>331.2</v>
      </c>
      <c r="F11">
        <f>MIN(Table3[[#This Row],[GWh/d '[capacity map']]:[GWh/d '[transparency map']]])*365</f>
        <v>120888</v>
      </c>
      <c r="G11">
        <f t="shared" si="0"/>
        <v>120.88800000000001</v>
      </c>
    </row>
    <row r="12" spans="1:8">
      <c r="A12" t="s">
        <v>17</v>
      </c>
      <c r="B12" t="s">
        <v>11</v>
      </c>
      <c r="C12">
        <v>803.4</v>
      </c>
      <c r="D12">
        <v>261.10000000000002</v>
      </c>
      <c r="F12">
        <f>MIN(Table3[[#This Row],[GWh/d '[capacity map']]:[GWh/d '[transparency map']]])*365</f>
        <v>95301.500000000015</v>
      </c>
      <c r="G12">
        <f t="shared" si="0"/>
        <v>95.301500000000019</v>
      </c>
    </row>
    <row r="13" spans="1:8">
      <c r="A13" t="s">
        <v>32</v>
      </c>
      <c r="B13" t="s">
        <v>165</v>
      </c>
      <c r="C13">
        <v>117.8</v>
      </c>
      <c r="F13">
        <f>MIN(Table3[[#This Row],[GWh/d '[capacity map']]:[GWh/d '[transparency map']]])*365</f>
        <v>42997</v>
      </c>
      <c r="G13">
        <f t="shared" si="0"/>
        <v>42.997</v>
      </c>
    </row>
    <row r="14" spans="1:8">
      <c r="A14" t="s">
        <v>32</v>
      </c>
      <c r="B14" t="s">
        <v>45</v>
      </c>
      <c r="C14">
        <v>27.38</v>
      </c>
      <c r="D14">
        <v>33.380000000000003</v>
      </c>
      <c r="F14">
        <f>MIN(Table3[[#This Row],[GWh/d '[capacity map']]:[GWh/d '[transparency map']]])*365</f>
        <v>9993.6999999999989</v>
      </c>
      <c r="G14">
        <f t="shared" si="0"/>
        <v>9.9936999999999987</v>
      </c>
    </row>
    <row r="15" spans="1:8">
      <c r="A15" t="s">
        <v>32</v>
      </c>
      <c r="B15" t="s">
        <v>33</v>
      </c>
      <c r="C15">
        <v>148.15</v>
      </c>
      <c r="F15">
        <f>MIN(Table3[[#This Row],[GWh/d '[capacity map']]:[GWh/d '[transparency map']]])*365</f>
        <v>54074.75</v>
      </c>
      <c r="G15">
        <f t="shared" si="0"/>
        <v>54.074750000000002</v>
      </c>
    </row>
    <row r="16" spans="1:8">
      <c r="A16" t="s">
        <v>32</v>
      </c>
      <c r="B16" t="s">
        <v>31</v>
      </c>
      <c r="C16">
        <v>398.13</v>
      </c>
      <c r="D16">
        <v>467.5</v>
      </c>
      <c r="F16">
        <f>MIN(Table3[[#This Row],[GWh/d '[capacity map']]:[GWh/d '[transparency map']]])*365</f>
        <v>145317.45000000001</v>
      </c>
      <c r="G16">
        <f t="shared" si="0"/>
        <v>145.31745000000001</v>
      </c>
    </row>
    <row r="17" spans="1:7">
      <c r="A17" t="s">
        <v>32</v>
      </c>
      <c r="B17" t="s">
        <v>46</v>
      </c>
      <c r="C17">
        <v>497.16</v>
      </c>
      <c r="D17">
        <v>576</v>
      </c>
      <c r="F17">
        <f>MIN(Table3[[#This Row],[GWh/d '[capacity map']]:[GWh/d '[transparency map']]])*365</f>
        <v>181463.40000000002</v>
      </c>
      <c r="G17">
        <f t="shared" si="0"/>
        <v>181.46340000000004</v>
      </c>
    </row>
    <row r="18" spans="1:7">
      <c r="A18" t="s">
        <v>52</v>
      </c>
      <c r="B18" t="s">
        <v>34</v>
      </c>
      <c r="C18">
        <v>325.39999999999998</v>
      </c>
      <c r="D18">
        <v>325.39999999999998</v>
      </c>
      <c r="F18">
        <f>MIN(Table3[[#This Row],[GWh/d '[capacity map']]:[GWh/d '[transparency map']]])*365</f>
        <v>118770.99999999999</v>
      </c>
      <c r="G18">
        <f t="shared" si="0"/>
        <v>118.77099999999999</v>
      </c>
    </row>
    <row r="19" spans="1:7">
      <c r="A19" t="s">
        <v>52</v>
      </c>
      <c r="B19" t="s">
        <v>27</v>
      </c>
      <c r="C19">
        <v>1203.4999999999998</v>
      </c>
      <c r="D19">
        <v>1203.4999999999998</v>
      </c>
      <c r="F19">
        <f>MIN(Table3[[#This Row],[GWh/d '[capacity map']]:[GWh/d '[transparency map']]])*365</f>
        <v>439277.49999999994</v>
      </c>
      <c r="G19">
        <f t="shared" si="0"/>
        <v>439.27749999999992</v>
      </c>
    </row>
    <row r="20" spans="1:7">
      <c r="A20" t="s">
        <v>52</v>
      </c>
      <c r="B20" t="s">
        <v>38</v>
      </c>
      <c r="E20">
        <v>35.53171072</v>
      </c>
      <c r="F20">
        <f>MIN(Table3[[#This Row],[GWh/d '[capacity map']]:[GWh/d '[transparency map']]])*365</f>
        <v>12969.074412800001</v>
      </c>
      <c r="G20">
        <f t="shared" si="0"/>
        <v>12.969074412800001</v>
      </c>
    </row>
    <row r="21" spans="1:7">
      <c r="A21" t="s">
        <v>22</v>
      </c>
      <c r="B21" t="s">
        <v>19</v>
      </c>
      <c r="C21">
        <v>172.8</v>
      </c>
      <c r="F21">
        <f>MIN(Table3[[#This Row],[GWh/d '[capacity map']]:[GWh/d '[transparency map']]])*365</f>
        <v>63072.000000000007</v>
      </c>
      <c r="G21">
        <f t="shared" si="0"/>
        <v>63.07200000000001</v>
      </c>
    </row>
    <row r="22" spans="1:7">
      <c r="A22" t="s">
        <v>22</v>
      </c>
      <c r="B22" t="s">
        <v>25</v>
      </c>
      <c r="C22">
        <v>100</v>
      </c>
      <c r="F22">
        <f>MIN(Table3[[#This Row],[GWh/d '[capacity map']]:[GWh/d '[transparency map']]])*365</f>
        <v>36500</v>
      </c>
      <c r="G22">
        <f t="shared" si="0"/>
        <v>36.5</v>
      </c>
    </row>
    <row r="23" spans="1:7">
      <c r="A23" t="s">
        <v>22</v>
      </c>
      <c r="B23" t="s">
        <v>21</v>
      </c>
      <c r="C23">
        <v>640.4</v>
      </c>
      <c r="F23">
        <f>MIN(Table3[[#This Row],[GWh/d '[capacity map']]:[GWh/d '[transparency map']]])*365</f>
        <v>233746</v>
      </c>
      <c r="G23">
        <f t="shared" si="0"/>
        <v>233.74600000000001</v>
      </c>
    </row>
    <row r="24" spans="1:7">
      <c r="A24" t="s">
        <v>28</v>
      </c>
      <c r="B24" t="s">
        <v>19</v>
      </c>
      <c r="C24">
        <v>1231.759</v>
      </c>
      <c r="F24">
        <f>MIN(Table3[[#This Row],[GWh/d '[capacity map']]:[GWh/d '[transparency map']]])*365</f>
        <v>449592.03500000003</v>
      </c>
      <c r="G24">
        <f t="shared" si="0"/>
        <v>449.59203500000001</v>
      </c>
    </row>
    <row r="25" spans="1:7">
      <c r="A25" t="s">
        <v>28</v>
      </c>
      <c r="B25" t="s">
        <v>27</v>
      </c>
      <c r="C25">
        <v>28</v>
      </c>
      <c r="F25">
        <f>MIN(Table3[[#This Row],[GWh/d '[capacity map']]:[GWh/d '[transparency map']]])*365</f>
        <v>10220</v>
      </c>
      <c r="G25">
        <f t="shared" si="0"/>
        <v>10.220000000000001</v>
      </c>
    </row>
    <row r="26" spans="1:7">
      <c r="A26" t="s">
        <v>28</v>
      </c>
      <c r="B26" t="s">
        <v>29</v>
      </c>
      <c r="C26">
        <v>1246.4000000000001</v>
      </c>
      <c r="F26">
        <f>MIN(Table3[[#This Row],[GWh/d '[capacity map']]:[GWh/d '[transparency map']]])*365</f>
        <v>454936.00000000006</v>
      </c>
      <c r="G26">
        <f t="shared" si="0"/>
        <v>454.93600000000004</v>
      </c>
    </row>
    <row r="27" spans="1:7">
      <c r="A27" t="s">
        <v>19</v>
      </c>
      <c r="B27" t="s">
        <v>20</v>
      </c>
      <c r="C27">
        <v>344.24799999999993</v>
      </c>
      <c r="F27">
        <f>MIN(Table3[[#This Row],[GWh/d '[capacity map']]:[GWh/d '[transparency map']]])*365</f>
        <v>125650.51999999997</v>
      </c>
      <c r="G27">
        <f t="shared" si="0"/>
        <v>125.65051999999997</v>
      </c>
    </row>
    <row r="28" spans="1:7">
      <c r="A28" t="s">
        <v>19</v>
      </c>
      <c r="B28" t="s">
        <v>17</v>
      </c>
      <c r="C28">
        <v>396.15000000000003</v>
      </c>
      <c r="F28">
        <f>MIN(Table3[[#This Row],[GWh/d '[capacity map']]:[GWh/d '[transparency map']]])*365</f>
        <v>144594.75</v>
      </c>
      <c r="G28">
        <f t="shared" si="0"/>
        <v>144.59475</v>
      </c>
    </row>
    <row r="29" spans="1:7">
      <c r="A29" t="s">
        <v>19</v>
      </c>
      <c r="B29" t="s">
        <v>22</v>
      </c>
      <c r="C29">
        <v>328</v>
      </c>
      <c r="F29">
        <f>MIN(Table3[[#This Row],[GWh/d '[capacity map']]:[GWh/d '[transparency map']]])*365</f>
        <v>119720</v>
      </c>
      <c r="G29">
        <f t="shared" si="0"/>
        <v>119.72</v>
      </c>
    </row>
    <row r="30" spans="1:7">
      <c r="A30" t="s">
        <v>19</v>
      </c>
      <c r="B30" t="s">
        <v>28</v>
      </c>
      <c r="C30">
        <v>1803.77</v>
      </c>
      <c r="F30">
        <f>MIN(Table3[[#This Row],[GWh/d '[capacity map']]:[GWh/d '[transparency map']]])*365</f>
        <v>658376.05000000005</v>
      </c>
      <c r="G30">
        <f t="shared" si="0"/>
        <v>658.37605000000008</v>
      </c>
    </row>
    <row r="31" spans="1:7">
      <c r="A31" t="s">
        <v>19</v>
      </c>
      <c r="B31" t="s">
        <v>26</v>
      </c>
      <c r="C31">
        <v>136.11199999999999</v>
      </c>
      <c r="F31">
        <f>MIN(Table3[[#This Row],[GWh/d '[capacity map']]:[GWh/d '[transparency map']]])*365</f>
        <v>49680.88</v>
      </c>
      <c r="G31">
        <f t="shared" si="0"/>
        <v>49.680879999999995</v>
      </c>
    </row>
    <row r="32" spans="1:7">
      <c r="A32" t="s">
        <v>19</v>
      </c>
      <c r="B32" t="s">
        <v>25</v>
      </c>
      <c r="C32">
        <v>613.71600000000001</v>
      </c>
      <c r="F32">
        <f>MIN(Table3[[#This Row],[GWh/d '[capacity map']]:[GWh/d '[transparency map']]])*365</f>
        <v>224006.34</v>
      </c>
      <c r="G32">
        <f t="shared" si="0"/>
        <v>224.00633999999999</v>
      </c>
    </row>
    <row r="33" spans="1:8">
      <c r="A33" t="s">
        <v>19</v>
      </c>
      <c r="B33" t="s">
        <v>42</v>
      </c>
      <c r="C33">
        <v>26.71</v>
      </c>
      <c r="F33">
        <f>MIN(Table3[[#This Row],[GWh/d '[capacity map']]:[GWh/d '[transparency map']]])*365</f>
        <v>9749.15</v>
      </c>
      <c r="G33">
        <f t="shared" ref="G33:G64" si="1">F33/1000</f>
        <v>9.7491500000000002</v>
      </c>
    </row>
    <row r="34" spans="1:8">
      <c r="A34" t="s">
        <v>19</v>
      </c>
      <c r="B34" t="s">
        <v>18</v>
      </c>
      <c r="C34">
        <v>1628.3030000000001</v>
      </c>
      <c r="F34">
        <f>MIN(Table3[[#This Row],[GWh/d '[capacity map']]:[GWh/d '[transparency map']]])*365</f>
        <v>594330.59500000009</v>
      </c>
      <c r="G34">
        <f t="shared" si="1"/>
        <v>594.33059500000013</v>
      </c>
    </row>
    <row r="35" spans="1:8">
      <c r="A35" t="s">
        <v>19</v>
      </c>
      <c r="B35" t="s">
        <v>27</v>
      </c>
      <c r="C35">
        <v>233.5</v>
      </c>
      <c r="F35">
        <f>MIN(Table3[[#This Row],[GWh/d '[capacity map']]:[GWh/d '[transparency map']]])*365</f>
        <v>85227.5</v>
      </c>
      <c r="G35">
        <f t="shared" si="1"/>
        <v>85.227500000000006</v>
      </c>
    </row>
    <row r="36" spans="1:8">
      <c r="A36" t="s">
        <v>26</v>
      </c>
      <c r="B36" t="s">
        <v>19</v>
      </c>
      <c r="C36">
        <v>4.1189999999999998</v>
      </c>
      <c r="F36">
        <f>MIN(Table3[[#This Row],[GWh/d '[capacity map']]:[GWh/d '[transparency map']]])*365</f>
        <v>1503.4349999999999</v>
      </c>
      <c r="G36">
        <f t="shared" si="1"/>
        <v>1.5034349999999999</v>
      </c>
    </row>
    <row r="37" spans="1:8">
      <c r="A37" t="s">
        <v>26</v>
      </c>
      <c r="B37" t="s">
        <v>82</v>
      </c>
      <c r="E37">
        <v>41</v>
      </c>
      <c r="F37">
        <f>MIN(Table3[[#This Row],[GWh/d '[capacity map']]:[GWh/d '[transparency map']]])*365</f>
        <v>14965</v>
      </c>
      <c r="G37">
        <f t="shared" si="1"/>
        <v>14.965</v>
      </c>
      <c r="H37" t="s">
        <v>130</v>
      </c>
    </row>
    <row r="38" spans="1:8">
      <c r="A38" t="s">
        <v>49</v>
      </c>
      <c r="B38" t="s">
        <v>36</v>
      </c>
      <c r="C38">
        <v>731.7</v>
      </c>
      <c r="D38">
        <v>337.1</v>
      </c>
      <c r="F38">
        <f>MIN(Table3[[#This Row],[GWh/d '[capacity map']]:[GWh/d '[transparency map']]])*365</f>
        <v>123041.50000000001</v>
      </c>
      <c r="G38">
        <f t="shared" si="1"/>
        <v>123.04150000000001</v>
      </c>
    </row>
    <row r="39" spans="1:8">
      <c r="A39" t="s">
        <v>49</v>
      </c>
      <c r="B39" t="s">
        <v>94</v>
      </c>
      <c r="D39">
        <v>337.1</v>
      </c>
      <c r="F39">
        <f>MIN(Table3[[#This Row],[GWh/d '[capacity map']]:[GWh/d '[transparency map']]])*365</f>
        <v>123041.50000000001</v>
      </c>
      <c r="G39">
        <f t="shared" si="1"/>
        <v>123.04150000000001</v>
      </c>
      <c r="H39" t="s">
        <v>131</v>
      </c>
    </row>
    <row r="40" spans="1:8">
      <c r="A40" t="s">
        <v>49</v>
      </c>
      <c r="B40" t="s">
        <v>50</v>
      </c>
      <c r="C40">
        <v>1138.0999999999999</v>
      </c>
      <c r="D40">
        <v>1154</v>
      </c>
      <c r="F40">
        <f>MIN(Table3[[#This Row],[GWh/d '[capacity map']]:[GWh/d '[transparency map']]])*365</f>
        <v>415406.49999999994</v>
      </c>
      <c r="G40">
        <f t="shared" si="1"/>
        <v>415.40649999999994</v>
      </c>
      <c r="H40" t="s">
        <v>129</v>
      </c>
    </row>
    <row r="41" spans="1:8">
      <c r="A41" t="s">
        <v>53</v>
      </c>
      <c r="B41" t="s">
        <v>54</v>
      </c>
      <c r="E41">
        <v>61.341321000000001</v>
      </c>
      <c r="F41">
        <f>MIN(Table3[[#This Row],[GWh/d '[capacity map']]:[GWh/d '[transparency map']]])*365</f>
        <v>22389.582165</v>
      </c>
      <c r="G41">
        <f t="shared" si="1"/>
        <v>22.389582165</v>
      </c>
    </row>
    <row r="42" spans="1:8">
      <c r="A42" t="s">
        <v>53</v>
      </c>
      <c r="B42" t="s">
        <v>35</v>
      </c>
      <c r="E42">
        <v>67.7</v>
      </c>
      <c r="F42">
        <f>MIN(Table3[[#This Row],[GWh/d '[capacity map']]:[GWh/d '[transparency map']]])*365</f>
        <v>24710.5</v>
      </c>
      <c r="G42">
        <f t="shared" si="1"/>
        <v>24.7105</v>
      </c>
    </row>
    <row r="43" spans="1:8">
      <c r="A43" t="s">
        <v>165</v>
      </c>
      <c r="B43" t="s">
        <v>41</v>
      </c>
      <c r="C43">
        <v>487.1</v>
      </c>
      <c r="D43">
        <v>549.9</v>
      </c>
      <c r="F43">
        <f>MIN(Table3[[#This Row],[GWh/d '[capacity map']]:[GWh/d '[transparency map']]])*365</f>
        <v>177791.5</v>
      </c>
      <c r="G43">
        <f t="shared" si="1"/>
        <v>177.79150000000001</v>
      </c>
      <c r="H43" t="s">
        <v>128</v>
      </c>
    </row>
    <row r="44" spans="1:8">
      <c r="A44" t="s">
        <v>165</v>
      </c>
      <c r="B44" t="s">
        <v>32</v>
      </c>
      <c r="C44">
        <v>64.819999999999993</v>
      </c>
      <c r="F44">
        <f>MIN(Table3[[#This Row],[GWh/d '[capacity map']]:[GWh/d '[transparency map']]])*365</f>
        <v>23659.3</v>
      </c>
      <c r="G44">
        <f t="shared" si="1"/>
        <v>23.659299999999998</v>
      </c>
    </row>
    <row r="45" spans="1:8">
      <c r="A45" t="s">
        <v>36</v>
      </c>
      <c r="B45" t="s">
        <v>25</v>
      </c>
      <c r="C45">
        <v>224.4</v>
      </c>
      <c r="F45">
        <f>MIN(Table3[[#This Row],[GWh/d '[capacity map']]:[GWh/d '[transparency map']]])*365</f>
        <v>81906</v>
      </c>
      <c r="G45">
        <f t="shared" si="1"/>
        <v>81.906000000000006</v>
      </c>
    </row>
    <row r="46" spans="1:8">
      <c r="A46" t="s">
        <v>36</v>
      </c>
      <c r="B46" t="s">
        <v>37</v>
      </c>
      <c r="C46">
        <v>144</v>
      </c>
      <c r="F46">
        <f>MIN(Table3[[#This Row],[GWh/d '[capacity map']]:[GWh/d '[transparency map']]])*365</f>
        <v>52560</v>
      </c>
      <c r="G46">
        <f t="shared" si="1"/>
        <v>52.56</v>
      </c>
    </row>
    <row r="47" spans="1:8">
      <c r="A47" t="s">
        <v>54</v>
      </c>
      <c r="B47" t="s">
        <v>53</v>
      </c>
      <c r="E47">
        <v>32.802250000000008</v>
      </c>
      <c r="F47">
        <f>MIN(Table3[[#This Row],[GWh/d '[capacity map']]:[GWh/d '[transparency map']]])*365</f>
        <v>11972.821250000003</v>
      </c>
      <c r="G47">
        <f t="shared" si="1"/>
        <v>11.972821250000003</v>
      </c>
    </row>
    <row r="48" spans="1:8">
      <c r="A48" t="s">
        <v>25</v>
      </c>
      <c r="B48" t="s">
        <v>17</v>
      </c>
      <c r="C48">
        <v>270</v>
      </c>
      <c r="F48">
        <f>MIN(Table3[[#This Row],[GWh/d '[capacity map']]:[GWh/d '[transparency map']]])*365</f>
        <v>98550</v>
      </c>
      <c r="G48">
        <f t="shared" si="1"/>
        <v>98.55</v>
      </c>
    </row>
    <row r="49" spans="1:7">
      <c r="A49" t="s">
        <v>25</v>
      </c>
      <c r="B49" t="s">
        <v>22</v>
      </c>
      <c r="C49">
        <v>223</v>
      </c>
      <c r="F49">
        <f>MIN(Table3[[#This Row],[GWh/d '[capacity map']]:[GWh/d '[transparency map']]])*365</f>
        <v>81395</v>
      </c>
      <c r="G49">
        <f t="shared" si="1"/>
        <v>81.394999999999996</v>
      </c>
    </row>
    <row r="50" spans="1:7">
      <c r="A50" t="s">
        <v>25</v>
      </c>
      <c r="B50" t="s">
        <v>36</v>
      </c>
      <c r="C50">
        <v>164.572</v>
      </c>
      <c r="F50">
        <f>MIN(Table3[[#This Row],[GWh/d '[capacity map']]:[GWh/d '[transparency map']]])*365</f>
        <v>60068.78</v>
      </c>
      <c r="G50">
        <f t="shared" si="1"/>
        <v>60.068779999999997</v>
      </c>
    </row>
    <row r="51" spans="1:7">
      <c r="A51" t="s">
        <v>24</v>
      </c>
      <c r="B51" t="s">
        <v>30</v>
      </c>
      <c r="C51">
        <v>48.57</v>
      </c>
      <c r="F51">
        <f>MIN(Table3[[#This Row],[GWh/d '[capacity map']]:[GWh/d '[transparency map']]])*365</f>
        <v>17728.05</v>
      </c>
      <c r="G51">
        <f t="shared" si="1"/>
        <v>17.72805</v>
      </c>
    </row>
    <row r="52" spans="1:7">
      <c r="A52" t="s">
        <v>24</v>
      </c>
      <c r="B52" t="s">
        <v>23</v>
      </c>
      <c r="C52">
        <v>7.7</v>
      </c>
      <c r="F52">
        <f>MIN(Table3[[#This Row],[GWh/d '[capacity map']]:[GWh/d '[transparency map']]])*365</f>
        <v>2810.5</v>
      </c>
      <c r="G52">
        <f t="shared" si="1"/>
        <v>2.8105000000000002</v>
      </c>
    </row>
    <row r="53" spans="1:7">
      <c r="A53" t="s">
        <v>30</v>
      </c>
      <c r="B53" t="s">
        <v>24</v>
      </c>
      <c r="C53">
        <v>77.400000000000006</v>
      </c>
      <c r="F53">
        <f>MIN(Table3[[#This Row],[GWh/d '[capacity map']]:[GWh/d '[transparency map']]])*365</f>
        <v>28251.000000000004</v>
      </c>
      <c r="G53">
        <f t="shared" si="1"/>
        <v>28.251000000000005</v>
      </c>
    </row>
    <row r="54" spans="1:7">
      <c r="A54" t="s">
        <v>30</v>
      </c>
      <c r="B54" t="s">
        <v>33</v>
      </c>
      <c r="C54">
        <v>77.5</v>
      </c>
      <c r="F54">
        <f>MIN(Table3[[#This Row],[GWh/d '[capacity map']]:[GWh/d '[transparency map']]])*365</f>
        <v>28287.5</v>
      </c>
      <c r="G54">
        <f t="shared" si="1"/>
        <v>28.287500000000001</v>
      </c>
    </row>
    <row r="55" spans="1:7">
      <c r="A55" t="s">
        <v>30</v>
      </c>
      <c r="B55" t="s">
        <v>31</v>
      </c>
      <c r="C55">
        <v>142</v>
      </c>
      <c r="D55">
        <v>142</v>
      </c>
      <c r="F55">
        <f>MIN(Table3[[#This Row],[GWh/d '[capacity map']]:[GWh/d '[transparency map']]])*365</f>
        <v>51830</v>
      </c>
      <c r="G55">
        <f t="shared" si="1"/>
        <v>51.83</v>
      </c>
    </row>
    <row r="56" spans="1:7">
      <c r="A56" t="s">
        <v>30</v>
      </c>
      <c r="B56" t="s">
        <v>29</v>
      </c>
      <c r="C56">
        <v>50.883000000000003</v>
      </c>
      <c r="F56">
        <f>MIN(Table3[[#This Row],[GWh/d '[capacity map']]:[GWh/d '[transparency map']]])*365</f>
        <v>18572.295000000002</v>
      </c>
      <c r="G56">
        <f t="shared" si="1"/>
        <v>18.572295</v>
      </c>
    </row>
    <row r="57" spans="1:7">
      <c r="A57" t="s">
        <v>21</v>
      </c>
      <c r="B57" t="s">
        <v>20</v>
      </c>
      <c r="C57">
        <v>193.5</v>
      </c>
      <c r="F57">
        <f>MIN(Table3[[#This Row],[GWh/d '[capacity map']]:[GWh/d '[transparency map']]])*365</f>
        <v>70627.5</v>
      </c>
      <c r="G57">
        <f t="shared" si="1"/>
        <v>70.627499999999998</v>
      </c>
    </row>
    <row r="58" spans="1:7">
      <c r="A58" t="s">
        <v>21</v>
      </c>
      <c r="B58" t="s">
        <v>22</v>
      </c>
      <c r="C58">
        <v>431.4</v>
      </c>
      <c r="F58">
        <f>MIN(Table3[[#This Row],[GWh/d '[capacity map']]:[GWh/d '[transparency map']]])*365</f>
        <v>157461</v>
      </c>
      <c r="G58">
        <f t="shared" si="1"/>
        <v>157.46100000000001</v>
      </c>
    </row>
    <row r="59" spans="1:7">
      <c r="A59" t="s">
        <v>21</v>
      </c>
      <c r="B59" t="s">
        <v>23</v>
      </c>
      <c r="C59">
        <v>28.5</v>
      </c>
      <c r="F59">
        <f>MIN(Table3[[#This Row],[GWh/d '[capacity map']]:[GWh/d '[transparency map']]])*365</f>
        <v>10402.5</v>
      </c>
      <c r="G59">
        <f t="shared" si="1"/>
        <v>10.4025</v>
      </c>
    </row>
    <row r="60" spans="1:7">
      <c r="A60" t="s">
        <v>34</v>
      </c>
      <c r="B60" t="s">
        <v>35</v>
      </c>
      <c r="C60">
        <v>67.599999999999994</v>
      </c>
      <c r="F60">
        <f>MIN(Table3[[#This Row],[GWh/d '[capacity map']]:[GWh/d '[transparency map']]])*365</f>
        <v>24673.999999999996</v>
      </c>
      <c r="G60">
        <f t="shared" si="1"/>
        <v>24.673999999999996</v>
      </c>
    </row>
    <row r="61" spans="1:7">
      <c r="A61" t="s">
        <v>34</v>
      </c>
      <c r="B61" t="s">
        <v>40</v>
      </c>
      <c r="C61">
        <v>114.2</v>
      </c>
      <c r="F61">
        <f>MIN(Table3[[#This Row],[GWh/d '[capacity map']]:[GWh/d '[transparency map']]])*365</f>
        <v>41683</v>
      </c>
      <c r="G61">
        <f t="shared" si="1"/>
        <v>41.683</v>
      </c>
    </row>
    <row r="62" spans="1:7">
      <c r="A62" t="s">
        <v>42</v>
      </c>
      <c r="B62" t="s">
        <v>17</v>
      </c>
      <c r="E62">
        <v>41.973541999999995</v>
      </c>
      <c r="F62">
        <f>MIN(Table3[[#This Row],[GWh/d '[capacity map']]:[GWh/d '[transparency map']]])*365</f>
        <v>15320.342829999998</v>
      </c>
      <c r="G62">
        <f t="shared" si="1"/>
        <v>15.320342829999998</v>
      </c>
    </row>
    <row r="63" spans="1:7">
      <c r="A63" t="s">
        <v>35</v>
      </c>
      <c r="B63" t="s">
        <v>53</v>
      </c>
      <c r="E63">
        <v>67.7</v>
      </c>
      <c r="F63">
        <f>MIN(Table3[[#This Row],[GWh/d '[capacity map']]:[GWh/d '[transparency map']]])*365</f>
        <v>24710.5</v>
      </c>
      <c r="G63">
        <f t="shared" si="1"/>
        <v>24.7105</v>
      </c>
    </row>
    <row r="64" spans="1:7">
      <c r="A64" t="s">
        <v>35</v>
      </c>
      <c r="B64" t="s">
        <v>34</v>
      </c>
      <c r="C64">
        <v>65.099999999999994</v>
      </c>
      <c r="F64">
        <f>MIN(Table3[[#This Row],[GWh/d '[capacity map']]:[GWh/d '[transparency map']]])*365</f>
        <v>23761.499999999996</v>
      </c>
      <c r="G64">
        <f t="shared" si="1"/>
        <v>23.761499999999998</v>
      </c>
    </row>
    <row r="65" spans="1:7">
      <c r="A65" t="s">
        <v>35</v>
      </c>
      <c r="B65" t="s">
        <v>40</v>
      </c>
      <c r="C65">
        <v>85</v>
      </c>
      <c r="D65">
        <v>118</v>
      </c>
      <c r="F65">
        <f>MIN(Table3[[#This Row],[GWh/d '[capacity map']]:[GWh/d '[transparency map']]])*365</f>
        <v>31025</v>
      </c>
      <c r="G65">
        <f t="shared" ref="G65:G95" si="2">F65/1000</f>
        <v>31.024999999999999</v>
      </c>
    </row>
    <row r="66" spans="1:7">
      <c r="A66" t="s">
        <v>51</v>
      </c>
      <c r="B66" t="s">
        <v>21</v>
      </c>
      <c r="C66">
        <v>475.8</v>
      </c>
      <c r="D66">
        <v>493.7</v>
      </c>
      <c r="F66">
        <f>MIN(Table3[[#This Row],[GWh/d '[capacity map']]:[GWh/d '[transparency map']]])*365</f>
        <v>173667</v>
      </c>
      <c r="G66">
        <f t="shared" si="2"/>
        <v>173.667</v>
      </c>
    </row>
    <row r="67" spans="1:7">
      <c r="A67" t="s">
        <v>94</v>
      </c>
      <c r="B67" t="s">
        <v>36</v>
      </c>
      <c r="D67">
        <v>442.8</v>
      </c>
      <c r="F67">
        <f>MIN(Table3[[#This Row],[GWh/d '[capacity map']]:[GWh/d '[transparency map']]])*365</f>
        <v>161622</v>
      </c>
      <c r="G67">
        <f t="shared" si="2"/>
        <v>161.62200000000001</v>
      </c>
    </row>
    <row r="68" spans="1:7">
      <c r="A68" t="s">
        <v>39</v>
      </c>
      <c r="B68" t="s">
        <v>33</v>
      </c>
      <c r="C68">
        <v>2.2000000000000002</v>
      </c>
      <c r="F68">
        <f>MIN(Table3[[#This Row],[GWh/d '[capacity map']]:[GWh/d '[transparency map']]])*365</f>
        <v>803.00000000000011</v>
      </c>
      <c r="G68">
        <f t="shared" si="2"/>
        <v>0.80300000000000016</v>
      </c>
    </row>
    <row r="69" spans="1:7">
      <c r="A69" t="s">
        <v>39</v>
      </c>
      <c r="B69" t="s">
        <v>38</v>
      </c>
      <c r="E69">
        <v>80.846503979999994</v>
      </c>
      <c r="F69">
        <f>MIN(Table3[[#This Row],[GWh/d '[capacity map']]:[GWh/d '[transparency map']]])*365</f>
        <v>29508.973952699998</v>
      </c>
      <c r="G69">
        <f t="shared" si="2"/>
        <v>29.5089739527</v>
      </c>
    </row>
    <row r="70" spans="1:7">
      <c r="A70" t="s">
        <v>18</v>
      </c>
      <c r="B70" t="s">
        <v>17</v>
      </c>
      <c r="C70">
        <v>1397.2</v>
      </c>
      <c r="F70">
        <f>MIN(Table3[[#This Row],[GWh/d '[capacity map']]:[GWh/d '[transparency map']]])*365</f>
        <v>509978</v>
      </c>
      <c r="G70">
        <f t="shared" si="2"/>
        <v>509.97800000000001</v>
      </c>
    </row>
    <row r="71" spans="1:7">
      <c r="A71" t="s">
        <v>18</v>
      </c>
      <c r="B71" t="s">
        <v>19</v>
      </c>
      <c r="C71">
        <v>1925.7729999999999</v>
      </c>
      <c r="F71">
        <f>MIN(Table3[[#This Row],[GWh/d '[capacity map']]:[GWh/d '[transparency map']]])*365</f>
        <v>702907.14500000002</v>
      </c>
      <c r="G71">
        <f t="shared" si="2"/>
        <v>702.90714500000001</v>
      </c>
    </row>
    <row r="72" spans="1:7">
      <c r="A72" t="s">
        <v>18</v>
      </c>
      <c r="B72" t="s">
        <v>11</v>
      </c>
      <c r="C72">
        <v>494.4</v>
      </c>
      <c r="F72">
        <f>MIN(Table3[[#This Row],[GWh/d '[capacity map']]:[GWh/d '[transparency map']]])*365</f>
        <v>180456</v>
      </c>
      <c r="G72">
        <f t="shared" si="2"/>
        <v>180.45599999999999</v>
      </c>
    </row>
    <row r="73" spans="1:7">
      <c r="A73" t="s">
        <v>48</v>
      </c>
      <c r="B73" t="s">
        <v>17</v>
      </c>
      <c r="C73">
        <v>488</v>
      </c>
      <c r="D73">
        <v>459.6</v>
      </c>
      <c r="F73">
        <f>MIN(Table3[[#This Row],[GWh/d '[capacity map']]:[GWh/d '[transparency map']]])*365</f>
        <v>167754</v>
      </c>
      <c r="G73">
        <f t="shared" si="2"/>
        <v>167.75399999999999</v>
      </c>
    </row>
    <row r="74" spans="1:7">
      <c r="A74" t="s">
        <v>48</v>
      </c>
      <c r="B74" t="s">
        <v>19</v>
      </c>
      <c r="C74">
        <v>2210.5639999999999</v>
      </c>
      <c r="D74">
        <v>1247</v>
      </c>
      <c r="F74">
        <f>MIN(Table3[[#This Row],[GWh/d '[capacity map']]:[GWh/d '[transparency map']]])*365</f>
        <v>455155</v>
      </c>
      <c r="G74">
        <f t="shared" si="2"/>
        <v>455.15499999999997</v>
      </c>
    </row>
    <row r="75" spans="1:7">
      <c r="A75" t="s">
        <v>48</v>
      </c>
      <c r="B75" t="s">
        <v>25</v>
      </c>
      <c r="C75">
        <v>570</v>
      </c>
      <c r="D75">
        <v>568.5</v>
      </c>
      <c r="F75">
        <f>MIN(Table3[[#This Row],[GWh/d '[capacity map']]:[GWh/d '[transparency map']]])*365</f>
        <v>207502.5</v>
      </c>
      <c r="G75">
        <f t="shared" si="2"/>
        <v>207.5025</v>
      </c>
    </row>
    <row r="76" spans="1:7">
      <c r="A76" t="s">
        <v>48</v>
      </c>
      <c r="B76" t="s">
        <v>18</v>
      </c>
      <c r="D76">
        <v>963.6</v>
      </c>
      <c r="F76">
        <f>MIN(Table3[[#This Row],[GWh/d '[capacity map']]:[GWh/d '[transparency map']]])*365</f>
        <v>351714</v>
      </c>
      <c r="G76">
        <f t="shared" si="2"/>
        <v>351.714</v>
      </c>
    </row>
    <row r="77" spans="1:7">
      <c r="A77" t="s">
        <v>48</v>
      </c>
      <c r="B77" t="s">
        <v>11</v>
      </c>
      <c r="C77">
        <v>1499.1</v>
      </c>
      <c r="D77">
        <v>1406</v>
      </c>
      <c r="F77">
        <f>MIN(Table3[[#This Row],[GWh/d '[capacity map']]:[GWh/d '[transparency map']]])*365</f>
        <v>513190</v>
      </c>
      <c r="G77">
        <f t="shared" si="2"/>
        <v>513.19000000000005</v>
      </c>
    </row>
    <row r="78" spans="1:7">
      <c r="A78" t="s">
        <v>27</v>
      </c>
      <c r="B78" t="s">
        <v>19</v>
      </c>
      <c r="C78">
        <v>931.6</v>
      </c>
      <c r="F78">
        <f>MIN(Table3[[#This Row],[GWh/d '[capacity map']]:[GWh/d '[transparency map']]])*365</f>
        <v>340034</v>
      </c>
      <c r="G78">
        <f t="shared" si="2"/>
        <v>340.03399999999999</v>
      </c>
    </row>
    <row r="79" spans="1:7">
      <c r="A79" t="s">
        <v>37</v>
      </c>
      <c r="B79" t="s">
        <v>36</v>
      </c>
      <c r="C79">
        <v>80</v>
      </c>
      <c r="F79">
        <f>MIN(Table3[[#This Row],[GWh/d '[capacity map']]:[GWh/d '[transparency map']]])*365</f>
        <v>29200</v>
      </c>
      <c r="G79">
        <f t="shared" si="2"/>
        <v>29.2</v>
      </c>
    </row>
    <row r="80" spans="1:7">
      <c r="A80" t="s">
        <v>33</v>
      </c>
      <c r="B80" t="s">
        <v>32</v>
      </c>
      <c r="C80">
        <v>805.75000000000011</v>
      </c>
      <c r="F80">
        <f>MIN(Table3[[#This Row],[GWh/d '[capacity map']]:[GWh/d '[transparency map']]])*365</f>
        <v>294098.75000000006</v>
      </c>
      <c r="G80">
        <f t="shared" si="2"/>
        <v>294.09875000000005</v>
      </c>
    </row>
    <row r="81" spans="1:8">
      <c r="A81" t="s">
        <v>33</v>
      </c>
      <c r="B81" t="s">
        <v>30</v>
      </c>
      <c r="C81">
        <v>50.3</v>
      </c>
      <c r="F81">
        <f>MIN(Table3[[#This Row],[GWh/d '[capacity map']]:[GWh/d '[transparency map']]])*365</f>
        <v>18359.5</v>
      </c>
      <c r="G81">
        <f t="shared" si="2"/>
        <v>18.359500000000001</v>
      </c>
    </row>
    <row r="82" spans="1:8">
      <c r="A82" t="s">
        <v>33</v>
      </c>
      <c r="B82" t="s">
        <v>39</v>
      </c>
      <c r="C82">
        <v>16.100000000000001</v>
      </c>
      <c r="E82">
        <v>55.7</v>
      </c>
      <c r="F82">
        <f>MIN(Table3[[#This Row],[GWh/d '[capacity map']]:[GWh/d '[transparency map']]])*365</f>
        <v>5876.5000000000009</v>
      </c>
      <c r="G82">
        <f t="shared" si="2"/>
        <v>5.8765000000000009</v>
      </c>
    </row>
    <row r="83" spans="1:8">
      <c r="A83" t="s">
        <v>33</v>
      </c>
      <c r="B83" t="s">
        <v>38</v>
      </c>
      <c r="C83">
        <v>122.2</v>
      </c>
      <c r="F83">
        <f>MIN(Table3[[#This Row],[GWh/d '[capacity map']]:[GWh/d '[transparency map']]])*365</f>
        <v>44603</v>
      </c>
      <c r="G83">
        <f t="shared" si="2"/>
        <v>44.603000000000002</v>
      </c>
    </row>
    <row r="84" spans="1:8">
      <c r="A84" t="s">
        <v>31</v>
      </c>
      <c r="B84" t="s">
        <v>44</v>
      </c>
      <c r="C84">
        <v>17.98</v>
      </c>
      <c r="F84">
        <f>MIN(Table3[[#This Row],[GWh/d '[capacity map']]:[GWh/d '[transparency map']]])*365</f>
        <v>6562.7</v>
      </c>
      <c r="G84">
        <f t="shared" si="2"/>
        <v>6.5626999999999995</v>
      </c>
    </row>
    <row r="85" spans="1:8">
      <c r="A85" t="s">
        <v>31</v>
      </c>
      <c r="B85" t="s">
        <v>32</v>
      </c>
      <c r="C85">
        <v>335.26</v>
      </c>
      <c r="F85">
        <f>MIN(Table3[[#This Row],[GWh/d '[capacity map']]:[GWh/d '[transparency map']]])*365</f>
        <v>122369.9</v>
      </c>
      <c r="G85">
        <f t="shared" si="2"/>
        <v>122.3699</v>
      </c>
    </row>
    <row r="86" spans="1:8">
      <c r="A86" t="s">
        <v>31</v>
      </c>
      <c r="B86" t="s">
        <v>30</v>
      </c>
      <c r="D86">
        <v>245.8</v>
      </c>
      <c r="F86">
        <f>MIN(Table3[[#This Row],[GWh/d '[capacity map']]:[GWh/d '[transparency map']]])*365</f>
        <v>89717</v>
      </c>
      <c r="G86">
        <f t="shared" si="2"/>
        <v>89.716999999999999</v>
      </c>
    </row>
    <row r="87" spans="1:8">
      <c r="A87" t="s">
        <v>40</v>
      </c>
      <c r="B87" t="s">
        <v>52</v>
      </c>
      <c r="C87">
        <v>1203.4999999999998</v>
      </c>
      <c r="F87">
        <f>MIN(Table3[[#This Row],[GWh/d '[capacity map']]:[GWh/d '[transparency map']]])*365</f>
        <v>439277.49999999994</v>
      </c>
      <c r="G87">
        <f t="shared" si="2"/>
        <v>439.27749999999992</v>
      </c>
    </row>
    <row r="88" spans="1:8">
      <c r="A88" t="s">
        <v>40</v>
      </c>
      <c r="B88" t="s">
        <v>19</v>
      </c>
      <c r="C88">
        <v>1742</v>
      </c>
      <c r="D88">
        <v>1406</v>
      </c>
      <c r="F88">
        <f>MIN(Table3[[#This Row],[GWh/d '[capacity map']]:[GWh/d '[transparency map']]])*365</f>
        <v>513190</v>
      </c>
      <c r="G88">
        <f t="shared" si="2"/>
        <v>513.19000000000005</v>
      </c>
    </row>
    <row r="89" spans="1:8">
      <c r="A89" t="s">
        <v>40</v>
      </c>
      <c r="B89" t="s">
        <v>54</v>
      </c>
      <c r="C89">
        <v>220</v>
      </c>
      <c r="D89">
        <v>220</v>
      </c>
      <c r="F89">
        <f>MIN(Table3[[#This Row],[GWh/d '[capacity map']]:[GWh/d '[transparency map']]])*365</f>
        <v>80300</v>
      </c>
      <c r="G89">
        <f t="shared" si="2"/>
        <v>80.3</v>
      </c>
    </row>
    <row r="90" spans="1:8">
      <c r="A90" t="s">
        <v>40</v>
      </c>
      <c r="B90" t="s">
        <v>35</v>
      </c>
      <c r="C90">
        <v>168</v>
      </c>
      <c r="D90">
        <v>168</v>
      </c>
      <c r="F90">
        <f>MIN(Table3[[#This Row],[GWh/d '[capacity map']]:[GWh/d '[transparency map']]])*365</f>
        <v>61320</v>
      </c>
      <c r="G90">
        <f t="shared" si="2"/>
        <v>61.32</v>
      </c>
    </row>
    <row r="91" spans="1:8">
      <c r="A91" t="s">
        <v>40</v>
      </c>
      <c r="B91" t="s">
        <v>46</v>
      </c>
      <c r="E91">
        <v>958.9</v>
      </c>
      <c r="F91">
        <f>MIN(Table3[[#This Row],[GWh/d '[capacity map']]:[GWh/d '[transparency map']]])*365</f>
        <v>349998.5</v>
      </c>
      <c r="G91">
        <f t="shared" si="2"/>
        <v>349.99849999999998</v>
      </c>
      <c r="H91" t="s">
        <v>126</v>
      </c>
    </row>
    <row r="92" spans="1:8">
      <c r="A92" t="s">
        <v>40</v>
      </c>
      <c r="B92" t="s">
        <v>38</v>
      </c>
      <c r="D92">
        <v>1334</v>
      </c>
      <c r="E92">
        <v>5459.5088498999994</v>
      </c>
      <c r="F92">
        <f>MIN(Table3[[#This Row],[GWh/d '[capacity map']]:[GWh/d '[transparency map']]])*365</f>
        <v>486910</v>
      </c>
      <c r="G92">
        <f t="shared" si="2"/>
        <v>486.91</v>
      </c>
    </row>
    <row r="93" spans="1:8">
      <c r="A93" t="s">
        <v>23</v>
      </c>
      <c r="B93" t="s">
        <v>24</v>
      </c>
      <c r="C93">
        <v>53.7</v>
      </c>
      <c r="F93">
        <f>MIN(Table3[[#This Row],[GWh/d '[capacity map']]:[GWh/d '[transparency map']]])*365</f>
        <v>19600.5</v>
      </c>
      <c r="G93">
        <f t="shared" si="2"/>
        <v>19.6005</v>
      </c>
    </row>
    <row r="94" spans="1:8">
      <c r="A94" t="s">
        <v>23</v>
      </c>
      <c r="B94" t="s">
        <v>21</v>
      </c>
      <c r="C94">
        <v>21.5</v>
      </c>
      <c r="F94">
        <f>MIN(Table3[[#This Row],[GWh/d '[capacity map']]:[GWh/d '[transparency map']]])*365</f>
        <v>7847.5</v>
      </c>
      <c r="G94">
        <f t="shared" si="2"/>
        <v>7.8475000000000001</v>
      </c>
    </row>
    <row r="95" spans="1:8">
      <c r="A95" t="s">
        <v>29</v>
      </c>
      <c r="B95" t="s">
        <v>20</v>
      </c>
      <c r="C95">
        <v>1570.4</v>
      </c>
      <c r="F95">
        <f>MIN(Table3[[#This Row],[GWh/d '[capacity map']]:[GWh/d '[transparency map']]])*365</f>
        <v>573196</v>
      </c>
      <c r="G95">
        <f t="shared" si="2"/>
        <v>573.19600000000003</v>
      </c>
    </row>
    <row r="96" spans="1:8">
      <c r="A96" t="s">
        <v>29</v>
      </c>
      <c r="B96" t="s">
        <v>28</v>
      </c>
      <c r="C96">
        <v>457.6</v>
      </c>
      <c r="F96">
        <f>MIN(Table3[[#This Row],[GWh/d '[capacity map']]:[GWh/d '[transparency map']]])*365</f>
        <v>167024</v>
      </c>
      <c r="G96">
        <f t="shared" ref="G96:G109" si="3">F96/1000</f>
        <v>167.024</v>
      </c>
    </row>
    <row r="97" spans="1:7">
      <c r="A97" t="s">
        <v>29</v>
      </c>
      <c r="B97" t="s">
        <v>30</v>
      </c>
      <c r="C97">
        <v>128.9</v>
      </c>
      <c r="F97">
        <f>MIN(Table3[[#This Row],[GWh/d '[capacity map']]:[GWh/d '[transparency map']]])*365</f>
        <v>47048.5</v>
      </c>
      <c r="G97">
        <f t="shared" si="3"/>
        <v>47.048499999999997</v>
      </c>
    </row>
    <row r="98" spans="1:7">
      <c r="A98" t="s">
        <v>29</v>
      </c>
      <c r="B98" t="s">
        <v>38</v>
      </c>
      <c r="C98">
        <v>416</v>
      </c>
      <c r="D98">
        <v>280.8</v>
      </c>
      <c r="F98">
        <f>MIN(Table3[[#This Row],[GWh/d '[capacity map']]:[GWh/d '[transparency map']]])*365</f>
        <v>102492</v>
      </c>
      <c r="G98">
        <f t="shared" si="3"/>
        <v>102.492</v>
      </c>
    </row>
    <row r="99" spans="1:7">
      <c r="A99" t="s">
        <v>50</v>
      </c>
      <c r="B99" t="s">
        <v>21</v>
      </c>
      <c r="C99">
        <v>1138.0999999999999</v>
      </c>
      <c r="D99">
        <v>1154</v>
      </c>
      <c r="F99">
        <f>MIN(Table3[[#This Row],[GWh/d '[capacity map']]:[GWh/d '[transparency map']]])*365</f>
        <v>415406.49999999994</v>
      </c>
      <c r="G99">
        <f t="shared" si="3"/>
        <v>415.40649999999994</v>
      </c>
    </row>
    <row r="100" spans="1:7">
      <c r="A100" t="s">
        <v>46</v>
      </c>
      <c r="B100" t="s">
        <v>32</v>
      </c>
      <c r="C100">
        <v>576.03</v>
      </c>
      <c r="D100">
        <v>701.8</v>
      </c>
      <c r="F100">
        <f>MIN(Table3[[#This Row],[GWh/d '[capacity map']]:[GWh/d '[transparency map']]])*365</f>
        <v>210250.94999999998</v>
      </c>
      <c r="G100">
        <f t="shared" si="3"/>
        <v>210.25094999999999</v>
      </c>
    </row>
    <row r="101" spans="1:7">
      <c r="A101" t="s">
        <v>46</v>
      </c>
      <c r="B101" t="s">
        <v>165</v>
      </c>
      <c r="C101">
        <v>398.6</v>
      </c>
      <c r="D101">
        <v>395</v>
      </c>
      <c r="F101">
        <f>MIN(Table3[[#This Row],[GWh/d '[capacity map']]:[GWh/d '[transparency map']]])*365</f>
        <v>144175</v>
      </c>
      <c r="G101">
        <f t="shared" si="3"/>
        <v>144.17500000000001</v>
      </c>
    </row>
    <row r="102" spans="1:7">
      <c r="A102" t="s">
        <v>38</v>
      </c>
      <c r="B102" t="s">
        <v>30</v>
      </c>
      <c r="C102">
        <v>515.6</v>
      </c>
      <c r="D102">
        <v>517.5</v>
      </c>
      <c r="F102">
        <f>MIN(Table3[[#This Row],[GWh/d '[capacity map']]:[GWh/d '[transparency map']]])*365</f>
        <v>188194</v>
      </c>
      <c r="G102">
        <f t="shared" si="3"/>
        <v>188.19399999999999</v>
      </c>
    </row>
    <row r="103" spans="1:7">
      <c r="A103" t="s">
        <v>38</v>
      </c>
      <c r="B103" t="s">
        <v>39</v>
      </c>
      <c r="E103">
        <v>255.46047452000005</v>
      </c>
      <c r="F103">
        <f>MIN(Table3[[#This Row],[GWh/d '[capacity map']]:[GWh/d '[transparency map']]])*365</f>
        <v>93243.073199800012</v>
      </c>
      <c r="G103">
        <f t="shared" si="3"/>
        <v>93.243073199800008</v>
      </c>
    </row>
    <row r="104" spans="1:7">
      <c r="A104" t="s">
        <v>38</v>
      </c>
      <c r="B104" t="s">
        <v>27</v>
      </c>
      <c r="C104">
        <v>135.6</v>
      </c>
      <c r="D104">
        <v>135.6</v>
      </c>
      <c r="F104">
        <f>MIN(Table3[[#This Row],[GWh/d '[capacity map']]:[GWh/d '[transparency map']]])*365</f>
        <v>49494</v>
      </c>
      <c r="G104">
        <f t="shared" si="3"/>
        <v>49.494</v>
      </c>
    </row>
    <row r="105" spans="1:7">
      <c r="A105" t="s">
        <v>38</v>
      </c>
      <c r="B105" t="s">
        <v>33</v>
      </c>
      <c r="C105">
        <v>1163.4000000000001</v>
      </c>
      <c r="D105">
        <v>201.6</v>
      </c>
      <c r="F105">
        <f>MIN(Table3[[#This Row],[GWh/d '[capacity map']]:[GWh/d '[transparency map']]])*365</f>
        <v>73584</v>
      </c>
      <c r="G105">
        <f t="shared" si="3"/>
        <v>73.584000000000003</v>
      </c>
    </row>
    <row r="106" spans="1:7">
      <c r="A106" t="s">
        <v>38</v>
      </c>
      <c r="B106" t="s">
        <v>29</v>
      </c>
      <c r="C106">
        <v>2277.6</v>
      </c>
      <c r="D106">
        <f>1799+436.8</f>
        <v>2235.8000000000002</v>
      </c>
      <c r="F106">
        <f>MIN(Table3[[#This Row],[GWh/d '[capacity map']]:[GWh/d '[transparency map']]])*365</f>
        <v>816067.00000000012</v>
      </c>
      <c r="G106">
        <f t="shared" si="3"/>
        <v>816.06700000000012</v>
      </c>
    </row>
    <row r="107" spans="1:7">
      <c r="A107" t="s">
        <v>11</v>
      </c>
      <c r="B107" t="s">
        <v>17</v>
      </c>
      <c r="D107">
        <v>227.2</v>
      </c>
      <c r="F107">
        <f>MIN(Table3[[#This Row],[GWh/d '[capacity map']]:[GWh/d '[transparency map']]])*365</f>
        <v>82928</v>
      </c>
      <c r="G107">
        <f t="shared" si="3"/>
        <v>82.927999999999997</v>
      </c>
    </row>
    <row r="108" spans="1:7">
      <c r="A108" t="s">
        <v>11</v>
      </c>
      <c r="B108" t="s">
        <v>43</v>
      </c>
      <c r="C108">
        <v>386.9</v>
      </c>
      <c r="D108">
        <v>385</v>
      </c>
      <c r="F108">
        <f>MIN(Table3[[#This Row],[GWh/d '[capacity map']]:[GWh/d '[transparency map']]])*365</f>
        <v>140525</v>
      </c>
      <c r="G108">
        <f t="shared" si="3"/>
        <v>140.52500000000001</v>
      </c>
    </row>
    <row r="109" spans="1:7">
      <c r="A109" t="s">
        <v>11</v>
      </c>
      <c r="B109" t="s">
        <v>18</v>
      </c>
      <c r="C109">
        <v>494.4</v>
      </c>
      <c r="D109">
        <v>184.8</v>
      </c>
      <c r="F109">
        <f>MIN(Table3[[#This Row],[GWh/d '[capacity map']]:[GWh/d '[transparency map']]])*365</f>
        <v>67452</v>
      </c>
      <c r="G109">
        <f t="shared" si="3"/>
        <v>67.451999999999998</v>
      </c>
    </row>
  </sheetData>
  <phoneticPr fontId="20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nodes_lng_europe_2020</vt:lpstr>
      <vt:lpstr>nodes_gas_prod_europe_2020</vt:lpstr>
      <vt:lpstr>nodes_gas_prod_world_2020</vt:lpstr>
      <vt:lpstr>nodes_demand_europe_2020</vt:lpstr>
      <vt:lpstr>nodes_demand_world_2020</vt:lpstr>
      <vt:lpstr>Connections_2020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Johannes Felipe Giehl</dc:creator>
  <cp:lastModifiedBy>Johannes Felipe Giehl</cp:lastModifiedBy>
  <dcterms:created xsi:type="dcterms:W3CDTF">2015-06-05T18:19:34Z</dcterms:created>
  <dcterms:modified xsi:type="dcterms:W3CDTF">2026-03-11T11:42:40Z</dcterms:modified>
</cp:coreProperties>
</file>