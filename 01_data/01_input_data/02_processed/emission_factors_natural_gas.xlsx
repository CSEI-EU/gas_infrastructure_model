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hydrogen_grid\01_data\01_input_data\02_processed\"/>
    </mc:Choice>
  </mc:AlternateContent>
  <xr:revisionPtr revIDLastSave="0" documentId="13_ncr:1_{78968C7B-5A9B-4AB6-81E3-970E3C234B27}" xr6:coauthVersionLast="47" xr6:coauthVersionMax="47" xr10:uidLastSave="{00000000-0000-0000-0000-000000000000}"/>
  <bookViews>
    <workbookView xWindow="-108" yWindow="-108" windowWidth="23256" windowHeight="13896" firstSheet="2" activeTab="13" xr2:uid="{BAA9D55F-0FEB-4558-AFDF-92239B956412}"/>
  </bookViews>
  <sheets>
    <sheet name="Emission_Factors_Import" sheetId="1" r:id="rId1"/>
    <sheet name="Emission_Factors_Domestic" sheetId="2" r:id="rId2"/>
    <sheet name="USA" sheetId="4" r:id="rId3"/>
    <sheet name="T&amp;T" sheetId="5" r:id="rId4"/>
    <sheet name="ME" sheetId="6" r:id="rId5"/>
    <sheet name="QA" sheetId="7" r:id="rId6"/>
    <sheet name="AF" sheetId="8" r:id="rId7"/>
    <sheet name="AU" sheetId="9" r:id="rId8"/>
    <sheet name="IM" sheetId="10" r:id="rId9"/>
    <sheet name="EG" sheetId="11" r:id="rId10"/>
    <sheet name="DZ" sheetId="12" r:id="rId11"/>
    <sheet name="LY" sheetId="13" r:id="rId12"/>
    <sheet name="TN" sheetId="14" r:id="rId13"/>
    <sheet name="MA" sheetId="15" r:id="rId14"/>
    <sheet name="Sources" sheetId="3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5" l="1"/>
  <c r="N27" i="15"/>
  <c r="N28" i="15" s="1"/>
  <c r="D23" i="15"/>
  <c r="D24" i="15" s="1"/>
  <c r="D26" i="15" s="1"/>
  <c r="N28" i="14"/>
  <c r="N29" i="14" s="1"/>
  <c r="C28" i="14"/>
  <c r="N27" i="14"/>
  <c r="H22" i="14"/>
  <c r="H24" i="14" s="1"/>
  <c r="D22" i="14" s="1"/>
  <c r="H19" i="14"/>
  <c r="H18" i="14"/>
  <c r="H17" i="14"/>
  <c r="C28" i="13"/>
  <c r="N28" i="13"/>
  <c r="C22" i="13"/>
  <c r="D22" i="13"/>
  <c r="H19" i="13"/>
  <c r="H17" i="13"/>
  <c r="H18" i="13" s="1"/>
  <c r="H22" i="13" s="1"/>
  <c r="H24" i="13" s="1"/>
  <c r="N27" i="13"/>
  <c r="D23" i="13"/>
  <c r="D24" i="13" s="1"/>
  <c r="D26" i="13" s="1"/>
  <c r="N29" i="15" l="1"/>
  <c r="C22" i="15"/>
  <c r="D23" i="14"/>
  <c r="D24" i="14" s="1"/>
  <c r="D26" i="14" s="1"/>
  <c r="C22" i="14"/>
  <c r="C23" i="14" s="1"/>
  <c r="C24" i="14" s="1"/>
  <c r="C26" i="14" s="1"/>
  <c r="C29" i="14" s="1"/>
  <c r="D2" i="14" s="1"/>
  <c r="N29" i="13"/>
  <c r="C23" i="15" l="1"/>
  <c r="C24" i="15" s="1"/>
  <c r="C26" i="15" s="1"/>
  <c r="B22" i="15"/>
  <c r="B23" i="15" s="1"/>
  <c r="B24" i="15" s="1"/>
  <c r="B26" i="15" s="1"/>
  <c r="B22" i="14"/>
  <c r="B23" i="14" s="1"/>
  <c r="B24" i="14" s="1"/>
  <c r="B26" i="14" s="1"/>
  <c r="E2" i="14"/>
  <c r="H4" i="14"/>
  <c r="H3" i="14"/>
  <c r="C23" i="13"/>
  <c r="C24" i="13" s="1"/>
  <c r="C26" i="13" s="1"/>
  <c r="B22" i="13"/>
  <c r="B23" i="13" s="1"/>
  <c r="B24" i="13" s="1"/>
  <c r="B26" i="13" s="1"/>
  <c r="C29" i="15" l="1"/>
  <c r="D2" i="15" s="1"/>
  <c r="E2" i="15" s="1"/>
  <c r="C29" i="13"/>
  <c r="H4" i="15" l="1"/>
  <c r="H3" i="15"/>
  <c r="D2" i="13"/>
  <c r="E2" i="13" s="1"/>
  <c r="H4" i="13" l="1"/>
  <c r="H3" i="13"/>
  <c r="B22" i="12" l="1"/>
  <c r="D4" i="12"/>
  <c r="D3" i="12"/>
  <c r="C4" i="12"/>
  <c r="C22" i="12"/>
  <c r="N27" i="12"/>
  <c r="N28" i="12"/>
  <c r="N29" i="12" s="1"/>
  <c r="H20" i="11" l="1"/>
  <c r="H19" i="11"/>
  <c r="H24" i="11" l="1"/>
  <c r="H26" i="11" s="1"/>
  <c r="D22" i="11" l="1"/>
  <c r="H28" i="11"/>
  <c r="B22" i="11" s="1"/>
  <c r="C28" i="11" l="1"/>
  <c r="D9" i="12"/>
  <c r="C3" i="12" s="1"/>
  <c r="D23" i="12"/>
  <c r="D24" i="12" s="1"/>
  <c r="D26" i="12" s="1"/>
  <c r="C23" i="12"/>
  <c r="C24" i="12" s="1"/>
  <c r="C26" i="12" s="1"/>
  <c r="B23" i="12"/>
  <c r="B24" i="12" s="1"/>
  <c r="B26" i="12" s="1"/>
  <c r="E4" i="12" s="1"/>
  <c r="D23" i="11"/>
  <c r="D24" i="11" s="1"/>
  <c r="D26" i="11" s="1"/>
  <c r="C23" i="11"/>
  <c r="C24" i="11" s="1"/>
  <c r="C26" i="11" s="1"/>
  <c r="B23" i="11"/>
  <c r="B24" i="11" s="1"/>
  <c r="B26" i="11" s="1"/>
  <c r="B23" i="10"/>
  <c r="C28" i="10"/>
  <c r="D23" i="10"/>
  <c r="D24" i="10" s="1"/>
  <c r="D26" i="10" s="1"/>
  <c r="C23" i="10"/>
  <c r="C24" i="10" s="1"/>
  <c r="C26" i="10" s="1"/>
  <c r="B24" i="10"/>
  <c r="B26" i="10" s="1"/>
  <c r="C28" i="9"/>
  <c r="D23" i="9"/>
  <c r="D24" i="9" s="1"/>
  <c r="D26" i="9" s="1"/>
  <c r="C23" i="9"/>
  <c r="C24" i="9" s="1"/>
  <c r="C26" i="9" s="1"/>
  <c r="C29" i="9" s="1"/>
  <c r="B23" i="9"/>
  <c r="B24" i="9" s="1"/>
  <c r="B26" i="9" s="1"/>
  <c r="C28" i="8"/>
  <c r="C24" i="8"/>
  <c r="C26" i="8" s="1"/>
  <c r="D23" i="8"/>
  <c r="D24" i="8" s="1"/>
  <c r="D26" i="8" s="1"/>
  <c r="C23" i="8"/>
  <c r="B23" i="8"/>
  <c r="B24" i="8" s="1"/>
  <c r="B26" i="8" s="1"/>
  <c r="D5" i="7"/>
  <c r="D7" i="7"/>
  <c r="D8" i="7"/>
  <c r="D9" i="7"/>
  <c r="D10" i="7"/>
  <c r="D11" i="7"/>
  <c r="D12" i="7"/>
  <c r="D13" i="7"/>
  <c r="D14" i="7"/>
  <c r="D15" i="7"/>
  <c r="D16" i="7"/>
  <c r="D17" i="7"/>
  <c r="C28" i="7"/>
  <c r="D23" i="7"/>
  <c r="D24" i="7" s="1"/>
  <c r="D26" i="7" s="1"/>
  <c r="C23" i="7"/>
  <c r="C24" i="7" s="1"/>
  <c r="C26" i="7" s="1"/>
  <c r="C29" i="7" s="1"/>
  <c r="D2" i="7" s="1"/>
  <c r="B23" i="7"/>
  <c r="B24" i="7" s="1"/>
  <c r="B26" i="7" s="1"/>
  <c r="C28" i="6"/>
  <c r="D23" i="6"/>
  <c r="D24" i="6" s="1"/>
  <c r="D26" i="6" s="1"/>
  <c r="C23" i="6"/>
  <c r="C24" i="6" s="1"/>
  <c r="C26" i="6" s="1"/>
  <c r="C29" i="6" s="1"/>
  <c r="B23" i="6"/>
  <c r="B24" i="6" s="1"/>
  <c r="B26" i="6" s="1"/>
  <c r="B23" i="5"/>
  <c r="C28" i="5"/>
  <c r="D23" i="5"/>
  <c r="D24" i="5" s="1"/>
  <c r="D26" i="5" s="1"/>
  <c r="C23" i="5"/>
  <c r="C24" i="5" s="1"/>
  <c r="C26" i="5" s="1"/>
  <c r="C29" i="5" s="1"/>
  <c r="B24" i="5"/>
  <c r="B26" i="5" s="1"/>
  <c r="D23" i="4"/>
  <c r="D24" i="4" s="1"/>
  <c r="D26" i="4" s="1"/>
  <c r="B23" i="4"/>
  <c r="B24" i="4" s="1"/>
  <c r="B26" i="4" s="1"/>
  <c r="C23" i="4"/>
  <c r="C24" i="4" s="1"/>
  <c r="C26" i="4" s="1"/>
  <c r="C28" i="4"/>
  <c r="C29" i="12" l="1"/>
  <c r="E3" i="12" s="1"/>
  <c r="C29" i="11"/>
  <c r="D12" i="11" s="1"/>
  <c r="E12" i="11" s="1"/>
  <c r="D15" i="11"/>
  <c r="E15" i="11" s="1"/>
  <c r="D7" i="11"/>
  <c r="E7" i="11" s="1"/>
  <c r="D3" i="11"/>
  <c r="E3" i="11" s="1"/>
  <c r="D14" i="11"/>
  <c r="E14" i="11" s="1"/>
  <c r="D6" i="11"/>
  <c r="E6" i="11" s="1"/>
  <c r="D2" i="11"/>
  <c r="E2" i="11" s="1"/>
  <c r="C29" i="10"/>
  <c r="D16" i="10"/>
  <c r="E16" i="10" s="1"/>
  <c r="D8" i="10"/>
  <c r="E8" i="10" s="1"/>
  <c r="D6" i="10"/>
  <c r="E6" i="10" s="1"/>
  <c r="D12" i="10"/>
  <c r="E12" i="10" s="1"/>
  <c r="D11" i="10"/>
  <c r="E11" i="10" s="1"/>
  <c r="D10" i="10"/>
  <c r="E10" i="10" s="1"/>
  <c r="D3" i="10"/>
  <c r="E3" i="10" s="1"/>
  <c r="D9" i="10"/>
  <c r="E9" i="10" s="1"/>
  <c r="D15" i="10"/>
  <c r="E15" i="10" s="1"/>
  <c r="D7" i="10"/>
  <c r="E7" i="10" s="1"/>
  <c r="D14" i="10"/>
  <c r="E14" i="10" s="1"/>
  <c r="D17" i="10"/>
  <c r="E17" i="10" s="1"/>
  <c r="D18" i="10"/>
  <c r="E18" i="10" s="1"/>
  <c r="D4" i="10"/>
  <c r="E4" i="10" s="1"/>
  <c r="D13" i="10"/>
  <c r="E13" i="10" s="1"/>
  <c r="D5" i="10"/>
  <c r="E5" i="10" s="1"/>
  <c r="D2" i="10"/>
  <c r="E2" i="10" s="1"/>
  <c r="D16" i="9"/>
  <c r="E16" i="9" s="1"/>
  <c r="D8" i="9"/>
  <c r="E8" i="9" s="1"/>
  <c r="D13" i="9"/>
  <c r="E13" i="9" s="1"/>
  <c r="D4" i="9"/>
  <c r="E4" i="9" s="1"/>
  <c r="D11" i="9"/>
  <c r="E11" i="9" s="1"/>
  <c r="D10" i="9"/>
  <c r="E10" i="9" s="1"/>
  <c r="D9" i="9"/>
  <c r="E9" i="9" s="1"/>
  <c r="D5" i="9"/>
  <c r="E5" i="9" s="1"/>
  <c r="D15" i="9"/>
  <c r="E15" i="9" s="1"/>
  <c r="D7" i="9"/>
  <c r="E7" i="9" s="1"/>
  <c r="D12" i="9"/>
  <c r="E12" i="9" s="1"/>
  <c r="D3" i="9"/>
  <c r="E3" i="9" s="1"/>
  <c r="D17" i="9"/>
  <c r="E17" i="9" s="1"/>
  <c r="D14" i="9"/>
  <c r="E14" i="9" s="1"/>
  <c r="D6" i="9"/>
  <c r="E6" i="9" s="1"/>
  <c r="D18" i="9"/>
  <c r="E18" i="9" s="1"/>
  <c r="D2" i="9"/>
  <c r="E2" i="9" s="1"/>
  <c r="C29" i="8"/>
  <c r="D16" i="8"/>
  <c r="E16" i="8" s="1"/>
  <c r="D8" i="8"/>
  <c r="E8" i="8" s="1"/>
  <c r="D15" i="8"/>
  <c r="E15" i="8" s="1"/>
  <c r="D7" i="8"/>
  <c r="E7" i="8" s="1"/>
  <c r="D5" i="8"/>
  <c r="E5" i="8" s="1"/>
  <c r="D12" i="8"/>
  <c r="E12" i="8" s="1"/>
  <c r="D10" i="8"/>
  <c r="E10" i="8" s="1"/>
  <c r="D17" i="8"/>
  <c r="E17" i="8" s="1"/>
  <c r="D14" i="8"/>
  <c r="E14" i="8" s="1"/>
  <c r="D6" i="8"/>
  <c r="E6" i="8" s="1"/>
  <c r="D13" i="8"/>
  <c r="E13" i="8" s="1"/>
  <c r="D18" i="8"/>
  <c r="E18" i="8" s="1"/>
  <c r="D9" i="8"/>
  <c r="E9" i="8" s="1"/>
  <c r="D3" i="8"/>
  <c r="E3" i="8" s="1"/>
  <c r="D2" i="8"/>
  <c r="E2" i="8" s="1"/>
  <c r="D4" i="8"/>
  <c r="E4" i="8" s="1"/>
  <c r="D11" i="8"/>
  <c r="E11" i="8" s="1"/>
  <c r="D6" i="7"/>
  <c r="D4" i="7"/>
  <c r="D3" i="7"/>
  <c r="D18" i="7"/>
  <c r="E4" i="7"/>
  <c r="E16" i="7"/>
  <c r="E5" i="7"/>
  <c r="E9" i="7"/>
  <c r="E18" i="7"/>
  <c r="E10" i="7"/>
  <c r="E3" i="7"/>
  <c r="E8" i="7"/>
  <c r="E2" i="7"/>
  <c r="E15" i="7"/>
  <c r="E7" i="7"/>
  <c r="E14" i="7"/>
  <c r="E6" i="7"/>
  <c r="E12" i="7"/>
  <c r="E11" i="7"/>
  <c r="E17" i="7"/>
  <c r="E13" i="7"/>
  <c r="D11" i="6"/>
  <c r="E11" i="6" s="1"/>
  <c r="D18" i="6"/>
  <c r="E18" i="6" s="1"/>
  <c r="D17" i="6"/>
  <c r="E17" i="6" s="1"/>
  <c r="D15" i="6"/>
  <c r="E15" i="6" s="1"/>
  <c r="D7" i="6"/>
  <c r="E7" i="6" s="1"/>
  <c r="D14" i="6"/>
  <c r="E14" i="6" s="1"/>
  <c r="D6" i="6"/>
  <c r="E6" i="6" s="1"/>
  <c r="D12" i="6"/>
  <c r="E12" i="6" s="1"/>
  <c r="D3" i="6"/>
  <c r="E3" i="6" s="1"/>
  <c r="D2" i="6"/>
  <c r="E2" i="6" s="1"/>
  <c r="D8" i="6"/>
  <c r="E8" i="6" s="1"/>
  <c r="D13" i="6"/>
  <c r="E13" i="6" s="1"/>
  <c r="D5" i="6"/>
  <c r="E5" i="6" s="1"/>
  <c r="D4" i="6"/>
  <c r="E4" i="6" s="1"/>
  <c r="D10" i="6"/>
  <c r="E10" i="6" s="1"/>
  <c r="D9" i="6"/>
  <c r="E9" i="6" s="1"/>
  <c r="D16" i="6"/>
  <c r="E16" i="6" s="1"/>
  <c r="D16" i="5"/>
  <c r="E16" i="5" s="1"/>
  <c r="D8" i="5"/>
  <c r="E8" i="5" s="1"/>
  <c r="D7" i="5"/>
  <c r="E7" i="5" s="1"/>
  <c r="D2" i="5"/>
  <c r="E2" i="5" s="1"/>
  <c r="D15" i="5"/>
  <c r="E15" i="5" s="1"/>
  <c r="D18" i="5"/>
  <c r="E18" i="5" s="1"/>
  <c r="D9" i="5"/>
  <c r="E9" i="5" s="1"/>
  <c r="D14" i="5"/>
  <c r="E14" i="5" s="1"/>
  <c r="D6" i="5"/>
  <c r="E6" i="5" s="1"/>
  <c r="D11" i="5"/>
  <c r="E11" i="5" s="1"/>
  <c r="D3" i="5"/>
  <c r="E3" i="5" s="1"/>
  <c r="D13" i="5"/>
  <c r="E13" i="5" s="1"/>
  <c r="D5" i="5"/>
  <c r="E5" i="5" s="1"/>
  <c r="D12" i="5"/>
  <c r="E12" i="5" s="1"/>
  <c r="D10" i="5"/>
  <c r="E10" i="5" s="1"/>
  <c r="D4" i="5"/>
  <c r="E4" i="5" s="1"/>
  <c r="D17" i="5"/>
  <c r="E17" i="5" s="1"/>
  <c r="C29" i="4"/>
  <c r="D13" i="11" l="1"/>
  <c r="E13" i="11" s="1"/>
  <c r="D9" i="11"/>
  <c r="E9" i="11" s="1"/>
  <c r="D5" i="11"/>
  <c r="E5" i="11" s="1"/>
  <c r="D10" i="11"/>
  <c r="E10" i="11" s="1"/>
  <c r="D4" i="11"/>
  <c r="E4" i="11" s="1"/>
  <c r="H3" i="11" s="1"/>
  <c r="D8" i="11"/>
  <c r="E8" i="11" s="1"/>
  <c r="D11" i="11"/>
  <c r="E11" i="11" s="1"/>
  <c r="D16" i="11"/>
  <c r="E16" i="11" s="1"/>
  <c r="D17" i="11"/>
  <c r="E17" i="11" s="1"/>
  <c r="D18" i="11"/>
  <c r="E18" i="11" s="1"/>
  <c r="D2" i="12"/>
  <c r="H4" i="10"/>
  <c r="H3" i="10"/>
  <c r="H4" i="9"/>
  <c r="H3" i="9"/>
  <c r="H4" i="8"/>
  <c r="H3" i="8"/>
  <c r="H4" i="7"/>
  <c r="H3" i="7"/>
  <c r="H3" i="6"/>
  <c r="H4" i="6"/>
  <c r="D17" i="4"/>
  <c r="E17" i="4" s="1"/>
  <c r="D2" i="4"/>
  <c r="E2" i="4" s="1"/>
  <c r="H4" i="5"/>
  <c r="H3" i="5"/>
  <c r="D3" i="4"/>
  <c r="E3" i="4" s="1"/>
  <c r="D14" i="4"/>
  <c r="E14" i="4" s="1"/>
  <c r="D16" i="4"/>
  <c r="E16" i="4" s="1"/>
  <c r="D18" i="4"/>
  <c r="E18" i="4" s="1"/>
  <c r="D5" i="4"/>
  <c r="E5" i="4" s="1"/>
  <c r="D15" i="4"/>
  <c r="E15" i="4" s="1"/>
  <c r="D9" i="4"/>
  <c r="E9" i="4" s="1"/>
  <c r="D8" i="4"/>
  <c r="E8" i="4" s="1"/>
  <c r="D10" i="4"/>
  <c r="E10" i="4" s="1"/>
  <c r="D6" i="4"/>
  <c r="E6" i="4" s="1"/>
  <c r="D11" i="4"/>
  <c r="E11" i="4" s="1"/>
  <c r="D4" i="4"/>
  <c r="E4" i="4" s="1"/>
  <c r="D7" i="4"/>
  <c r="E7" i="4" s="1"/>
  <c r="D13" i="4"/>
  <c r="E13" i="4" s="1"/>
  <c r="D12" i="4"/>
  <c r="E12" i="4" s="1"/>
  <c r="E2" i="12" l="1"/>
  <c r="H4" i="12" s="1"/>
  <c r="H4" i="11"/>
  <c r="H3" i="12"/>
  <c r="H3" i="4"/>
  <c r="H4" i="4"/>
</calcChain>
</file>

<file path=xl/sharedStrings.xml><?xml version="1.0" encoding="utf-8"?>
<sst xmlns="http://schemas.openxmlformats.org/spreadsheetml/2006/main" count="558" uniqueCount="125">
  <si>
    <t>AL</t>
  </si>
  <si>
    <t>AT</t>
  </si>
  <si>
    <t>BE</t>
  </si>
  <si>
    <t>BA</t>
  </si>
  <si>
    <t>BG</t>
  </si>
  <si>
    <t>HR</t>
  </si>
  <si>
    <t>CZ</t>
  </si>
  <si>
    <t>DK</t>
  </si>
  <si>
    <t>EE</t>
  </si>
  <si>
    <t>FI</t>
  </si>
  <si>
    <t>FR</t>
  </si>
  <si>
    <t>DE</t>
  </si>
  <si>
    <t>EL</t>
  </si>
  <si>
    <t>HU</t>
  </si>
  <si>
    <t>IE</t>
  </si>
  <si>
    <t>IT</t>
  </si>
  <si>
    <t>LV</t>
  </si>
  <si>
    <t>LT</t>
  </si>
  <si>
    <t>LU</t>
  </si>
  <si>
    <t>MD</t>
  </si>
  <si>
    <t>NL</t>
  </si>
  <si>
    <t>MK</t>
  </si>
  <si>
    <t>NO</t>
  </si>
  <si>
    <t>PL</t>
  </si>
  <si>
    <t>PT</t>
  </si>
  <si>
    <t>RO</t>
  </si>
  <si>
    <t>SM</t>
  </si>
  <si>
    <t>RS</t>
  </si>
  <si>
    <t>SK</t>
  </si>
  <si>
    <t>SI</t>
  </si>
  <si>
    <t>ES</t>
  </si>
  <si>
    <t>SE</t>
  </si>
  <si>
    <t>CH</t>
  </si>
  <si>
    <t>TR</t>
  </si>
  <si>
    <t>UK</t>
  </si>
  <si>
    <t>UA</t>
  </si>
  <si>
    <t>EU</t>
  </si>
  <si>
    <t>USA</t>
  </si>
  <si>
    <t>TT</t>
  </si>
  <si>
    <t>ME</t>
  </si>
  <si>
    <t>QA</t>
  </si>
  <si>
    <t>AF</t>
  </si>
  <si>
    <t>AU</t>
  </si>
  <si>
    <t>CR</t>
  </si>
  <si>
    <t>RU</t>
  </si>
  <si>
    <t>DZ</t>
  </si>
  <si>
    <t>LY</t>
  </si>
  <si>
    <t>TN</t>
  </si>
  <si>
    <t>MA</t>
  </si>
  <si>
    <t>EG</t>
  </si>
  <si>
    <t>IM</t>
  </si>
  <si>
    <t>Factor</t>
  </si>
  <si>
    <t>Node</t>
  </si>
  <si>
    <t>Link</t>
  </si>
  <si>
    <t>Comment</t>
  </si>
  <si>
    <t>https://www.umweltbundesamt.de/sites/default/files/medien/1410/publikationen/cc_61-2021_emissionsfaktoren-stromerzeugung_bf.pdf</t>
  </si>
  <si>
    <t>Domestic and Russian factor, excluding national (within Germany) part</t>
  </si>
  <si>
    <t>https://www.ifeu.de/fileadmin/uploads/Publikationen/WPKS-Study_Analysis_of_the_greenhouse_gas_intensities_of_LNG_imports_to_Germany.pdf</t>
  </si>
  <si>
    <t>LNG imports, adjusted for distances to different European ports</t>
  </si>
  <si>
    <t>https://www.dcceew.gov.au/sites/default/files/documents/national-greenhouse-account-factors-2023.pdf</t>
  </si>
  <si>
    <t>https://www.publish.csiro.au/EP/EP24202</t>
  </si>
  <si>
    <t>Upstream emissions within Australia</t>
  </si>
  <si>
    <t>https://cleanshipping.org/wp-content/uploads/2025/02/MEPC-83-7-28-Key-considerations-to-determine-the-well-to-tank-WtT-emission-factor-for-liquefied-natur.-Pacific-Environment-CSC.pdf</t>
  </si>
  <si>
    <t>upstream emissions Trinidad and Tobago</t>
  </si>
  <si>
    <t>https://enveurope.springeropen.com/articles/10.1007/s12302-010-0125-6</t>
  </si>
  <si>
    <t>UK and DK are comparable</t>
  </si>
  <si>
    <t>Wie klimafreundlich ist LNG? Kurzstudie zur Bewertung der Vorkettenemissionen bei Nutzung von verflüssigtem Erdgas (LNG)</t>
  </si>
  <si>
    <t>Further factors for LNG imports</t>
  </si>
  <si>
    <t>Upstream Emissions of Fossil Fuel Feedstocks for Transport Fuels Consumed in the EU,  International Council on Clean Transportation (ICCT), 2014</t>
  </si>
  <si>
    <t>Values to scale the factors for further African nodes compared to Algerian emission factor</t>
  </si>
  <si>
    <t>USA_LNG</t>
  </si>
  <si>
    <t>BE_LNG</t>
  </si>
  <si>
    <t>FR_LNG</t>
  </si>
  <si>
    <t>EL_LNG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</si>
  <si>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</si>
  <si>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</si>
  <si>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</si>
  <si>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</si>
  <si>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</si>
  <si>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</si>
  <si>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</si>
  <si>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</si>
  <si>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</si>
  <si>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EE_LNG</t>
  </si>
  <si>
    <t>FI_LNG</t>
  </si>
  <si>
    <t>DE_LNG</t>
  </si>
  <si>
    <t>IE_LNG</t>
  </si>
  <si>
    <t>LV_LNG</t>
  </si>
  <si>
    <t>transport</t>
  </si>
  <si>
    <t>Faktor</t>
  </si>
  <si>
    <t>Total</t>
  </si>
  <si>
    <t>Production</t>
  </si>
  <si>
    <t>Start</t>
  </si>
  <si>
    <t>End</t>
  </si>
  <si>
    <t>Distance</t>
  </si>
  <si>
    <t>emission transport</t>
  </si>
  <si>
    <t>Min</t>
  </si>
  <si>
    <t>Max</t>
  </si>
  <si>
    <t>based on USA distance to TT distance</t>
  </si>
  <si>
    <t>https://saynotolng.org/wp-content/uploads/2024/09/ISWG-GHG-17-3-Literature-review-on-well-to-tank-emissions-fromliquefied-natural-gas-LNG-imports-to-the.-CSC.pdf</t>
  </si>
  <si>
    <t>AF_LNG</t>
  </si>
  <si>
    <t>QA_LNG</t>
  </si>
  <si>
    <t>ME_LNG</t>
  </si>
  <si>
    <t>TT_LNG</t>
  </si>
  <si>
    <t>AU_LNG</t>
  </si>
  <si>
    <t>based on USA distance to AU distance</t>
  </si>
  <si>
    <t>IM_LNG</t>
  </si>
  <si>
    <t>EG_LNG</t>
  </si>
  <si>
    <t>based on Transport emissions for LNG from Algeria</t>
  </si>
  <si>
    <t>values algeria</t>
  </si>
  <si>
    <t>average algeria</t>
  </si>
  <si>
    <t>value egypt</t>
  </si>
  <si>
    <t>share</t>
  </si>
  <si>
    <t>emissions algeria gas</t>
  </si>
  <si>
    <t>emissions egypt gas</t>
  </si>
  <si>
    <t>total emissions algeria</t>
  </si>
  <si>
    <t>total emissions egypt</t>
  </si>
  <si>
    <t>distance de RU</t>
  </si>
  <si>
    <t>emissions pipe RU to DE</t>
  </si>
  <si>
    <t>Rest</t>
  </si>
  <si>
    <t>distance to italy</t>
  </si>
  <si>
    <t>value lybia</t>
  </si>
  <si>
    <t>emissions lybia gas</t>
  </si>
  <si>
    <t>value Tunisia</t>
  </si>
  <si>
    <t>emissions Tunisia 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</si>
</sst>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saynotolng.org/wp-content/uploads/2024/09/ISWG-GHG-17-3-Literature-review-on-well-to-tank-emissions-fromliquefied-natural-gas-LNG-imports-to-the.-CSC.pdf" TargetMode="External"/><Relationship Id="rId2" Type="http://schemas.openxmlformats.org/officeDocument/2006/relationships/hyperlink" Target="https://cleanshipping.org/wp-content/uploads/2025/02/MEPC-83-7-28-Key-considerations-to-determine-the-well-to-tank-WtT-emission-factor-for-liquefied-natur.-Pacific-Environment-CSC.pdf" TargetMode="External"/><Relationship Id="rId1" Type="http://schemas.openxmlformats.org/officeDocument/2006/relationships/hyperlink" Target="https://enveurope.springeropen.com/articles/10.1007/s12302-010-0125-6" TargetMode="External"/><Relationship Id="rId4" Type="http://schemas.openxmlformats.org/officeDocument/2006/relationships/hyperlink" Target="https://www.dcceew.gov.au/sites/default/files/documents/national-greenhouse-account-factors-2023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7B6A9-4CD7-49C9-8407-62B26396811D}">
  <dimension ref="A1:Q37"/>
  <sheetViews>
    <sheetView workbookViewId="0">
      <selection activeCell="N2" sqref="N2"/>
    </sheetView>
  </sheetViews>
  <sheetFormatPr defaultRowHeight="14.4" x14ac:dyDescent="0.3"/>
  <cols>
    <col min="26" max="26" width="11.77734375" bestFit="1" customWidth="1"/>
  </cols>
  <sheetData>
    <row r="1" spans="1:17" x14ac:dyDescent="0.3">
      <c r="A1" t="s">
        <v>52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22</v>
      </c>
    </row>
    <row r="2" spans="1:17" x14ac:dyDescent="0.3">
      <c r="A2" t="s">
        <v>0</v>
      </c>
      <c r="B2" t="b">
        <v>0</v>
      </c>
      <c r="C2">
        <v>81.639529411764684</v>
      </c>
      <c r="D2">
        <v>53.765130109670991</v>
      </c>
      <c r="E2">
        <v>62.773291046064649</v>
      </c>
      <c r="F2">
        <v>62.637176470588244</v>
      </c>
      <c r="G2">
        <v>74.521832446706739</v>
      </c>
      <c r="H2">
        <v>81.256178688061908</v>
      </c>
      <c r="I2">
        <v>19.276703276025685</v>
      </c>
      <c r="J2">
        <v>31.117645806721097</v>
      </c>
      <c r="K2">
        <v>79.307168318198791</v>
      </c>
      <c r="L2">
        <v>61.410461919857205</v>
      </c>
      <c r="M2">
        <v>56.475255454194745</v>
      </c>
      <c r="N2">
        <v>75.041530204906451</v>
      </c>
      <c r="O2">
        <v>72.142818929885323</v>
      </c>
      <c r="P2">
        <v>69.650954303405584</v>
      </c>
      <c r="Q2">
        <v>6.4829231993965921</v>
      </c>
    </row>
    <row r="3" spans="1:17" x14ac:dyDescent="0.3">
      <c r="A3" t="s">
        <v>1</v>
      </c>
      <c r="B3" t="b">
        <v>1</v>
      </c>
      <c r="C3">
        <v>81.639529411764684</v>
      </c>
      <c r="D3">
        <v>53.765130109670991</v>
      </c>
      <c r="E3">
        <v>62.773291046064649</v>
      </c>
      <c r="F3">
        <v>62.637176470588244</v>
      </c>
      <c r="G3">
        <v>74.521832446706739</v>
      </c>
      <c r="H3">
        <v>81.256178688061908</v>
      </c>
      <c r="I3">
        <v>19.276703276025685</v>
      </c>
      <c r="J3">
        <v>31.117645806721097</v>
      </c>
      <c r="K3">
        <v>79.307168318198791</v>
      </c>
      <c r="L3">
        <v>61.410461919857205</v>
      </c>
      <c r="M3">
        <v>56.475255454194745</v>
      </c>
      <c r="N3">
        <v>75.041530204906451</v>
      </c>
      <c r="O3">
        <v>72.142818929885323</v>
      </c>
      <c r="P3">
        <v>69.650954303405584</v>
      </c>
      <c r="Q3">
        <v>6.4829231993965921</v>
      </c>
    </row>
    <row r="4" spans="1:17" x14ac:dyDescent="0.3">
      <c r="A4" t="s">
        <v>2</v>
      </c>
      <c r="B4" t="b">
        <v>1</v>
      </c>
      <c r="C4">
        <v>81.028026845637584</v>
      </c>
      <c r="D4">
        <v>53.105957627118642</v>
      </c>
      <c r="E4">
        <v>63.33970029352696</v>
      </c>
      <c r="F4">
        <v>63.343596330275233</v>
      </c>
      <c r="G4">
        <v>74.129863370201704</v>
      </c>
      <c r="H4">
        <v>81.932594928032884</v>
      </c>
      <c r="I4">
        <v>19.276703276025685</v>
      </c>
      <c r="J4">
        <v>31.117645806721097</v>
      </c>
      <c r="K4">
        <v>79.307168318198791</v>
      </c>
      <c r="L4">
        <v>61.410461919857205</v>
      </c>
      <c r="M4">
        <v>56.475255454194745</v>
      </c>
      <c r="N4">
        <v>75.041530204906451</v>
      </c>
      <c r="O4">
        <v>72.570716636937036</v>
      </c>
      <c r="P4">
        <v>70.201212631578954</v>
      </c>
      <c r="Q4">
        <v>6.5604478724514799</v>
      </c>
    </row>
    <row r="5" spans="1:17" x14ac:dyDescent="0.3">
      <c r="A5" t="s">
        <v>3</v>
      </c>
      <c r="B5" t="b">
        <v>0</v>
      </c>
      <c r="C5">
        <v>81.639529411764684</v>
      </c>
      <c r="D5">
        <v>53.765130109670991</v>
      </c>
      <c r="E5">
        <v>62.773291046064649</v>
      </c>
      <c r="F5">
        <v>62.637176470588244</v>
      </c>
      <c r="G5">
        <v>74.521832446706739</v>
      </c>
      <c r="H5">
        <v>81.256178688061908</v>
      </c>
      <c r="I5">
        <v>19.276703276025685</v>
      </c>
      <c r="J5">
        <v>31.117645806721097</v>
      </c>
      <c r="K5">
        <v>79.307168318198791</v>
      </c>
      <c r="L5">
        <v>61.410461919857205</v>
      </c>
      <c r="M5">
        <v>56.475255454194745</v>
      </c>
      <c r="N5">
        <v>75.041530204906451</v>
      </c>
      <c r="O5">
        <v>72.142818929885323</v>
      </c>
      <c r="P5">
        <v>69.650954303405584</v>
      </c>
      <c r="Q5">
        <v>6.4829231993965921</v>
      </c>
    </row>
    <row r="6" spans="1:17" x14ac:dyDescent="0.3">
      <c r="A6" t="s">
        <v>4</v>
      </c>
      <c r="B6" t="b">
        <v>1</v>
      </c>
      <c r="C6">
        <v>81.639529411764684</v>
      </c>
      <c r="D6">
        <v>53.765130109670991</v>
      </c>
      <c r="E6">
        <v>62.773291046064649</v>
      </c>
      <c r="F6">
        <v>62.637176470588244</v>
      </c>
      <c r="G6">
        <v>74.521832446706739</v>
      </c>
      <c r="H6">
        <v>81.256178688061908</v>
      </c>
      <c r="I6">
        <v>19.276703276025685</v>
      </c>
      <c r="J6">
        <v>31.117645806721097</v>
      </c>
      <c r="K6">
        <v>79.307168318198791</v>
      </c>
      <c r="L6">
        <v>61.410461919857205</v>
      </c>
      <c r="M6">
        <v>56.475255454194745</v>
      </c>
      <c r="N6">
        <v>75.041530204906451</v>
      </c>
      <c r="O6">
        <v>72.142818929885323</v>
      </c>
      <c r="P6">
        <v>69.650954303405584</v>
      </c>
      <c r="Q6">
        <v>6.4829231993965921</v>
      </c>
    </row>
    <row r="7" spans="1:17" x14ac:dyDescent="0.3">
      <c r="A7" t="s">
        <v>5</v>
      </c>
      <c r="B7" t="b">
        <v>1</v>
      </c>
      <c r="C7">
        <v>83.048859060402691</v>
      </c>
      <c r="D7">
        <v>54.645364406779663</v>
      </c>
      <c r="E7">
        <v>60.519987640970186</v>
      </c>
      <c r="F7">
        <v>60.552770642201835</v>
      </c>
      <c r="G7">
        <v>75.021392322706575</v>
      </c>
      <c r="H7">
        <v>79.238146675805325</v>
      </c>
      <c r="I7">
        <v>19.276703276025685</v>
      </c>
      <c r="J7">
        <v>31.117645806721097</v>
      </c>
      <c r="K7">
        <v>79.307168318198791</v>
      </c>
      <c r="L7">
        <v>61.410461919857205</v>
      </c>
      <c r="M7">
        <v>56.475255454194745</v>
      </c>
      <c r="N7">
        <v>75.041530204906451</v>
      </c>
      <c r="O7">
        <v>70.952739108847155</v>
      </c>
      <c r="P7">
        <v>67.541002105263161</v>
      </c>
      <c r="Q7">
        <v>6.4829231993965921</v>
      </c>
    </row>
    <row r="8" spans="1:17" x14ac:dyDescent="0.3">
      <c r="A8" t="s">
        <v>6</v>
      </c>
      <c r="B8" t="b">
        <v>1</v>
      </c>
      <c r="C8">
        <v>81.639529411764684</v>
      </c>
      <c r="D8">
        <v>53.765130109670991</v>
      </c>
      <c r="E8">
        <v>62.773291046064649</v>
      </c>
      <c r="F8">
        <v>62.637176470588244</v>
      </c>
      <c r="G8">
        <v>74.521832446706739</v>
      </c>
      <c r="H8">
        <v>81.256178688061908</v>
      </c>
      <c r="I8">
        <v>19.276703276025685</v>
      </c>
      <c r="J8">
        <v>31.117645806721097</v>
      </c>
      <c r="K8">
        <v>79.307168318198791</v>
      </c>
      <c r="L8">
        <v>61.410461919857205</v>
      </c>
      <c r="M8">
        <v>56.475255454194745</v>
      </c>
      <c r="N8">
        <v>75.041530204906451</v>
      </c>
      <c r="O8">
        <v>72.142818929885323</v>
      </c>
      <c r="P8">
        <v>69.650954303405584</v>
      </c>
      <c r="Q8">
        <v>6.4829231993965921</v>
      </c>
    </row>
    <row r="9" spans="1:17" x14ac:dyDescent="0.3">
      <c r="A9" t="s">
        <v>7</v>
      </c>
      <c r="B9" t="b">
        <v>1</v>
      </c>
      <c r="C9">
        <v>81.639529411764684</v>
      </c>
      <c r="D9">
        <v>53.765130109670991</v>
      </c>
      <c r="E9">
        <v>62.773291046064649</v>
      </c>
      <c r="F9">
        <v>62.637176470588244</v>
      </c>
      <c r="G9">
        <v>74.521832446706739</v>
      </c>
      <c r="H9">
        <v>81.256178688061908</v>
      </c>
      <c r="I9">
        <v>19.276703276025685</v>
      </c>
      <c r="J9">
        <v>31.117645806721097</v>
      </c>
      <c r="K9">
        <v>79.307168318198791</v>
      </c>
      <c r="L9">
        <v>61.410461919857205</v>
      </c>
      <c r="M9">
        <v>56.475255454194745</v>
      </c>
      <c r="N9">
        <v>75.041530204906451</v>
      </c>
      <c r="O9">
        <v>72.142818929885323</v>
      </c>
      <c r="P9">
        <v>69.650954303405584</v>
      </c>
      <c r="Q9">
        <v>6.0724198318715077</v>
      </c>
    </row>
    <row r="10" spans="1:17" x14ac:dyDescent="0.3">
      <c r="A10" t="s">
        <v>8</v>
      </c>
      <c r="B10" t="b">
        <v>1</v>
      </c>
      <c r="C10">
        <v>82.274738255033554</v>
      </c>
      <c r="D10">
        <v>54.663161016949154</v>
      </c>
      <c r="E10">
        <v>64.996823729337251</v>
      </c>
      <c r="F10">
        <v>64.983743119266052</v>
      </c>
      <c r="G10">
        <v>75.829850357839959</v>
      </c>
      <c r="H10">
        <v>83.516101439341995</v>
      </c>
      <c r="I10">
        <v>19.276703276025685</v>
      </c>
      <c r="J10">
        <v>31.117645806721097</v>
      </c>
      <c r="K10">
        <v>79.307168318198791</v>
      </c>
      <c r="L10">
        <v>61.410461919857205</v>
      </c>
      <c r="M10">
        <v>56.475255454194745</v>
      </c>
      <c r="N10">
        <v>75.041530204906451</v>
      </c>
      <c r="O10">
        <v>73.521589584214482</v>
      </c>
      <c r="P10">
        <v>71.764597894736838</v>
      </c>
      <c r="Q10">
        <v>6.4829231993965921</v>
      </c>
    </row>
    <row r="11" spans="1:17" x14ac:dyDescent="0.3">
      <c r="A11" t="s">
        <v>9</v>
      </c>
      <c r="B11" t="b">
        <v>1</v>
      </c>
      <c r="C11">
        <v>82.274738255033554</v>
      </c>
      <c r="D11">
        <v>54.663161016949154</v>
      </c>
      <c r="E11">
        <v>64.996823729337251</v>
      </c>
      <c r="F11">
        <v>64.983743119266052</v>
      </c>
      <c r="G11">
        <v>75.829850357839959</v>
      </c>
      <c r="H11">
        <v>83.516101439341995</v>
      </c>
      <c r="I11">
        <v>19.276703276025685</v>
      </c>
      <c r="J11">
        <v>25.072445424753251</v>
      </c>
      <c r="K11">
        <v>79.307168318198791</v>
      </c>
      <c r="L11">
        <v>61.410461919857205</v>
      </c>
      <c r="M11">
        <v>56.475255454194745</v>
      </c>
      <c r="N11">
        <v>75.041530204906451</v>
      </c>
      <c r="O11">
        <v>73.521589584214482</v>
      </c>
      <c r="P11">
        <v>71.764597894736838</v>
      </c>
      <c r="Q11">
        <v>6.4829231993965921</v>
      </c>
    </row>
    <row r="12" spans="1:17" x14ac:dyDescent="0.3">
      <c r="A12" t="s">
        <v>10</v>
      </c>
      <c r="B12" t="b">
        <v>1</v>
      </c>
      <c r="C12">
        <v>80.987436241610737</v>
      </c>
      <c r="D12">
        <v>53.057016949152541</v>
      </c>
      <c r="E12">
        <v>63.291982079406765</v>
      </c>
      <c r="F12">
        <v>60.916293577981648</v>
      </c>
      <c r="G12">
        <v>73.583968770331822</v>
      </c>
      <c r="H12">
        <v>79.589115832762147</v>
      </c>
      <c r="I12">
        <v>19.276703276025685</v>
      </c>
      <c r="J12">
        <v>31.117645806721097</v>
      </c>
      <c r="K12">
        <v>79.307168318198791</v>
      </c>
      <c r="L12">
        <v>61.410461919857205</v>
      </c>
      <c r="M12">
        <v>56.475255454194745</v>
      </c>
      <c r="N12">
        <v>75.041530204906451</v>
      </c>
      <c r="O12">
        <v>71.074709722503158</v>
      </c>
      <c r="P12">
        <v>69.737381052631576</v>
      </c>
      <c r="Q12">
        <v>6.9190068562697657</v>
      </c>
    </row>
    <row r="13" spans="1:17" x14ac:dyDescent="0.3">
      <c r="A13" t="s">
        <v>11</v>
      </c>
      <c r="B13" t="b">
        <v>1</v>
      </c>
      <c r="C13">
        <v>81.36</v>
      </c>
      <c r="D13">
        <v>53.495999999999995</v>
      </c>
      <c r="E13">
        <v>63.72</v>
      </c>
      <c r="F13">
        <v>63.72</v>
      </c>
      <c r="G13">
        <v>74.52</v>
      </c>
      <c r="H13">
        <v>82.295999999999978</v>
      </c>
      <c r="I13">
        <v>19.276703276025685</v>
      </c>
      <c r="J13">
        <v>35.28</v>
      </c>
      <c r="K13">
        <v>79.307168318198791</v>
      </c>
      <c r="L13">
        <v>61.410461919857205</v>
      </c>
      <c r="M13">
        <v>56.475255454194745</v>
      </c>
      <c r="N13">
        <v>75.041530204906451</v>
      </c>
      <c r="O13">
        <v>72.78893617021275</v>
      </c>
      <c r="P13">
        <v>70.56</v>
      </c>
      <c r="Q13">
        <v>6.48</v>
      </c>
    </row>
    <row r="14" spans="1:17" x14ac:dyDescent="0.3">
      <c r="A14" t="s">
        <v>12</v>
      </c>
      <c r="B14" t="b">
        <v>1</v>
      </c>
      <c r="C14">
        <v>82.867651006711412</v>
      </c>
      <c r="D14">
        <v>54.459983050847455</v>
      </c>
      <c r="E14">
        <v>59.567069365054842</v>
      </c>
      <c r="F14">
        <v>59.609614678899085</v>
      </c>
      <c r="G14">
        <v>74.835966167859468</v>
      </c>
      <c r="H14">
        <v>78.327561343385867</v>
      </c>
      <c r="I14">
        <v>19.276703276025685</v>
      </c>
      <c r="J14">
        <v>31.117645806721097</v>
      </c>
      <c r="K14">
        <v>79.307168318198791</v>
      </c>
      <c r="L14">
        <v>61.410461919857205</v>
      </c>
      <c r="M14">
        <v>56.475255454194745</v>
      </c>
      <c r="N14">
        <v>75.041530204906451</v>
      </c>
      <c r="O14">
        <v>70.338737380238683</v>
      </c>
      <c r="P14">
        <v>66.790686315789472</v>
      </c>
      <c r="Q14">
        <v>6.4829231993965921</v>
      </c>
    </row>
    <row r="15" spans="1:17" x14ac:dyDescent="0.3">
      <c r="A15" t="s">
        <v>13</v>
      </c>
      <c r="B15" t="b">
        <v>1</v>
      </c>
      <c r="C15">
        <v>81.639529411764684</v>
      </c>
      <c r="D15">
        <v>53.765130109670991</v>
      </c>
      <c r="E15">
        <v>62.773291046064649</v>
      </c>
      <c r="F15">
        <v>62.637176470588244</v>
      </c>
      <c r="G15">
        <v>74.521832446706739</v>
      </c>
      <c r="H15">
        <v>81.256178688061908</v>
      </c>
      <c r="I15">
        <v>19.276703276025685</v>
      </c>
      <c r="J15">
        <v>31.117645806721097</v>
      </c>
      <c r="K15">
        <v>79.307168318198791</v>
      </c>
      <c r="L15">
        <v>61.410461919857205</v>
      </c>
      <c r="M15">
        <v>56.475255454194745</v>
      </c>
      <c r="N15">
        <v>75.041530204906451</v>
      </c>
      <c r="O15">
        <v>72.142818929885323</v>
      </c>
      <c r="P15">
        <v>69.650954303405584</v>
      </c>
      <c r="Q15">
        <v>6.4829231993965921</v>
      </c>
    </row>
    <row r="16" spans="1:17" x14ac:dyDescent="0.3">
      <c r="A16" t="s">
        <v>14</v>
      </c>
      <c r="B16" t="b">
        <v>1</v>
      </c>
      <c r="C16">
        <v>80.416268456375832</v>
      </c>
      <c r="D16">
        <v>52.533499999999997</v>
      </c>
      <c r="E16">
        <v>63.051945002317318</v>
      </c>
      <c r="F16">
        <v>63.05878899082569</v>
      </c>
      <c r="G16">
        <v>73.834664931685111</v>
      </c>
      <c r="H16">
        <v>81.657623029472219</v>
      </c>
      <c r="I16">
        <v>19.276703276025685</v>
      </c>
      <c r="J16">
        <v>31.117645806721097</v>
      </c>
      <c r="K16">
        <v>79.307168318198791</v>
      </c>
      <c r="L16">
        <v>61.410461919857205</v>
      </c>
      <c r="M16">
        <v>56.475255454194745</v>
      </c>
      <c r="N16">
        <v>75.041530204906451</v>
      </c>
      <c r="O16">
        <v>72.405599955865299</v>
      </c>
      <c r="P16">
        <v>69.929734736842107</v>
      </c>
      <c r="Q16">
        <v>6.4829231993965921</v>
      </c>
    </row>
    <row r="17" spans="1:17" x14ac:dyDescent="0.3">
      <c r="A17" t="s">
        <v>15</v>
      </c>
      <c r="B17" t="b">
        <v>1</v>
      </c>
      <c r="C17">
        <v>81.963060402684562</v>
      </c>
      <c r="D17">
        <v>54.722483050847458</v>
      </c>
      <c r="E17">
        <v>60.700738452031516</v>
      </c>
      <c r="F17">
        <v>60.62862385321101</v>
      </c>
      <c r="G17">
        <v>73.868783344176975</v>
      </c>
      <c r="H17">
        <v>79.410867717614792</v>
      </c>
      <c r="I17">
        <v>19.276703276025685</v>
      </c>
      <c r="J17">
        <v>31.117645806721097</v>
      </c>
      <c r="K17">
        <v>80.570256457351576</v>
      </c>
      <c r="L17">
        <v>61.410461919857205</v>
      </c>
      <c r="M17">
        <v>56.475255454194745</v>
      </c>
      <c r="N17">
        <v>75.041530204906451</v>
      </c>
      <c r="O17">
        <v>70.936974199599092</v>
      </c>
      <c r="P17">
        <v>71.475385263157904</v>
      </c>
      <c r="Q17">
        <v>6.4829231993965921</v>
      </c>
    </row>
    <row r="18" spans="1:17" x14ac:dyDescent="0.3">
      <c r="A18" t="s">
        <v>16</v>
      </c>
      <c r="B18" t="b">
        <v>1</v>
      </c>
      <c r="C18">
        <v>82.187758389261745</v>
      </c>
      <c r="D18">
        <v>54.574177966101693</v>
      </c>
      <c r="E18">
        <v>64.910063340027804</v>
      </c>
      <c r="F18">
        <v>64.897871559633032</v>
      </c>
      <c r="G18">
        <v>75.740845803513338</v>
      </c>
      <c r="H18">
        <v>83.433195339273453</v>
      </c>
      <c r="I18">
        <v>19.276703276025685</v>
      </c>
      <c r="J18">
        <v>28.599772152949953</v>
      </c>
      <c r="K18">
        <v>79.307168318198791</v>
      </c>
      <c r="L18">
        <v>61.410461919857205</v>
      </c>
      <c r="M18">
        <v>56.475255454194745</v>
      </c>
      <c r="N18">
        <v>75.041530204906451</v>
      </c>
      <c r="O18">
        <v>73.471805660273262</v>
      </c>
      <c r="P18">
        <v>71.682745263157898</v>
      </c>
      <c r="Q18">
        <v>6.4829231993965921</v>
      </c>
    </row>
    <row r="19" spans="1:17" x14ac:dyDescent="0.3">
      <c r="A19" t="s">
        <v>17</v>
      </c>
      <c r="B19" t="b">
        <v>1</v>
      </c>
      <c r="C19">
        <v>81.967409395973149</v>
      </c>
      <c r="D19">
        <v>54.348754237288134</v>
      </c>
      <c r="E19">
        <v>64.690270353777223</v>
      </c>
      <c r="F19">
        <v>64.680330275229352</v>
      </c>
      <c r="G19">
        <v>75.51536759921926</v>
      </c>
      <c r="H19">
        <v>83.223166552433156</v>
      </c>
      <c r="I19">
        <v>19.276703276025685</v>
      </c>
      <c r="J19">
        <v>29.604968491332414</v>
      </c>
      <c r="K19">
        <v>79.307168318198791</v>
      </c>
      <c r="L19">
        <v>61.410461919857205</v>
      </c>
      <c r="M19">
        <v>56.475255454194745</v>
      </c>
      <c r="N19">
        <v>75.041530204906451</v>
      </c>
      <c r="O19">
        <v>73.345686386288818</v>
      </c>
      <c r="P19">
        <v>69.650954303405584</v>
      </c>
      <c r="Q19">
        <v>6.4829231993965921</v>
      </c>
    </row>
    <row r="20" spans="1:17" x14ac:dyDescent="0.3">
      <c r="A20" t="s">
        <v>18</v>
      </c>
      <c r="B20" t="b">
        <v>1</v>
      </c>
      <c r="C20">
        <v>81.639529411764684</v>
      </c>
      <c r="D20">
        <v>53.765130109670991</v>
      </c>
      <c r="E20">
        <v>62.773291046064649</v>
      </c>
      <c r="F20">
        <v>62.637176470588244</v>
      </c>
      <c r="G20">
        <v>74.521832446706739</v>
      </c>
      <c r="H20">
        <v>81.256178688061908</v>
      </c>
      <c r="I20">
        <v>19.276703276025685</v>
      </c>
      <c r="J20">
        <v>31.117645806721097</v>
      </c>
      <c r="K20">
        <v>79.307168318198791</v>
      </c>
      <c r="L20">
        <v>61.410461919857205</v>
      </c>
      <c r="M20">
        <v>56.475255454194745</v>
      </c>
      <c r="N20">
        <v>75.041530204906451</v>
      </c>
      <c r="O20">
        <v>72.142818929885323</v>
      </c>
      <c r="P20">
        <v>69.650954303405584</v>
      </c>
      <c r="Q20">
        <v>6.4829231993965921</v>
      </c>
    </row>
    <row r="21" spans="1:17" x14ac:dyDescent="0.3">
      <c r="A21" t="s">
        <v>19</v>
      </c>
      <c r="B21" t="b">
        <v>0</v>
      </c>
      <c r="C21">
        <v>81.639529411764684</v>
      </c>
      <c r="D21">
        <v>53.765130109670991</v>
      </c>
      <c r="E21">
        <v>62.773291046064649</v>
      </c>
      <c r="F21">
        <v>62.637176470588244</v>
      </c>
      <c r="G21">
        <v>74.521832446706739</v>
      </c>
      <c r="H21">
        <v>81.256178688061908</v>
      </c>
      <c r="I21">
        <v>19.276703276025685</v>
      </c>
      <c r="J21">
        <v>31.117645806721097</v>
      </c>
      <c r="K21">
        <v>79.307168318198791</v>
      </c>
      <c r="L21">
        <v>61.410461919857205</v>
      </c>
      <c r="M21">
        <v>56.475255454194745</v>
      </c>
      <c r="N21">
        <v>75.041530204906451</v>
      </c>
      <c r="O21">
        <v>72.142818929885323</v>
      </c>
      <c r="P21">
        <v>69.650954303405584</v>
      </c>
      <c r="Q21">
        <v>6.4829231993965921</v>
      </c>
    </row>
    <row r="22" spans="1:17" x14ac:dyDescent="0.3">
      <c r="A22" t="s">
        <v>20</v>
      </c>
      <c r="B22" t="b">
        <v>1</v>
      </c>
      <c r="C22">
        <v>81.123704697986582</v>
      </c>
      <c r="D22">
        <v>53.203838983050844</v>
      </c>
      <c r="E22">
        <v>63.435136721767336</v>
      </c>
      <c r="F22">
        <v>63.442348623853213</v>
      </c>
      <c r="G22">
        <v>74.227768379960963</v>
      </c>
      <c r="H22">
        <v>82.023791638108278</v>
      </c>
      <c r="I22">
        <v>19.276703276025685</v>
      </c>
      <c r="J22">
        <v>31.117645806721097</v>
      </c>
      <c r="K22">
        <v>79.307168318198791</v>
      </c>
      <c r="L22">
        <v>61.410461919857205</v>
      </c>
      <c r="M22">
        <v>56.475255454194745</v>
      </c>
      <c r="N22">
        <v>75.041530204906451</v>
      </c>
      <c r="O22">
        <v>72.625478953272392</v>
      </c>
      <c r="P22">
        <v>70.291250526315793</v>
      </c>
      <c r="Q22">
        <v>6.4181490433991044</v>
      </c>
    </row>
    <row r="23" spans="1:17" x14ac:dyDescent="0.3">
      <c r="A23" t="s">
        <v>21</v>
      </c>
      <c r="B23" t="b">
        <v>0</v>
      </c>
      <c r="C23">
        <v>81.639529411764684</v>
      </c>
      <c r="D23">
        <v>53.765130109670991</v>
      </c>
      <c r="E23">
        <v>62.773291046064649</v>
      </c>
      <c r="F23">
        <v>62.637176470588244</v>
      </c>
      <c r="G23">
        <v>74.521832446706739</v>
      </c>
      <c r="H23">
        <v>81.256178688061908</v>
      </c>
      <c r="I23">
        <v>19.276703276025685</v>
      </c>
      <c r="J23">
        <v>31.117645806721097</v>
      </c>
      <c r="K23">
        <v>79.307168318198791</v>
      </c>
      <c r="L23">
        <v>61.410461919857205</v>
      </c>
      <c r="M23">
        <v>56.475255454194745</v>
      </c>
      <c r="N23">
        <v>75.041530204906451</v>
      </c>
      <c r="O23">
        <v>72.142818929885323</v>
      </c>
      <c r="P23">
        <v>69.650954303405584</v>
      </c>
      <c r="Q23">
        <v>6.4829231993965921</v>
      </c>
    </row>
    <row r="24" spans="1:17" x14ac:dyDescent="0.3">
      <c r="A24" t="s">
        <v>22</v>
      </c>
      <c r="B24" t="b">
        <v>0</v>
      </c>
      <c r="C24">
        <v>81.639529411764684</v>
      </c>
      <c r="D24">
        <v>53.765130109670991</v>
      </c>
      <c r="E24">
        <v>62.773291046064649</v>
      </c>
      <c r="F24">
        <v>62.637176470588244</v>
      </c>
      <c r="G24">
        <v>74.521832446706739</v>
      </c>
      <c r="H24">
        <v>81.256178688061908</v>
      </c>
      <c r="I24">
        <v>19.276703276025685</v>
      </c>
      <c r="J24">
        <v>31.117645806721097</v>
      </c>
      <c r="K24">
        <v>79.307168318198791</v>
      </c>
      <c r="L24">
        <v>61.410461919857205</v>
      </c>
      <c r="M24">
        <v>56.475255454194745</v>
      </c>
      <c r="N24">
        <v>75.041530204906451</v>
      </c>
      <c r="O24">
        <v>72.142818929885323</v>
      </c>
      <c r="P24">
        <v>69.650954303405584</v>
      </c>
      <c r="Q24">
        <v>5.4</v>
      </c>
    </row>
    <row r="25" spans="1:17" x14ac:dyDescent="0.3">
      <c r="A25" t="s">
        <v>23</v>
      </c>
      <c r="B25" t="b">
        <v>1</v>
      </c>
      <c r="C25">
        <v>81.690523489932886</v>
      </c>
      <c r="D25">
        <v>54.065491525423724</v>
      </c>
      <c r="E25">
        <v>64.414083114475517</v>
      </c>
      <c r="F25">
        <v>64.406972477064215</v>
      </c>
      <c r="G25">
        <v>75.232036434612894</v>
      </c>
      <c r="H25">
        <v>82.959248800548309</v>
      </c>
      <c r="I25">
        <v>19.276703276025685</v>
      </c>
      <c r="J25">
        <v>33.046222524758605</v>
      </c>
      <c r="K25">
        <v>79.307168318198791</v>
      </c>
      <c r="L25">
        <v>61.410461919857205</v>
      </c>
      <c r="M25">
        <v>56.475255454194745</v>
      </c>
      <c r="N25">
        <v>75.041530204906451</v>
      </c>
      <c r="O25">
        <v>73.091788374188553</v>
      </c>
      <c r="P25">
        <v>71.214821052631578</v>
      </c>
      <c r="Q25">
        <v>6.4829231993965921</v>
      </c>
    </row>
    <row r="26" spans="1:17" x14ac:dyDescent="0.3">
      <c r="A26" t="s">
        <v>24</v>
      </c>
      <c r="B26" t="b">
        <v>1</v>
      </c>
      <c r="C26">
        <v>80.417718120805375</v>
      </c>
      <c r="D26">
        <v>52.088584745762709</v>
      </c>
      <c r="E26">
        <v>61.877787733662906</v>
      </c>
      <c r="F26">
        <v>61.896660550458719</v>
      </c>
      <c r="G26">
        <v>72.70727391021471</v>
      </c>
      <c r="H26">
        <v>80.535627141877981</v>
      </c>
      <c r="I26">
        <v>19.276703276025685</v>
      </c>
      <c r="J26">
        <v>31.117645806721097</v>
      </c>
      <c r="K26">
        <v>79.307168318198791</v>
      </c>
      <c r="L26">
        <v>61.410461919857205</v>
      </c>
      <c r="M26">
        <v>56.475255454194745</v>
      </c>
      <c r="N26">
        <v>75.041530204906451</v>
      </c>
      <c r="O26">
        <v>71.636438330973348</v>
      </c>
      <c r="P26">
        <v>68.821995789473689</v>
      </c>
      <c r="Q26">
        <v>6.4829231993965921</v>
      </c>
    </row>
    <row r="27" spans="1:17" x14ac:dyDescent="0.3">
      <c r="A27" t="s">
        <v>25</v>
      </c>
      <c r="B27" t="b">
        <v>1</v>
      </c>
      <c r="C27">
        <v>81.639529411764684</v>
      </c>
      <c r="D27">
        <v>53.765130109670991</v>
      </c>
      <c r="E27">
        <v>62.773291046064649</v>
      </c>
      <c r="F27">
        <v>62.637176470588244</v>
      </c>
      <c r="G27">
        <v>74.521832446706739</v>
      </c>
      <c r="H27">
        <v>81.256178688061908</v>
      </c>
      <c r="I27">
        <v>19.276703276025685</v>
      </c>
      <c r="J27">
        <v>31.117645806721097</v>
      </c>
      <c r="K27">
        <v>79.307168318198791</v>
      </c>
      <c r="L27">
        <v>61.410461919857205</v>
      </c>
      <c r="M27">
        <v>56.475255454194745</v>
      </c>
      <c r="N27">
        <v>75.041530204906451</v>
      </c>
      <c r="O27">
        <v>72.142818929885323</v>
      </c>
      <c r="P27">
        <v>69.650954303405584</v>
      </c>
      <c r="Q27">
        <v>6.4829231993965921</v>
      </c>
    </row>
    <row r="28" spans="1:17" x14ac:dyDescent="0.3">
      <c r="A28" t="s">
        <v>26</v>
      </c>
      <c r="B28" t="b">
        <v>0</v>
      </c>
      <c r="C28">
        <v>81.639529411764684</v>
      </c>
      <c r="D28">
        <v>53.765130109670991</v>
      </c>
      <c r="E28">
        <v>62.773291046064649</v>
      </c>
      <c r="F28">
        <v>62.637176470588244</v>
      </c>
      <c r="G28">
        <v>74.521832446706739</v>
      </c>
      <c r="H28">
        <v>81.256178688061908</v>
      </c>
      <c r="I28">
        <v>19.276703276025685</v>
      </c>
      <c r="J28">
        <v>31.117645806721097</v>
      </c>
      <c r="K28">
        <v>79.307168318198791</v>
      </c>
      <c r="L28">
        <v>61.410461919857205</v>
      </c>
      <c r="M28">
        <v>56.475255454194745</v>
      </c>
      <c r="N28">
        <v>75.041530204906451</v>
      </c>
      <c r="O28">
        <v>72.142818929885323</v>
      </c>
      <c r="P28">
        <v>69.650954303405584</v>
      </c>
      <c r="Q28">
        <v>6.4829231993965921</v>
      </c>
    </row>
    <row r="29" spans="1:17" x14ac:dyDescent="0.3">
      <c r="A29" t="s">
        <v>27</v>
      </c>
      <c r="B29" t="b">
        <v>0</v>
      </c>
      <c r="C29">
        <v>81.639529411764684</v>
      </c>
      <c r="D29">
        <v>53.765130109670991</v>
      </c>
      <c r="E29">
        <v>62.773291046064649</v>
      </c>
      <c r="F29">
        <v>62.637176470588244</v>
      </c>
      <c r="G29">
        <v>74.521832446706739</v>
      </c>
      <c r="H29">
        <v>81.256178688061908</v>
      </c>
      <c r="I29">
        <v>19.276703276025685</v>
      </c>
      <c r="J29">
        <v>31.117645806721097</v>
      </c>
      <c r="K29">
        <v>79.307168318198791</v>
      </c>
      <c r="L29">
        <v>61.410461919857205</v>
      </c>
      <c r="M29">
        <v>56.475255454194745</v>
      </c>
      <c r="N29">
        <v>75.041530204906451</v>
      </c>
      <c r="O29">
        <v>72.142818929885323</v>
      </c>
      <c r="P29">
        <v>69.650954303405584</v>
      </c>
      <c r="Q29">
        <v>6.4829231993965921</v>
      </c>
    </row>
    <row r="30" spans="1:17" x14ac:dyDescent="0.3">
      <c r="A30" t="s">
        <v>28</v>
      </c>
      <c r="B30" t="b">
        <v>1</v>
      </c>
      <c r="C30">
        <v>81.639529411764684</v>
      </c>
      <c r="D30">
        <v>53.765130109670991</v>
      </c>
      <c r="E30">
        <v>62.773291046064649</v>
      </c>
      <c r="F30">
        <v>62.637176470588244</v>
      </c>
      <c r="G30">
        <v>74.521832446706739</v>
      </c>
      <c r="H30">
        <v>81.256178688061908</v>
      </c>
      <c r="I30">
        <v>19.276703276025685</v>
      </c>
      <c r="J30">
        <v>31.117645806721097</v>
      </c>
      <c r="K30">
        <v>79.307168318198791</v>
      </c>
      <c r="L30">
        <v>61.410461919857205</v>
      </c>
      <c r="M30">
        <v>56.475255454194745</v>
      </c>
      <c r="N30">
        <v>75.041530204906451</v>
      </c>
      <c r="O30">
        <v>72.142818929885323</v>
      </c>
      <c r="P30">
        <v>69.650954303405584</v>
      </c>
      <c r="Q30">
        <v>6.4829231993965921</v>
      </c>
    </row>
    <row r="31" spans="1:17" x14ac:dyDescent="0.3">
      <c r="A31" t="s">
        <v>29</v>
      </c>
      <c r="B31" t="b">
        <v>1</v>
      </c>
      <c r="C31">
        <v>81.639529411764684</v>
      </c>
      <c r="D31">
        <v>53.765130109670991</v>
      </c>
      <c r="E31">
        <v>62.773291046064649</v>
      </c>
      <c r="F31">
        <v>62.637176470588244</v>
      </c>
      <c r="G31">
        <v>74.521832446706739</v>
      </c>
      <c r="H31">
        <v>81.256178688061908</v>
      </c>
      <c r="I31">
        <v>19.276703276025685</v>
      </c>
      <c r="J31">
        <v>31.117645806721097</v>
      </c>
      <c r="K31">
        <v>79.307168318198791</v>
      </c>
      <c r="L31">
        <v>61.410461919857205</v>
      </c>
      <c r="M31">
        <v>56.475255454194745</v>
      </c>
      <c r="N31">
        <v>75.041530204906451</v>
      </c>
      <c r="O31">
        <v>72.142818929885323</v>
      </c>
      <c r="P31">
        <v>69.650954303405584</v>
      </c>
      <c r="Q31">
        <v>6.4829231993965921</v>
      </c>
    </row>
    <row r="32" spans="1:17" x14ac:dyDescent="0.3">
      <c r="A32" t="s">
        <v>30</v>
      </c>
      <c r="B32" t="b">
        <v>1</v>
      </c>
      <c r="C32">
        <v>80.609073825503359</v>
      </c>
      <c r="D32">
        <v>52.60172033898305</v>
      </c>
      <c r="E32">
        <v>60.997169782172101</v>
      </c>
      <c r="F32">
        <v>61.025064220183488</v>
      </c>
      <c r="G32">
        <v>72.662771633051406</v>
      </c>
      <c r="H32">
        <v>79.694130226182295</v>
      </c>
      <c r="I32">
        <v>19.276703276025685</v>
      </c>
      <c r="J32">
        <v>31.117645806721097</v>
      </c>
      <c r="K32">
        <v>78.044080179046006</v>
      </c>
      <c r="L32">
        <v>61.410461919857205</v>
      </c>
      <c r="M32">
        <v>56.475255454194745</v>
      </c>
      <c r="N32">
        <v>75.041530204906451</v>
      </c>
      <c r="O32">
        <v>71.316161753618118</v>
      </c>
      <c r="P32">
        <v>67.991191578947365</v>
      </c>
      <c r="Q32">
        <v>6.4829231993965921</v>
      </c>
    </row>
    <row r="33" spans="1:17" x14ac:dyDescent="0.3">
      <c r="A33" t="s">
        <v>31</v>
      </c>
      <c r="B33" t="b">
        <v>1</v>
      </c>
      <c r="C33">
        <v>81.639529411764684</v>
      </c>
      <c r="D33">
        <v>53.765130109670991</v>
      </c>
      <c r="E33">
        <v>62.773291046064649</v>
      </c>
      <c r="F33">
        <v>62.637176470588244</v>
      </c>
      <c r="G33">
        <v>74.521832446706739</v>
      </c>
      <c r="H33">
        <v>81.256178688061908</v>
      </c>
      <c r="I33">
        <v>19.276703276025685</v>
      </c>
      <c r="J33">
        <v>31.117645806721097</v>
      </c>
      <c r="K33">
        <v>79.307168318198791</v>
      </c>
      <c r="L33">
        <v>61.410461919857205</v>
      </c>
      <c r="M33">
        <v>56.475255454194745</v>
      </c>
      <c r="N33">
        <v>75.041530204906451</v>
      </c>
      <c r="O33">
        <v>72.142818929885323</v>
      </c>
      <c r="P33">
        <v>69.650954303405584</v>
      </c>
      <c r="Q33">
        <v>6.4829231993965921</v>
      </c>
    </row>
    <row r="34" spans="1:17" x14ac:dyDescent="0.3">
      <c r="A34" t="s">
        <v>32</v>
      </c>
      <c r="B34" t="b">
        <v>0</v>
      </c>
      <c r="C34">
        <v>81.639529411764684</v>
      </c>
      <c r="D34">
        <v>53.765130109670991</v>
      </c>
      <c r="E34">
        <v>62.773291046064649</v>
      </c>
      <c r="F34">
        <v>62.637176470588244</v>
      </c>
      <c r="G34">
        <v>74.521832446706739</v>
      </c>
      <c r="H34">
        <v>81.256178688061908</v>
      </c>
      <c r="I34">
        <v>19.276703276025685</v>
      </c>
      <c r="J34">
        <v>31.117645806721097</v>
      </c>
      <c r="K34">
        <v>79.307168318198791</v>
      </c>
      <c r="L34">
        <v>61.410461919857205</v>
      </c>
      <c r="M34">
        <v>56.475255454194745</v>
      </c>
      <c r="N34">
        <v>75.041530204906451</v>
      </c>
      <c r="O34">
        <v>72.142818929885323</v>
      </c>
      <c r="P34">
        <v>69.650954303405584</v>
      </c>
      <c r="Q34">
        <v>6.4829231993965921</v>
      </c>
    </row>
    <row r="35" spans="1:17" x14ac:dyDescent="0.3">
      <c r="A35" t="s">
        <v>33</v>
      </c>
      <c r="B35" t="b">
        <v>0</v>
      </c>
      <c r="C35">
        <v>83.090899328859052</v>
      </c>
      <c r="D35">
        <v>54.688372881355932</v>
      </c>
      <c r="E35">
        <v>59.565623358566349</v>
      </c>
      <c r="F35">
        <v>59.608183486238531</v>
      </c>
      <c r="G35">
        <v>75.258737800910865</v>
      </c>
      <c r="H35">
        <v>78.326179575051384</v>
      </c>
      <c r="I35">
        <v>19.276703276025685</v>
      </c>
      <c r="J35">
        <v>35.374900727604761</v>
      </c>
      <c r="K35">
        <v>79.307168318198791</v>
      </c>
      <c r="L35">
        <v>61.410461919857205</v>
      </c>
      <c r="M35">
        <v>56.475255454194745</v>
      </c>
      <c r="N35">
        <v>75.041530204906451</v>
      </c>
      <c r="O35">
        <v>70.50800272163886</v>
      </c>
      <c r="P35">
        <v>66.640623157894737</v>
      </c>
      <c r="Q35">
        <v>6.4829231993965921</v>
      </c>
    </row>
    <row r="36" spans="1:17" x14ac:dyDescent="0.3">
      <c r="A36" t="s">
        <v>34</v>
      </c>
      <c r="B36" t="b">
        <v>0</v>
      </c>
      <c r="C36">
        <v>80.564134228187925</v>
      </c>
      <c r="D36">
        <v>53.089644067796613</v>
      </c>
      <c r="E36">
        <v>63.070743086667697</v>
      </c>
      <c r="F36">
        <v>63.077394495412847</v>
      </c>
      <c r="G36">
        <v>74.072010409889401</v>
      </c>
      <c r="H36">
        <v>81.675586017820407</v>
      </c>
      <c r="I36">
        <v>19.276703276025685</v>
      </c>
      <c r="J36">
        <v>31.117645806721097</v>
      </c>
      <c r="K36">
        <v>79.307168318198791</v>
      </c>
      <c r="L36">
        <v>61.410461919857205</v>
      </c>
      <c r="M36">
        <v>56.475255454194745</v>
      </c>
      <c r="N36">
        <v>75.041530204906451</v>
      </c>
      <c r="O36">
        <v>72.320967285165224</v>
      </c>
      <c r="P36">
        <v>69.947469473684208</v>
      </c>
      <c r="Q36">
        <v>6.4475155923877008</v>
      </c>
    </row>
    <row r="37" spans="1:17" x14ac:dyDescent="0.3">
      <c r="A37" t="s">
        <v>35</v>
      </c>
      <c r="B37" t="b">
        <v>0</v>
      </c>
      <c r="C37">
        <v>81.639529411764684</v>
      </c>
      <c r="D37">
        <v>53.765130109670991</v>
      </c>
      <c r="E37">
        <v>62.773291046064649</v>
      </c>
      <c r="F37">
        <v>62.637176470588244</v>
      </c>
      <c r="G37">
        <v>74.521832446706739</v>
      </c>
      <c r="H37">
        <v>81.256178688061908</v>
      </c>
      <c r="I37">
        <v>19.276703276025685</v>
      </c>
      <c r="J37">
        <v>30.845211325648673</v>
      </c>
      <c r="K37">
        <v>79.307168318198791</v>
      </c>
      <c r="L37">
        <v>61.410461919857205</v>
      </c>
      <c r="M37">
        <v>56.475255454194745</v>
      </c>
      <c r="N37">
        <v>75.041530204906451</v>
      </c>
      <c r="O37">
        <v>72.142818929885323</v>
      </c>
      <c r="P37">
        <v>69.650954303405584</v>
      </c>
      <c r="Q37">
        <v>6.4829231993965921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71E7E-91D4-4876-B8A6-B29CBB1455A1}">
  <dimension ref="A1:B36"/>
  <sheetViews>
    <sheetView workbookViewId="0">
      <selection activeCell="A9" sqref="A9"/>
    </sheetView>
  </sheetViews>
  <sheetFormatPr defaultRowHeight="14.4" x14ac:dyDescent="0.3"/>
  <sheetData>
    <row r="1" spans="1:2" x14ac:dyDescent="0.3">
      <c r="A1" t="s">
        <v>52</v>
      </c>
      <c r="B1" t="s">
        <v>51</v>
      </c>
    </row>
    <row r="2" spans="1:2" x14ac:dyDescent="0.3">
      <c r="A2" t="s">
        <v>0</v>
      </c>
      <c r="B2">
        <v>20.52</v>
      </c>
    </row>
    <row r="3" spans="1:2" x14ac:dyDescent="0.3">
      <c r="A3" t="s">
        <v>1</v>
      </c>
      <c r="B3">
        <v>20.52</v>
      </c>
    </row>
    <row r="4" spans="1:2" x14ac:dyDescent="0.3">
      <c r="A4" t="s">
        <v>2</v>
      </c>
      <c r="B4">
        <v>20.52</v>
      </c>
    </row>
    <row r="5" spans="1:2" x14ac:dyDescent="0.3">
      <c r="A5" t="s">
        <v>3</v>
      </c>
      <c r="B5">
        <v>20.52</v>
      </c>
    </row>
    <row r="6" spans="1:2" x14ac:dyDescent="0.3">
      <c r="A6" t="s">
        <v>4</v>
      </c>
      <c r="B6">
        <v>20.52</v>
      </c>
    </row>
    <row r="7" spans="1:2" x14ac:dyDescent="0.3">
      <c r="A7" t="s">
        <v>5</v>
      </c>
      <c r="B7">
        <v>20.52</v>
      </c>
    </row>
    <row r="8" spans="1:2" x14ac:dyDescent="0.3">
      <c r="A8" t="s">
        <v>6</v>
      </c>
      <c r="B8">
        <v>20.52</v>
      </c>
    </row>
    <row r="9" spans="1:2" x14ac:dyDescent="0.3">
      <c r="A9" t="s">
        <v>7</v>
      </c>
      <c r="B9">
        <v>5.4</v>
      </c>
    </row>
    <row r="10" spans="1:2" x14ac:dyDescent="0.3">
      <c r="A10" t="s">
        <v>8</v>
      </c>
      <c r="B10">
        <v>20.52</v>
      </c>
    </row>
    <row r="11" spans="1:2" x14ac:dyDescent="0.3">
      <c r="A11" t="s">
        <v>9</v>
      </c>
      <c r="B11">
        <v>20.52</v>
      </c>
    </row>
    <row r="12" spans="1:2" x14ac:dyDescent="0.3">
      <c r="A12" t="s">
        <v>10</v>
      </c>
      <c r="B12">
        <v>20.52</v>
      </c>
    </row>
    <row r="13" spans="1:2" x14ac:dyDescent="0.3">
      <c r="A13" t="s">
        <v>11</v>
      </c>
      <c r="B13">
        <v>20.52</v>
      </c>
    </row>
    <row r="14" spans="1:2" x14ac:dyDescent="0.3">
      <c r="A14" t="s">
        <v>12</v>
      </c>
      <c r="B14">
        <v>20.52</v>
      </c>
    </row>
    <row r="15" spans="1:2" x14ac:dyDescent="0.3">
      <c r="A15" t="s">
        <v>13</v>
      </c>
      <c r="B15">
        <v>20.52</v>
      </c>
    </row>
    <row r="16" spans="1:2" x14ac:dyDescent="0.3">
      <c r="A16" t="s">
        <v>14</v>
      </c>
      <c r="B16">
        <v>20.52</v>
      </c>
    </row>
    <row r="17" spans="1:2" x14ac:dyDescent="0.3">
      <c r="A17" t="s">
        <v>15</v>
      </c>
      <c r="B17">
        <v>20.52</v>
      </c>
    </row>
    <row r="18" spans="1:2" x14ac:dyDescent="0.3">
      <c r="A18" t="s">
        <v>16</v>
      </c>
      <c r="B18">
        <v>20.52</v>
      </c>
    </row>
    <row r="19" spans="1:2" x14ac:dyDescent="0.3">
      <c r="A19" t="s">
        <v>17</v>
      </c>
      <c r="B19">
        <v>20.52</v>
      </c>
    </row>
    <row r="20" spans="1:2" x14ac:dyDescent="0.3">
      <c r="A20" t="s">
        <v>18</v>
      </c>
      <c r="B20">
        <v>20.52</v>
      </c>
    </row>
    <row r="21" spans="1:2" x14ac:dyDescent="0.3">
      <c r="A21" t="s">
        <v>19</v>
      </c>
      <c r="B21">
        <v>20.52</v>
      </c>
    </row>
    <row r="22" spans="1:2" x14ac:dyDescent="0.3">
      <c r="A22" t="s">
        <v>20</v>
      </c>
      <c r="B22">
        <v>6.12</v>
      </c>
    </row>
    <row r="23" spans="1:2" x14ac:dyDescent="0.3">
      <c r="A23" t="s">
        <v>21</v>
      </c>
      <c r="B23">
        <v>20.52</v>
      </c>
    </row>
    <row r="24" spans="1:2" x14ac:dyDescent="0.3">
      <c r="A24" t="s">
        <v>23</v>
      </c>
      <c r="B24">
        <v>20.52</v>
      </c>
    </row>
    <row r="25" spans="1:2" x14ac:dyDescent="0.3">
      <c r="A25" t="s">
        <v>24</v>
      </c>
      <c r="B25">
        <v>20.52</v>
      </c>
    </row>
    <row r="26" spans="1:2" x14ac:dyDescent="0.3">
      <c r="A26" t="s">
        <v>25</v>
      </c>
      <c r="B26">
        <v>20.52</v>
      </c>
    </row>
    <row r="27" spans="1:2" x14ac:dyDescent="0.3">
      <c r="A27" t="s">
        <v>26</v>
      </c>
      <c r="B27">
        <v>20.52</v>
      </c>
    </row>
    <row r="28" spans="1:2" x14ac:dyDescent="0.3">
      <c r="A28" t="s">
        <v>27</v>
      </c>
      <c r="B28">
        <v>20.52</v>
      </c>
    </row>
    <row r="29" spans="1:2" x14ac:dyDescent="0.3">
      <c r="A29" t="s">
        <v>28</v>
      </c>
      <c r="B29">
        <v>20.52</v>
      </c>
    </row>
    <row r="30" spans="1:2" x14ac:dyDescent="0.3">
      <c r="A30" t="s">
        <v>29</v>
      </c>
      <c r="B30">
        <v>20.52</v>
      </c>
    </row>
    <row r="31" spans="1:2" x14ac:dyDescent="0.3">
      <c r="A31" t="s">
        <v>30</v>
      </c>
      <c r="B31">
        <v>20.52</v>
      </c>
    </row>
    <row r="32" spans="1:2" x14ac:dyDescent="0.3">
      <c r="A32" t="s">
        <v>31</v>
      </c>
      <c r="B32">
        <v>20.52</v>
      </c>
    </row>
    <row r="33" spans="1:2" x14ac:dyDescent="0.3">
      <c r="A33" t="s">
        <v>32</v>
      </c>
      <c r="B33">
        <v>20.52</v>
      </c>
    </row>
    <row r="34" spans="1:2" x14ac:dyDescent="0.3">
      <c r="A34" t="s">
        <v>33</v>
      </c>
      <c r="B34">
        <v>20.52</v>
      </c>
    </row>
    <row r="35" spans="1:2" x14ac:dyDescent="0.3">
      <c r="A35" t="s">
        <v>34</v>
      </c>
      <c r="B35">
        <v>5.4</v>
      </c>
    </row>
    <row r="36" spans="1:2" x14ac:dyDescent="0.3">
      <c r="A36" t="s">
        <v>35</v>
      </c>
      <c r="B36">
        <v>20.52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149EF-EF65-4CA0-B99D-D30B4DF2CEC1}">
  <dimension ref="A1:H29"/>
  <sheetViews>
    <sheetView workbookViewId="0">
      <selection activeCell="G3" sqref="G3:G4"/>
    </sheetView>
  </sheetViews>
  <sheetFormatPr defaultRowHeight="14.4" x14ac:dyDescent="0.3"/>
  <sheetData>
    <row r="1" spans="1:8" x14ac:dyDescent="0.3">
      <c r="A1" t="s">
        <v>92</v>
      </c>
      <c r="B1" t="s">
        <v>93</v>
      </c>
      <c r="C1" t="s">
        <v>94</v>
      </c>
      <c r="D1" t="s">
        <v>95</v>
      </c>
      <c r="E1" t="s">
        <v>90</v>
      </c>
    </row>
    <row r="2" spans="1:8" x14ac:dyDescent="0.3">
      <c r="A2" t="s">
        <v>70</v>
      </c>
      <c r="B2" t="s">
        <v>71</v>
      </c>
      <c r="C2">
        <v>8024.1916664923037</v>
      </c>
      <c r="D2">
        <f>C2*$C$29</f>
        <v>7.2280268456375838</v>
      </c>
      <c r="E2">
        <f>$B$26-$C$26+D2</f>
        <v>81.028026845637584</v>
      </c>
    </row>
    <row r="3" spans="1:8" x14ac:dyDescent="0.3">
      <c r="A3" t="s">
        <v>70</v>
      </c>
      <c r="B3" t="s">
        <v>72</v>
      </c>
      <c r="C3">
        <v>7979.1300205513126</v>
      </c>
      <c r="D3">
        <f>C3*$C$29</f>
        <v>7.1874362416107385</v>
      </c>
      <c r="E3">
        <f>$B$26-$C$26+D3</f>
        <v>80.987436241610737</v>
      </c>
      <c r="G3" t="s">
        <v>96</v>
      </c>
      <c r="H3">
        <f>MIN(E2:E18)-D26</f>
        <v>36.49626845637583</v>
      </c>
    </row>
    <row r="4" spans="1:8" x14ac:dyDescent="0.3">
      <c r="A4" t="s">
        <v>70</v>
      </c>
      <c r="B4" t="s">
        <v>73</v>
      </c>
      <c r="C4">
        <v>10066.449834317962</v>
      </c>
      <c r="D4">
        <f>C4*$C$29</f>
        <v>9.0676510067114098</v>
      </c>
      <c r="E4">
        <f>$B$26-$C$26+D4</f>
        <v>82.867651006711412</v>
      </c>
      <c r="G4" t="s">
        <v>97</v>
      </c>
      <c r="H4">
        <f>MAX(E2:E18)-D26</f>
        <v>39.170899328859051</v>
      </c>
    </row>
    <row r="5" spans="1:8" x14ac:dyDescent="0.3">
      <c r="A5" t="s">
        <v>70</v>
      </c>
      <c r="B5" t="s">
        <v>74</v>
      </c>
      <c r="C5">
        <v>9062.2188676330043</v>
      </c>
      <c r="D5">
        <f>C5*$C$29</f>
        <v>8.1630604026845628</v>
      </c>
      <c r="E5">
        <f>$B$26-$C$26+D5</f>
        <v>81.963060402684562</v>
      </c>
    </row>
    <row r="6" spans="1:8" x14ac:dyDescent="0.3">
      <c r="A6" t="s">
        <v>70</v>
      </c>
      <c r="B6" t="s">
        <v>75</v>
      </c>
      <c r="C6">
        <v>10267.617896554533</v>
      </c>
      <c r="D6">
        <f>C6*$C$29</f>
        <v>9.248859060402685</v>
      </c>
      <c r="E6">
        <f>$B$26-$C$26+D6</f>
        <v>83.048859060402677</v>
      </c>
    </row>
    <row r="7" spans="1:8" x14ac:dyDescent="0.3">
      <c r="A7" t="s">
        <v>70</v>
      </c>
      <c r="B7" t="s">
        <v>76</v>
      </c>
      <c r="C7">
        <v>9067.0469011266832</v>
      </c>
      <c r="D7">
        <f>C7*$C$29</f>
        <v>8.1674093959731557</v>
      </c>
      <c r="E7">
        <f>$B$26-$C$26+D7</f>
        <v>81.967409395973149</v>
      </c>
    </row>
    <row r="8" spans="1:8" x14ac:dyDescent="0.3">
      <c r="A8" t="s">
        <v>70</v>
      </c>
      <c r="B8" t="s">
        <v>77</v>
      </c>
      <c r="C8">
        <v>8130.4084033532126</v>
      </c>
      <c r="D8">
        <f>C8*$C$29</f>
        <v>7.3237046979865772</v>
      </c>
      <c r="E8">
        <f>$B$26-$C$26+D8</f>
        <v>81.123704697986568</v>
      </c>
    </row>
    <row r="9" spans="1:8" x14ac:dyDescent="0.3">
      <c r="A9" t="s">
        <v>70</v>
      </c>
      <c r="B9" t="s">
        <v>78</v>
      </c>
      <c r="C9">
        <v>8759.6621020292041</v>
      </c>
      <c r="D9">
        <f>C9*$C$29</f>
        <v>7.8905234899328862</v>
      </c>
      <c r="E9">
        <f>$B$26-$C$26+D9</f>
        <v>81.690523489932886</v>
      </c>
    </row>
    <row r="10" spans="1:8" x14ac:dyDescent="0.3">
      <c r="A10" t="s">
        <v>70</v>
      </c>
      <c r="B10" t="s">
        <v>79</v>
      </c>
      <c r="C10">
        <v>7346.6576328795363</v>
      </c>
      <c r="D10">
        <f>C10*$C$29</f>
        <v>6.6177181208053693</v>
      </c>
      <c r="E10">
        <f>$B$26-$C$26+D10</f>
        <v>80.417718120805361</v>
      </c>
    </row>
    <row r="11" spans="1:8" x14ac:dyDescent="0.3">
      <c r="A11" t="s">
        <v>70</v>
      </c>
      <c r="B11" t="s">
        <v>80</v>
      </c>
      <c r="C11">
        <v>7559.0911066013541</v>
      </c>
      <c r="D11">
        <f>C11*$C$29</f>
        <v>6.809073825503356</v>
      </c>
      <c r="E11">
        <f>$B$26-$C$26+D11</f>
        <v>80.609073825503359</v>
      </c>
    </row>
    <row r="12" spans="1:8" x14ac:dyDescent="0.3">
      <c r="A12" t="s">
        <v>70</v>
      </c>
      <c r="B12" t="s">
        <v>81</v>
      </c>
      <c r="C12">
        <v>10314.288886993416</v>
      </c>
      <c r="D12">
        <f>C12*$C$29</f>
        <v>9.2908993288590604</v>
      </c>
      <c r="E12">
        <f>$B$26-$C$26+D12</f>
        <v>83.090899328859052</v>
      </c>
    </row>
    <row r="13" spans="1:8" x14ac:dyDescent="0.3">
      <c r="A13" t="s">
        <v>70</v>
      </c>
      <c r="B13" t="s">
        <v>82</v>
      </c>
      <c r="C13">
        <v>7509.2014271666849</v>
      </c>
      <c r="D13">
        <f>C13*$C$29</f>
        <v>6.7641342281879195</v>
      </c>
      <c r="E13">
        <f>$B$26-$C$26+D13</f>
        <v>80.56413422818791</v>
      </c>
    </row>
    <row r="14" spans="1:8" x14ac:dyDescent="0.3">
      <c r="A14" t="s">
        <v>70</v>
      </c>
      <c r="B14" t="s">
        <v>83</v>
      </c>
      <c r="C14">
        <v>9408.227934679906</v>
      </c>
      <c r="D14">
        <f>C14*$C$29</f>
        <v>8.4747382550335573</v>
      </c>
      <c r="E14">
        <f>$B$26-$C$26+D14</f>
        <v>82.274738255033554</v>
      </c>
    </row>
    <row r="15" spans="1:8" x14ac:dyDescent="0.3">
      <c r="A15" t="s">
        <v>70</v>
      </c>
      <c r="B15" t="s">
        <v>84</v>
      </c>
      <c r="C15">
        <v>9408.227934679906</v>
      </c>
      <c r="D15">
        <f>C15*$C$29</f>
        <v>8.4747382550335573</v>
      </c>
      <c r="E15">
        <f>$B$26-$C$26+D15</f>
        <v>82.274738255033554</v>
      </c>
    </row>
    <row r="16" spans="1:8" x14ac:dyDescent="0.3">
      <c r="A16" t="s">
        <v>70</v>
      </c>
      <c r="B16" t="s">
        <v>85</v>
      </c>
      <c r="C16">
        <v>8392.7315565096997</v>
      </c>
      <c r="D16">
        <f>C16*$C$29</f>
        <v>7.56</v>
      </c>
      <c r="E16">
        <f>$B$26-$C$26+D16</f>
        <v>81.36</v>
      </c>
    </row>
    <row r="17" spans="1:5" x14ac:dyDescent="0.3">
      <c r="A17" t="s">
        <v>70</v>
      </c>
      <c r="B17" t="s">
        <v>86</v>
      </c>
      <c r="C17">
        <v>7345.0482883816439</v>
      </c>
      <c r="D17">
        <f>C17*$C$29</f>
        <v>6.6162684563758392</v>
      </c>
      <c r="E17">
        <f>$B$26-$C$26+D17</f>
        <v>80.416268456375832</v>
      </c>
    </row>
    <row r="18" spans="1:5" x14ac:dyDescent="0.3">
      <c r="A18" t="s">
        <v>70</v>
      </c>
      <c r="B18" t="s">
        <v>87</v>
      </c>
      <c r="C18">
        <v>9311.6672648063523</v>
      </c>
      <c r="D18">
        <f>C18*$C$29</f>
        <v>8.3877583892617462</v>
      </c>
      <c r="E18">
        <f>$B$26-$C$26+D18</f>
        <v>82.187758389261745</v>
      </c>
    </row>
    <row r="22" spans="1:5" x14ac:dyDescent="0.3">
      <c r="B22">
        <v>22.6</v>
      </c>
      <c r="C22">
        <v>2.1</v>
      </c>
      <c r="D22">
        <v>12.2</v>
      </c>
    </row>
    <row r="23" spans="1:5" x14ac:dyDescent="0.3">
      <c r="B23">
        <f>B22*3600000</f>
        <v>81360000</v>
      </c>
      <c r="C23">
        <f>C22*3600000</f>
        <v>7560000</v>
      </c>
      <c r="D23">
        <f>D22*3600000</f>
        <v>43920000</v>
      </c>
    </row>
    <row r="24" spans="1:5" x14ac:dyDescent="0.3">
      <c r="B24">
        <f>B23/1000</f>
        <v>81360</v>
      </c>
      <c r="C24">
        <f>C23/1000</f>
        <v>7560</v>
      </c>
      <c r="D24">
        <f>D23/1000</f>
        <v>43920</v>
      </c>
    </row>
    <row r="25" spans="1:5" x14ac:dyDescent="0.3">
      <c r="B25" t="s">
        <v>90</v>
      </c>
      <c r="C25" t="s">
        <v>88</v>
      </c>
      <c r="D25" t="s">
        <v>91</v>
      </c>
    </row>
    <row r="26" spans="1:5" x14ac:dyDescent="0.3">
      <c r="B26">
        <f>B24/1000</f>
        <v>81.36</v>
      </c>
      <c r="C26">
        <f>C24/1000</f>
        <v>7.56</v>
      </c>
      <c r="D26">
        <f>D24/1000</f>
        <v>43.92</v>
      </c>
    </row>
    <row r="28" spans="1:5" x14ac:dyDescent="0.3">
      <c r="C28">
        <f>$C$16</f>
        <v>8392.7315565096997</v>
      </c>
    </row>
    <row r="29" spans="1:5" x14ac:dyDescent="0.3">
      <c r="B29" t="s">
        <v>89</v>
      </c>
      <c r="C29">
        <f>$C$26/C28</f>
        <v>9.007794362416127E-4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A761E-A24B-4FF6-8D90-39C388AC5F69}">
  <dimension ref="A1:H31"/>
  <sheetViews>
    <sheetView topLeftCell="A4" workbookViewId="0">
      <selection activeCell="C31" sqref="C31"/>
    </sheetView>
  </sheetViews>
  <sheetFormatPr defaultRowHeight="14.4" x14ac:dyDescent="0.3"/>
  <sheetData>
    <row r="1" spans="1:8" x14ac:dyDescent="0.3">
      <c r="A1" t="s">
        <v>92</v>
      </c>
      <c r="B1" t="s">
        <v>93</v>
      </c>
      <c r="C1" t="s">
        <v>94</v>
      </c>
      <c r="D1" t="s">
        <v>95</v>
      </c>
      <c r="E1" t="s">
        <v>90</v>
      </c>
    </row>
    <row r="2" spans="1:8" x14ac:dyDescent="0.3">
      <c r="A2" t="s">
        <v>103</v>
      </c>
      <c r="B2" t="s">
        <v>71</v>
      </c>
      <c r="C2">
        <v>6413.2378241018514</v>
      </c>
      <c r="D2">
        <f>C2*$C$29</f>
        <v>5.9099576271186436</v>
      </c>
      <c r="E2">
        <f>$B$26-$C$26+D2</f>
        <v>53.105957627118649</v>
      </c>
    </row>
    <row r="3" spans="1:8" x14ac:dyDescent="0.3">
      <c r="A3" t="s">
        <v>103</v>
      </c>
      <c r="B3" t="s">
        <v>72</v>
      </c>
      <c r="C3">
        <v>6360.1294556713965</v>
      </c>
      <c r="D3">
        <f>C3*$C$29</f>
        <v>5.8610169491525417</v>
      </c>
      <c r="E3">
        <f>$B$26-$C$26+D3</f>
        <v>53.057016949152548</v>
      </c>
      <c r="G3" t="s">
        <v>96</v>
      </c>
      <c r="H3">
        <f>MIN(E2:E18)-D26</f>
        <v>21.34458474576272</v>
      </c>
    </row>
    <row r="4" spans="1:8" x14ac:dyDescent="0.3">
      <c r="A4" t="s">
        <v>103</v>
      </c>
      <c r="B4" t="s">
        <v>73</v>
      </c>
      <c r="C4">
        <v>7882.5693506777588</v>
      </c>
      <c r="D4">
        <f>C4*$C$29</f>
        <v>7.2639830508474574</v>
      </c>
      <c r="E4">
        <f>$B$26-$C$26+D4</f>
        <v>54.459983050847462</v>
      </c>
      <c r="G4" t="s">
        <v>97</v>
      </c>
      <c r="H4">
        <f>MAX(E2:E18)-D26</f>
        <v>23.978483050847469</v>
      </c>
    </row>
    <row r="5" spans="1:8" x14ac:dyDescent="0.3">
      <c r="A5" t="s">
        <v>103</v>
      </c>
      <c r="B5" t="s">
        <v>74</v>
      </c>
      <c r="C5">
        <v>8167.4233268047419</v>
      </c>
      <c r="D5">
        <f>C5*$C$29</f>
        <v>7.5264830508474576</v>
      </c>
      <c r="E5">
        <f>$B$26-$C$26+D5</f>
        <v>54.722483050847465</v>
      </c>
    </row>
    <row r="6" spans="1:8" x14ac:dyDescent="0.3">
      <c r="A6" t="s">
        <v>103</v>
      </c>
      <c r="B6" t="s">
        <v>75</v>
      </c>
      <c r="C6">
        <v>8083.7374129143291</v>
      </c>
      <c r="D6">
        <f>C6*$C$29</f>
        <v>7.4493644067796616</v>
      </c>
      <c r="E6">
        <f>$B$26-$C$26+D6</f>
        <v>54.645364406779663</v>
      </c>
    </row>
    <row r="7" spans="1:8" x14ac:dyDescent="0.3">
      <c r="A7" t="s">
        <v>103</v>
      </c>
      <c r="B7" t="s">
        <v>76</v>
      </c>
      <c r="C7">
        <v>7761.8685133358167</v>
      </c>
      <c r="D7">
        <f>C7*$C$29</f>
        <v>7.1527542372881356</v>
      </c>
      <c r="E7">
        <f>$B$26-$C$26+D7</f>
        <v>54.348754237288141</v>
      </c>
    </row>
    <row r="8" spans="1:8" x14ac:dyDescent="0.3">
      <c r="A8" t="s">
        <v>103</v>
      </c>
      <c r="B8" t="s">
        <v>77</v>
      </c>
      <c r="C8">
        <v>6519.4545609627603</v>
      </c>
      <c r="D8">
        <f>C8*$C$29</f>
        <v>6.0078389830508474</v>
      </c>
      <c r="E8">
        <f>$B$26-$C$26+D8</f>
        <v>53.203838983050851</v>
      </c>
    </row>
    <row r="9" spans="1:8" x14ac:dyDescent="0.3">
      <c r="A9" t="s">
        <v>103</v>
      </c>
      <c r="B9" t="s">
        <v>78</v>
      </c>
      <c r="C9">
        <v>7454.4837142383376</v>
      </c>
      <c r="D9">
        <f>C9*$C$29</f>
        <v>6.8694915254237285</v>
      </c>
      <c r="E9">
        <f>$B$26-$C$26+D9</f>
        <v>54.065491525423731</v>
      </c>
    </row>
    <row r="10" spans="1:8" x14ac:dyDescent="0.3">
      <c r="A10" t="s">
        <v>103</v>
      </c>
      <c r="B10" t="s">
        <v>79</v>
      </c>
      <c r="C10">
        <v>5309.2274985475551</v>
      </c>
      <c r="D10">
        <f>C10*$C$29</f>
        <v>4.8925847457627114</v>
      </c>
      <c r="E10">
        <f>$B$26-$C$26+D10</f>
        <v>52.088584745762716</v>
      </c>
    </row>
    <row r="11" spans="1:8" x14ac:dyDescent="0.3">
      <c r="A11" t="s">
        <v>103</v>
      </c>
      <c r="B11" t="s">
        <v>80</v>
      </c>
      <c r="C11">
        <v>5866.0606948183813</v>
      </c>
      <c r="D11">
        <f>C11*$C$29</f>
        <v>5.405720338983051</v>
      </c>
      <c r="E11">
        <f>$B$26-$C$26+D11</f>
        <v>52.601720338983057</v>
      </c>
    </row>
    <row r="12" spans="1:8" x14ac:dyDescent="0.3">
      <c r="A12" t="s">
        <v>103</v>
      </c>
      <c r="B12" t="s">
        <v>81</v>
      </c>
      <c r="C12">
        <v>8130.4084033532126</v>
      </c>
      <c r="D12">
        <f>C12*$C$29</f>
        <v>7.4923728813559318</v>
      </c>
      <c r="E12">
        <f>$B$26-$C$26+D12</f>
        <v>54.688372881355939</v>
      </c>
    </row>
    <row r="13" spans="1:8" x14ac:dyDescent="0.3">
      <c r="A13" t="s">
        <v>103</v>
      </c>
      <c r="B13" t="s">
        <v>82</v>
      </c>
      <c r="C13">
        <v>6395.5350346250334</v>
      </c>
      <c r="D13">
        <f>C13*$C$29</f>
        <v>5.8936440677966102</v>
      </c>
      <c r="E13">
        <f>$B$26-$C$26+D13</f>
        <v>53.089644067796613</v>
      </c>
    </row>
    <row r="14" spans="1:8" x14ac:dyDescent="0.3">
      <c r="A14" t="s">
        <v>103</v>
      </c>
      <c r="B14" t="s">
        <v>83</v>
      </c>
      <c r="C14">
        <v>8103.0495468890394</v>
      </c>
      <c r="D14">
        <f>C14*$C$29</f>
        <v>7.4671610169491522</v>
      </c>
      <c r="E14">
        <f>$B$26-$C$26+D14</f>
        <v>54.663161016949161</v>
      </c>
    </row>
    <row r="15" spans="1:8" x14ac:dyDescent="0.3">
      <c r="A15" t="s">
        <v>103</v>
      </c>
      <c r="B15" t="s">
        <v>84</v>
      </c>
      <c r="C15">
        <v>8103.0495468890394</v>
      </c>
      <c r="D15">
        <f>C15*$C$29</f>
        <v>7.4671610169491522</v>
      </c>
      <c r="E15">
        <f>$B$26-$C$26+D15</f>
        <v>54.663161016949161</v>
      </c>
    </row>
    <row r="16" spans="1:8" x14ac:dyDescent="0.3">
      <c r="A16" t="s">
        <v>103</v>
      </c>
      <c r="B16" t="s">
        <v>85</v>
      </c>
      <c r="C16">
        <v>6836.4954270475946</v>
      </c>
      <c r="D16">
        <f>C16*$C$29</f>
        <v>6.3</v>
      </c>
      <c r="E16">
        <f>$B$26-$C$26+D16</f>
        <v>53.496000000000002</v>
      </c>
    </row>
    <row r="17" spans="1:5" x14ac:dyDescent="0.3">
      <c r="A17" t="s">
        <v>103</v>
      </c>
      <c r="B17" t="s">
        <v>86</v>
      </c>
      <c r="C17">
        <v>5792.0308479153236</v>
      </c>
      <c r="D17">
        <f>C17*$C$29</f>
        <v>5.3375000000000004</v>
      </c>
      <c r="E17">
        <f>$B$26-$C$26+D17</f>
        <v>52.533500000000004</v>
      </c>
    </row>
    <row r="18" spans="1:5" x14ac:dyDescent="0.3">
      <c r="A18" t="s">
        <v>103</v>
      </c>
      <c r="B18" t="s">
        <v>87</v>
      </c>
      <c r="C18">
        <v>8006.4888770154857</v>
      </c>
      <c r="D18">
        <f>C18*$C$29</f>
        <v>7.3781779661016946</v>
      </c>
      <c r="E18">
        <f>$B$26-$C$26+D18</f>
        <v>54.574177966101701</v>
      </c>
    </row>
    <row r="22" spans="1:5" x14ac:dyDescent="0.3">
      <c r="B22">
        <v>14.86</v>
      </c>
      <c r="C22">
        <v>1.75</v>
      </c>
      <c r="D22">
        <v>8.5399999999999991</v>
      </c>
    </row>
    <row r="23" spans="1:5" x14ac:dyDescent="0.3">
      <c r="B23">
        <f>B22*3600000</f>
        <v>53496000</v>
      </c>
      <c r="C23">
        <f>C22*3600000</f>
        <v>6300000</v>
      </c>
      <c r="D23">
        <f>D22*3600000</f>
        <v>30743999.999999996</v>
      </c>
    </row>
    <row r="24" spans="1:5" x14ac:dyDescent="0.3">
      <c r="B24">
        <f>B23/1000</f>
        <v>53496</v>
      </c>
      <c r="C24">
        <f>C23/1000</f>
        <v>6300</v>
      </c>
      <c r="D24">
        <f>D23/1000</f>
        <v>30743.999999999996</v>
      </c>
    </row>
    <row r="25" spans="1:5" x14ac:dyDescent="0.3">
      <c r="B25" t="s">
        <v>90</v>
      </c>
      <c r="C25" t="s">
        <v>88</v>
      </c>
      <c r="D25" t="s">
        <v>91</v>
      </c>
    </row>
    <row r="26" spans="1:5" x14ac:dyDescent="0.3">
      <c r="B26">
        <f>B24/1000</f>
        <v>53.496000000000002</v>
      </c>
      <c r="C26">
        <f>C24/1000</f>
        <v>6.3</v>
      </c>
      <c r="D26">
        <f>D24/1000</f>
        <v>30.743999999999996</v>
      </c>
    </row>
    <row r="28" spans="1:5" x14ac:dyDescent="0.3">
      <c r="C28">
        <f>$C$16</f>
        <v>6836.4954270475946</v>
      </c>
    </row>
    <row r="29" spans="1:5" x14ac:dyDescent="0.3">
      <c r="B29" t="s">
        <v>89</v>
      </c>
      <c r="C29">
        <f>$C$26/C28</f>
        <v>9.2152478813559515E-4</v>
      </c>
    </row>
    <row r="31" spans="1:5" x14ac:dyDescent="0.3">
      <c r="C31" t="s">
        <v>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412A3-0D2E-4F56-AD09-870543459D8C}">
  <dimension ref="A1:H29"/>
  <sheetViews>
    <sheetView workbookViewId="0">
      <selection activeCell="A2" sqref="A2:A18"/>
    </sheetView>
  </sheetViews>
  <sheetFormatPr defaultRowHeight="14.4" x14ac:dyDescent="0.3"/>
  <sheetData>
    <row r="1" spans="1:8" x14ac:dyDescent="0.3">
      <c r="A1" t="s">
        <v>92</v>
      </c>
      <c r="B1" t="s">
        <v>93</v>
      </c>
      <c r="C1" t="s">
        <v>94</v>
      </c>
      <c r="D1" t="s">
        <v>95</v>
      </c>
      <c r="E1" t="s">
        <v>90</v>
      </c>
    </row>
    <row r="2" spans="1:8" x14ac:dyDescent="0.3">
      <c r="A2" t="s">
        <v>102</v>
      </c>
      <c r="B2" t="s">
        <v>71</v>
      </c>
      <c r="C2">
        <v>9994.0293319127977</v>
      </c>
      <c r="D2">
        <f>C2*$C$29</f>
        <v>8.9797002935269568</v>
      </c>
      <c r="E2">
        <f>$B$26-$C$26+D2</f>
        <v>63.33970029352696</v>
      </c>
    </row>
    <row r="3" spans="1:8" x14ac:dyDescent="0.3">
      <c r="A3" t="s">
        <v>102</v>
      </c>
      <c r="B3" t="s">
        <v>72</v>
      </c>
      <c r="C3">
        <v>9940.9209634823437</v>
      </c>
      <c r="D3">
        <f>C3*$C$29</f>
        <v>8.931982079406767</v>
      </c>
      <c r="E3">
        <f>$B$26-$C$26+D3</f>
        <v>63.291982079406765</v>
      </c>
      <c r="G3" t="s">
        <v>96</v>
      </c>
      <c r="H3">
        <f>MIN(E2:E18)-D26</f>
        <v>52.005623358566346</v>
      </c>
    </row>
    <row r="4" spans="1:8" x14ac:dyDescent="0.3">
      <c r="A4" t="s">
        <v>102</v>
      </c>
      <c r="B4" t="s">
        <v>73</v>
      </c>
      <c r="C4">
        <v>5795.2495369111084</v>
      </c>
      <c r="D4">
        <f>C4*$C$29</f>
        <v>5.207069365054843</v>
      </c>
      <c r="E4">
        <f>$B$26-$C$26+D4</f>
        <v>59.567069365054842</v>
      </c>
      <c r="G4" t="s">
        <v>97</v>
      </c>
      <c r="H4">
        <f>MAX(E2:E18)-D26</f>
        <v>57.436823729337249</v>
      </c>
    </row>
    <row r="5" spans="1:8" x14ac:dyDescent="0.3">
      <c r="A5" t="s">
        <v>102</v>
      </c>
      <c r="B5" t="s">
        <v>74</v>
      </c>
      <c r="C5">
        <v>7056.9756232588752</v>
      </c>
      <c r="D5">
        <f>C5*$C$29</f>
        <v>6.3407384520315144</v>
      </c>
      <c r="E5">
        <f>$B$26-$C$26+D5</f>
        <v>60.700738452031516</v>
      </c>
    </row>
    <row r="6" spans="1:8" x14ac:dyDescent="0.3">
      <c r="A6" t="s">
        <v>102</v>
      </c>
      <c r="B6" t="s">
        <v>75</v>
      </c>
      <c r="C6">
        <v>6855.807561022305</v>
      </c>
      <c r="D6">
        <f>C6*$C$29</f>
        <v>6.1599876409701828</v>
      </c>
      <c r="E6">
        <f>$B$26-$C$26+D6</f>
        <v>60.519987640970186</v>
      </c>
    </row>
    <row r="7" spans="1:8" x14ac:dyDescent="0.3">
      <c r="A7" t="s">
        <v>102</v>
      </c>
      <c r="B7" t="s">
        <v>76</v>
      </c>
      <c r="C7">
        <v>11497.157092944448</v>
      </c>
      <c r="D7">
        <f>C7*$C$29</f>
        <v>10.330270353777227</v>
      </c>
      <c r="E7">
        <f>$B$26-$C$26+D7</f>
        <v>64.690270353777223</v>
      </c>
    </row>
    <row r="8" spans="1:8" x14ac:dyDescent="0.3">
      <c r="A8" t="s">
        <v>102</v>
      </c>
      <c r="B8" t="s">
        <v>77</v>
      </c>
      <c r="C8">
        <v>10100.246068773706</v>
      </c>
      <c r="D8">
        <f>C8*$C$29</f>
        <v>9.0751367217673398</v>
      </c>
      <c r="E8">
        <f>$B$26-$C$26+D8</f>
        <v>63.435136721767336</v>
      </c>
    </row>
    <row r="9" spans="1:8" x14ac:dyDescent="0.3">
      <c r="A9" t="s">
        <v>102</v>
      </c>
      <c r="B9" t="s">
        <v>78</v>
      </c>
      <c r="C9">
        <v>11189.772293846969</v>
      </c>
      <c r="D9">
        <f>C9*$C$29</f>
        <v>10.054083114475512</v>
      </c>
      <c r="E9">
        <f>$B$26-$C$26+D9</f>
        <v>64.414083114475517</v>
      </c>
    </row>
    <row r="10" spans="1:8" x14ac:dyDescent="0.3">
      <c r="A10" t="s">
        <v>102</v>
      </c>
      <c r="B10" t="s">
        <v>79</v>
      </c>
      <c r="C10">
        <v>8366.9820445434198</v>
      </c>
      <c r="D10">
        <f>C10*$C$29</f>
        <v>7.5177877336629075</v>
      </c>
      <c r="E10">
        <f>$B$26-$C$26+D10</f>
        <v>61.877787733662906</v>
      </c>
    </row>
    <row r="11" spans="1:8" x14ac:dyDescent="0.3">
      <c r="A11" t="s">
        <v>102</v>
      </c>
      <c r="B11" t="s">
        <v>80</v>
      </c>
      <c r="C11">
        <v>7386.8912453268504</v>
      </c>
      <c r="D11">
        <f>C11*$C$29</f>
        <v>6.6371697821720987</v>
      </c>
      <c r="E11">
        <f>$B$26-$C$26+D11</f>
        <v>60.997169782172101</v>
      </c>
    </row>
    <row r="12" spans="1:8" x14ac:dyDescent="0.3">
      <c r="A12" t="s">
        <v>102</v>
      </c>
      <c r="B12" t="s">
        <v>81</v>
      </c>
      <c r="C12">
        <v>5793.640192413216</v>
      </c>
      <c r="D12">
        <f>C12*$C$29</f>
        <v>5.2056233585663518</v>
      </c>
      <c r="E12">
        <f>$B$26-$C$26+D12</f>
        <v>59.565623358566349</v>
      </c>
    </row>
    <row r="13" spans="1:8" x14ac:dyDescent="0.3">
      <c r="A13" t="s">
        <v>102</v>
      </c>
      <c r="B13" t="s">
        <v>82</v>
      </c>
      <c r="C13">
        <v>9694.6912553047805</v>
      </c>
      <c r="D13">
        <f>C13*$C$29</f>
        <v>8.7107430866676943</v>
      </c>
      <c r="E13">
        <f>$B$26-$C$26+D13</f>
        <v>63.07074308666769</v>
      </c>
    </row>
    <row r="14" spans="1:8" x14ac:dyDescent="0.3">
      <c r="A14" t="s">
        <v>102</v>
      </c>
      <c r="B14" t="s">
        <v>83</v>
      </c>
      <c r="C14">
        <v>11838.338126497671</v>
      </c>
      <c r="D14">
        <f>C14*$C$29</f>
        <v>10.636823729337246</v>
      </c>
      <c r="E14">
        <f>$B$26-$C$26+D14</f>
        <v>64.996823729337251</v>
      </c>
    </row>
    <row r="15" spans="1:8" x14ac:dyDescent="0.3">
      <c r="A15" t="s">
        <v>102</v>
      </c>
      <c r="B15" t="s">
        <v>84</v>
      </c>
      <c r="C15">
        <v>11838.338126497671</v>
      </c>
      <c r="D15">
        <f>C15*$C$29</f>
        <v>10.636823729337246</v>
      </c>
      <c r="E15">
        <f>$B$26-$C$26+D15</f>
        <v>64.996823729337251</v>
      </c>
    </row>
    <row r="16" spans="1:8" x14ac:dyDescent="0.3">
      <c r="A16" t="s">
        <v>102</v>
      </c>
      <c r="B16" t="s">
        <v>85</v>
      </c>
      <c r="C16">
        <v>10417.286934858541</v>
      </c>
      <c r="D16">
        <f>C16*$C$29</f>
        <v>9.36</v>
      </c>
      <c r="E16">
        <f>$B$26-$C$26+D16</f>
        <v>63.72</v>
      </c>
    </row>
    <row r="17" spans="1:5" x14ac:dyDescent="0.3">
      <c r="A17" t="s">
        <v>102</v>
      </c>
      <c r="B17" t="s">
        <v>86</v>
      </c>
      <c r="C17">
        <v>9673.7697768321777</v>
      </c>
      <c r="D17">
        <f>C17*$C$29</f>
        <v>8.6919450023173166</v>
      </c>
      <c r="E17">
        <f>$B$26-$C$26+D17</f>
        <v>63.051945002317318</v>
      </c>
    </row>
    <row r="18" spans="1:5" x14ac:dyDescent="0.3">
      <c r="A18" t="s">
        <v>102</v>
      </c>
      <c r="B18" t="s">
        <v>87</v>
      </c>
      <c r="C18">
        <v>11741.777456624117</v>
      </c>
      <c r="D18">
        <f>C18*$C$29</f>
        <v>10.550063340027807</v>
      </c>
      <c r="E18">
        <f>$B$26-$C$26+D18</f>
        <v>64.910063340027804</v>
      </c>
    </row>
    <row r="22" spans="1:5" x14ac:dyDescent="0.3">
      <c r="B22">
        <v>17.7</v>
      </c>
      <c r="C22">
        <v>2.6</v>
      </c>
      <c r="D22">
        <v>2.1</v>
      </c>
    </row>
    <row r="23" spans="1:5" x14ac:dyDescent="0.3">
      <c r="B23">
        <f>B22*3600000</f>
        <v>63720000</v>
      </c>
      <c r="C23">
        <f>C22*3600000</f>
        <v>9360000</v>
      </c>
      <c r="D23">
        <f>D22*3600000</f>
        <v>7560000</v>
      </c>
    </row>
    <row r="24" spans="1:5" x14ac:dyDescent="0.3">
      <c r="B24">
        <f>B23/1000</f>
        <v>63720</v>
      </c>
      <c r="C24">
        <f>C23/1000</f>
        <v>9360</v>
      </c>
      <c r="D24">
        <f>D23/1000</f>
        <v>7560</v>
      </c>
    </row>
    <row r="25" spans="1:5" x14ac:dyDescent="0.3">
      <c r="B25" t="s">
        <v>90</v>
      </c>
      <c r="C25" t="s">
        <v>88</v>
      </c>
      <c r="D25" t="s">
        <v>91</v>
      </c>
    </row>
    <row r="26" spans="1:5" x14ac:dyDescent="0.3">
      <c r="B26">
        <f>B24/1000</f>
        <v>63.72</v>
      </c>
      <c r="C26">
        <f>C24/1000</f>
        <v>9.36</v>
      </c>
      <c r="D26">
        <f>D24/1000</f>
        <v>7.56</v>
      </c>
    </row>
    <row r="28" spans="1:5" x14ac:dyDescent="0.3">
      <c r="C28">
        <f>$C$16</f>
        <v>10417.286934858541</v>
      </c>
    </row>
    <row r="29" spans="1:5" x14ac:dyDescent="0.3">
      <c r="B29" t="s">
        <v>89</v>
      </c>
      <c r="C29">
        <f>$C$26/C28</f>
        <v>8.9850649775992766E-4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16E4-B904-4836-85AD-058FA2E2B7AF}">
  <dimension ref="A1:H29"/>
  <sheetViews>
    <sheetView workbookViewId="0">
      <selection activeCell="A2" sqref="A2:A18"/>
    </sheetView>
  </sheetViews>
  <sheetFormatPr defaultRowHeight="14.4" x14ac:dyDescent="0.3"/>
  <sheetData>
    <row r="1" spans="1:8" x14ac:dyDescent="0.3">
      <c r="A1" t="s">
        <v>92</v>
      </c>
      <c r="B1" t="s">
        <v>93</v>
      </c>
      <c r="C1" t="s">
        <v>94</v>
      </c>
      <c r="D1" t="s">
        <v>95</v>
      </c>
      <c r="E1" t="s">
        <v>90</v>
      </c>
    </row>
    <row r="2" spans="1:8" x14ac:dyDescent="0.3">
      <c r="A2" t="s">
        <v>101</v>
      </c>
      <c r="B2" t="s">
        <v>71</v>
      </c>
      <c r="C2">
        <v>10101.855413271598</v>
      </c>
      <c r="D2">
        <f>C2*$C$29</f>
        <v>8.983596330275228</v>
      </c>
      <c r="E2">
        <f>$B$26-$C$26+D2</f>
        <v>63.343596330275226</v>
      </c>
    </row>
    <row r="3" spans="1:8" x14ac:dyDescent="0.3">
      <c r="A3" t="s">
        <v>101</v>
      </c>
      <c r="B3" t="s">
        <v>72</v>
      </c>
      <c r="C3">
        <v>7372.4071448458171</v>
      </c>
      <c r="D3">
        <f>C3*$C$29</f>
        <v>6.5562935779816511</v>
      </c>
      <c r="E3">
        <f>$B$26-$C$26+D3</f>
        <v>60.916293577981648</v>
      </c>
      <c r="G3" t="s">
        <v>96</v>
      </c>
      <c r="H3">
        <f>MIN(E2:E18)-D26</f>
        <v>52.048183486238528</v>
      </c>
    </row>
    <row r="4" spans="1:8" x14ac:dyDescent="0.3">
      <c r="A4" t="s">
        <v>101</v>
      </c>
      <c r="B4" t="s">
        <v>73</v>
      </c>
      <c r="C4">
        <v>5903.0756182699097</v>
      </c>
      <c r="D4">
        <f>C4*$C$29</f>
        <v>5.2496146788990821</v>
      </c>
      <c r="E4">
        <f>$B$26-$C$26+D4</f>
        <v>59.609614678899078</v>
      </c>
      <c r="G4" t="s">
        <v>97</v>
      </c>
      <c r="H4">
        <f>MAX(E2:E18)-D26</f>
        <v>57.423743119266049</v>
      </c>
    </row>
    <row r="5" spans="1:8" x14ac:dyDescent="0.3">
      <c r="A5" t="s">
        <v>101</v>
      </c>
      <c r="B5" t="s">
        <v>74</v>
      </c>
      <c r="C5">
        <v>7048.9289007694124</v>
      </c>
      <c r="D5">
        <f>C5*$C$29</f>
        <v>6.2686238532110092</v>
      </c>
      <c r="E5">
        <f>$B$26-$C$26+D5</f>
        <v>60.62862385321101</v>
      </c>
    </row>
    <row r="6" spans="1:8" x14ac:dyDescent="0.3">
      <c r="A6" t="s">
        <v>101</v>
      </c>
      <c r="B6" t="s">
        <v>75</v>
      </c>
      <c r="C6">
        <v>6963.6336423811072</v>
      </c>
      <c r="D6">
        <f>C6*$C$29</f>
        <v>6.1927706422018352</v>
      </c>
      <c r="E6">
        <f>$B$26-$C$26+D6</f>
        <v>60.552770642201835</v>
      </c>
    </row>
    <row r="7" spans="1:8" x14ac:dyDescent="0.3">
      <c r="A7" t="s">
        <v>101</v>
      </c>
      <c r="B7" t="s">
        <v>76</v>
      </c>
      <c r="C7">
        <v>11604.98317430325</v>
      </c>
      <c r="D7">
        <f>C7*$C$29</f>
        <v>10.320330275229358</v>
      </c>
      <c r="E7">
        <f>$B$26-$C$26+D7</f>
        <v>64.680330275229352</v>
      </c>
    </row>
    <row r="8" spans="1:8" x14ac:dyDescent="0.3">
      <c r="A8" t="s">
        <v>101</v>
      </c>
      <c r="B8" t="s">
        <v>77</v>
      </c>
      <c r="C8">
        <v>10212.900183626185</v>
      </c>
      <c r="D8">
        <f>C8*$C$29</f>
        <v>9.0823486238532105</v>
      </c>
      <c r="E8">
        <f>$B$26-$C$26+D8</f>
        <v>63.442348623853206</v>
      </c>
    </row>
    <row r="9" spans="1:8" x14ac:dyDescent="0.3">
      <c r="A9" t="s">
        <v>101</v>
      </c>
      <c r="B9" t="s">
        <v>78</v>
      </c>
      <c r="C9">
        <v>11297.598375205771</v>
      </c>
      <c r="D9">
        <f>C9*$C$29</f>
        <v>10.046972477064221</v>
      </c>
      <c r="E9">
        <f>$B$26-$C$26+D9</f>
        <v>64.406972477064215</v>
      </c>
    </row>
    <row r="10" spans="1:8" x14ac:dyDescent="0.3">
      <c r="A10" t="s">
        <v>101</v>
      </c>
      <c r="B10" t="s">
        <v>79</v>
      </c>
      <c r="C10">
        <v>8474.8081259022201</v>
      </c>
      <c r="D10">
        <f>C10*$C$29</f>
        <v>7.5366605504587154</v>
      </c>
      <c r="E10">
        <f>$B$26-$C$26+D10</f>
        <v>61.896660550458712</v>
      </c>
    </row>
    <row r="11" spans="1:8" x14ac:dyDescent="0.3">
      <c r="A11" t="s">
        <v>101</v>
      </c>
      <c r="B11" t="s">
        <v>80</v>
      </c>
      <c r="C11">
        <v>7494.7173266856516</v>
      </c>
      <c r="D11">
        <f>C11*$C$29</f>
        <v>6.6650642201834867</v>
      </c>
      <c r="E11">
        <f>$B$26-$C$26+D11</f>
        <v>61.025064220183488</v>
      </c>
    </row>
    <row r="12" spans="1:8" x14ac:dyDescent="0.3">
      <c r="A12" t="s">
        <v>101</v>
      </c>
      <c r="B12" t="s">
        <v>81</v>
      </c>
      <c r="C12">
        <v>5901.4662737720173</v>
      </c>
      <c r="D12">
        <f>C12*$C$29</f>
        <v>5.2481834862385321</v>
      </c>
      <c r="E12">
        <f>$B$26-$C$26+D12</f>
        <v>59.608183486238531</v>
      </c>
    </row>
    <row r="13" spans="1:8" x14ac:dyDescent="0.3">
      <c r="A13" t="s">
        <v>101</v>
      </c>
      <c r="B13" t="s">
        <v>82</v>
      </c>
      <c r="C13">
        <v>9802.5173366635827</v>
      </c>
      <c r="D13">
        <f>C13*$C$29</f>
        <v>8.7173944954128437</v>
      </c>
      <c r="E13">
        <f>$B$26-$C$26+D13</f>
        <v>63.077394495412847</v>
      </c>
    </row>
    <row r="14" spans="1:8" x14ac:dyDescent="0.3">
      <c r="A14" t="s">
        <v>101</v>
      </c>
      <c r="B14" t="s">
        <v>83</v>
      </c>
      <c r="C14">
        <v>11946.164207856473</v>
      </c>
      <c r="D14">
        <f>C14*$C$29</f>
        <v>10.623743119266056</v>
      </c>
      <c r="E14">
        <f>$B$26-$C$26+D14</f>
        <v>64.983743119266052</v>
      </c>
    </row>
    <row r="15" spans="1:8" x14ac:dyDescent="0.3">
      <c r="A15" t="s">
        <v>101</v>
      </c>
      <c r="B15" t="s">
        <v>84</v>
      </c>
      <c r="C15">
        <v>11946.164207856473</v>
      </c>
      <c r="D15">
        <f>C15*$C$29</f>
        <v>10.623743119266056</v>
      </c>
      <c r="E15">
        <f>$B$26-$C$26+D15</f>
        <v>64.983743119266052</v>
      </c>
    </row>
    <row r="16" spans="1:8" x14ac:dyDescent="0.3">
      <c r="A16" t="s">
        <v>101</v>
      </c>
      <c r="B16" t="s">
        <v>85</v>
      </c>
      <c r="C16">
        <v>10525.113016217341</v>
      </c>
      <c r="D16">
        <f>C16*$C$29</f>
        <v>9.36</v>
      </c>
      <c r="E16">
        <f>$B$26-$C$26+D16</f>
        <v>63.72</v>
      </c>
    </row>
    <row r="17" spans="1:5" x14ac:dyDescent="0.3">
      <c r="A17" t="s">
        <v>101</v>
      </c>
      <c r="B17" t="s">
        <v>86</v>
      </c>
      <c r="C17">
        <v>9781.5958581909799</v>
      </c>
      <c r="D17">
        <f>C17*$C$29</f>
        <v>8.6987889908256886</v>
      </c>
      <c r="E17">
        <f>$B$26-$C$26+D17</f>
        <v>63.05878899082569</v>
      </c>
    </row>
    <row r="18" spans="1:5" x14ac:dyDescent="0.3">
      <c r="A18" t="s">
        <v>101</v>
      </c>
      <c r="B18" t="s">
        <v>87</v>
      </c>
      <c r="C18">
        <v>11849.603537982919</v>
      </c>
      <c r="D18">
        <f>C18*$C$29</f>
        <v>10.537871559633027</v>
      </c>
      <c r="E18">
        <f>$B$26-$C$26+D18</f>
        <v>64.897871559633032</v>
      </c>
    </row>
    <row r="22" spans="1:5" x14ac:dyDescent="0.3">
      <c r="B22">
        <v>17.7</v>
      </c>
      <c r="C22">
        <v>2.6</v>
      </c>
      <c r="D22">
        <v>2.1</v>
      </c>
    </row>
    <row r="23" spans="1:5" x14ac:dyDescent="0.3">
      <c r="B23">
        <f>B22*3600000</f>
        <v>63720000</v>
      </c>
      <c r="C23">
        <f>C22*3600000</f>
        <v>9360000</v>
      </c>
      <c r="D23">
        <f>D22*3600000</f>
        <v>7560000</v>
      </c>
    </row>
    <row r="24" spans="1:5" x14ac:dyDescent="0.3">
      <c r="B24">
        <f>B23/1000</f>
        <v>63720</v>
      </c>
      <c r="C24">
        <f>C23/1000</f>
        <v>9360</v>
      </c>
      <c r="D24">
        <f>D23/1000</f>
        <v>7560</v>
      </c>
    </row>
    <row r="25" spans="1:5" x14ac:dyDescent="0.3">
      <c r="B25" t="s">
        <v>90</v>
      </c>
      <c r="C25" t="s">
        <v>88</v>
      </c>
      <c r="D25" t="s">
        <v>91</v>
      </c>
    </row>
    <row r="26" spans="1:5" x14ac:dyDescent="0.3">
      <c r="B26">
        <f>B24/1000</f>
        <v>63.72</v>
      </c>
      <c r="C26">
        <f>C24/1000</f>
        <v>9.36</v>
      </c>
      <c r="D26">
        <f>D24/1000</f>
        <v>7.56</v>
      </c>
    </row>
    <row r="28" spans="1:5" x14ac:dyDescent="0.3">
      <c r="C28">
        <f>$C$16</f>
        <v>10525.113016217341</v>
      </c>
    </row>
    <row r="29" spans="1:5" x14ac:dyDescent="0.3">
      <c r="B29" t="s">
        <v>89</v>
      </c>
      <c r="C29">
        <f>$C$26/C28</f>
        <v>8.8930161467890099E-4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18E0C-CADD-4E2E-9772-19DB7BFAB0E1}">
  <dimension ref="A1:H29"/>
  <sheetViews>
    <sheetView workbookViewId="0">
      <selection activeCell="C23" sqref="C23"/>
    </sheetView>
  </sheetViews>
  <sheetFormatPr defaultRowHeight="14.4" x14ac:dyDescent="0.3"/>
  <sheetData>
    <row r="1" spans="1:8" x14ac:dyDescent="0.3">
      <c r="A1" t="s">
        <v>92</v>
      </c>
      <c r="B1" t="s">
        <v>93</v>
      </c>
      <c r="C1" t="s">
        <v>94</v>
      </c>
      <c r="D1" t="s">
        <v>95</v>
      </c>
      <c r="E1" t="s">
        <v>90</v>
      </c>
    </row>
    <row r="2" spans="1:8" x14ac:dyDescent="0.3">
      <c r="A2" t="s">
        <v>100</v>
      </c>
      <c r="B2" t="s">
        <v>71</v>
      </c>
      <c r="C2">
        <v>6997.4298768368508</v>
      </c>
      <c r="D2">
        <f>C2*$C$29</f>
        <v>6.4498633702016912</v>
      </c>
      <c r="E2">
        <f>$B$26-$C$26+D2</f>
        <v>74.12986337020169</v>
      </c>
    </row>
    <row r="3" spans="1:8" x14ac:dyDescent="0.3">
      <c r="A3" t="s">
        <v>100</v>
      </c>
      <c r="B3" t="s">
        <v>72</v>
      </c>
      <c r="C3">
        <v>6405.1911016123886</v>
      </c>
      <c r="D3">
        <f>C3*$C$29</f>
        <v>5.9039687703318151</v>
      </c>
      <c r="E3">
        <f>$B$26-$C$26+D3</f>
        <v>73.583968770331808</v>
      </c>
      <c r="G3" t="s">
        <v>96</v>
      </c>
      <c r="H3">
        <f>MIN(E2:E18)-D26</f>
        <v>32.342771633051392</v>
      </c>
    </row>
    <row r="4" spans="1:8" x14ac:dyDescent="0.3">
      <c r="A4" t="s">
        <v>100</v>
      </c>
      <c r="B4" t="s">
        <v>73</v>
      </c>
      <c r="C4">
        <v>7763.4778578337091</v>
      </c>
      <c r="D4">
        <f>C4*$C$29</f>
        <v>7.1559661678594662</v>
      </c>
      <c r="E4">
        <f>$B$26-$C$26+D4</f>
        <v>74.835966167859453</v>
      </c>
      <c r="G4" t="s">
        <v>97</v>
      </c>
      <c r="H4">
        <f>MAX(E2:E18)-D26</f>
        <v>35.509850357839944</v>
      </c>
    </row>
    <row r="5" spans="1:8" x14ac:dyDescent="0.3">
      <c r="A5" t="s">
        <v>100</v>
      </c>
      <c r="B5" t="s">
        <v>74</v>
      </c>
      <c r="C5">
        <v>6714.1852452077601</v>
      </c>
      <c r="D5">
        <f>C5*$C$29</f>
        <v>6.1887833441769677</v>
      </c>
      <c r="E5">
        <f>$B$26-$C$26+D5</f>
        <v>73.868783344176961</v>
      </c>
    </row>
    <row r="6" spans="1:8" x14ac:dyDescent="0.3">
      <c r="A6" t="s">
        <v>100</v>
      </c>
      <c r="B6" t="s">
        <v>75</v>
      </c>
      <c r="C6">
        <v>7964.6459200702793</v>
      </c>
      <c r="D6">
        <f>C6*$C$29</f>
        <v>7.3413923227065716</v>
      </c>
      <c r="E6">
        <f>$B$26-$C$26+D6</f>
        <v>75.021392322706561</v>
      </c>
    </row>
    <row r="7" spans="1:8" x14ac:dyDescent="0.3">
      <c r="A7" t="s">
        <v>100</v>
      </c>
      <c r="B7" t="s">
        <v>76</v>
      </c>
      <c r="C7">
        <v>8500.5576378685018</v>
      </c>
      <c r="D7">
        <f>C7*$C$29</f>
        <v>7.835367599219258</v>
      </c>
      <c r="E7">
        <f>$B$26-$C$26+D7</f>
        <v>75.515367599219246</v>
      </c>
    </row>
    <row r="8" spans="1:8" x14ac:dyDescent="0.3">
      <c r="A8" t="s">
        <v>100</v>
      </c>
      <c r="B8" t="s">
        <v>77</v>
      </c>
      <c r="C8">
        <v>7103.6466136977597</v>
      </c>
      <c r="D8">
        <f>C8*$C$29</f>
        <v>6.5477683799609627</v>
      </c>
      <c r="E8">
        <f>$B$26-$C$26+D8</f>
        <v>74.227768379960949</v>
      </c>
    </row>
    <row r="9" spans="1:8" x14ac:dyDescent="0.3">
      <c r="A9" t="s">
        <v>100</v>
      </c>
      <c r="B9" t="s">
        <v>78</v>
      </c>
      <c r="C9">
        <v>8193.1728387710227</v>
      </c>
      <c r="D9">
        <f>C9*$C$29</f>
        <v>7.5520364346128819</v>
      </c>
      <c r="E9">
        <f>$B$26-$C$26+D9</f>
        <v>75.23203643461288</v>
      </c>
    </row>
    <row r="10" spans="1:8" x14ac:dyDescent="0.3">
      <c r="A10" t="s">
        <v>100</v>
      </c>
      <c r="B10" t="s">
        <v>79</v>
      </c>
      <c r="C10">
        <v>5454.0685033578857</v>
      </c>
      <c r="D10">
        <f>C10*$C$29</f>
        <v>5.0272739102147037</v>
      </c>
      <c r="E10">
        <f>$B$26-$C$26+D10</f>
        <v>72.707273910214695</v>
      </c>
    </row>
    <row r="11" spans="1:8" x14ac:dyDescent="0.3">
      <c r="A11" t="s">
        <v>100</v>
      </c>
      <c r="B11" t="s">
        <v>80</v>
      </c>
      <c r="C11">
        <v>5405.7881684211088</v>
      </c>
      <c r="D11">
        <f>C11*$C$29</f>
        <v>4.9827716330513985</v>
      </c>
      <c r="E11">
        <f>$B$26-$C$26+D11</f>
        <v>72.662771633051392</v>
      </c>
    </row>
    <row r="12" spans="1:8" x14ac:dyDescent="0.3">
      <c r="A12" t="s">
        <v>100</v>
      </c>
      <c r="B12" t="s">
        <v>81</v>
      </c>
      <c r="C12">
        <v>8222.1410397330892</v>
      </c>
      <c r="D12">
        <f>C12*$C$29</f>
        <v>7.5787378009108659</v>
      </c>
      <c r="E12">
        <f>$B$26-$C$26+D12</f>
        <v>75.258737800910865</v>
      </c>
    </row>
    <row r="13" spans="1:8" x14ac:dyDescent="0.3">
      <c r="A13" t="s">
        <v>100</v>
      </c>
      <c r="B13" t="s">
        <v>82</v>
      </c>
      <c r="C13">
        <v>6934.6654414190407</v>
      </c>
      <c r="D13">
        <f>C13*$C$29</f>
        <v>6.3920104098893944</v>
      </c>
      <c r="E13">
        <f>$B$26-$C$26+D13</f>
        <v>74.072010409889387</v>
      </c>
    </row>
    <row r="14" spans="1:8" x14ac:dyDescent="0.3">
      <c r="A14" t="s">
        <v>100</v>
      </c>
      <c r="B14" t="s">
        <v>83</v>
      </c>
      <c r="C14">
        <v>8841.7386714217246</v>
      </c>
      <c r="D14">
        <f>C14*$C$29</f>
        <v>8.1498503578399486</v>
      </c>
      <c r="E14">
        <f>$B$26-$C$26+D14</f>
        <v>75.829850357839945</v>
      </c>
    </row>
    <row r="15" spans="1:8" x14ac:dyDescent="0.3">
      <c r="A15" t="s">
        <v>100</v>
      </c>
      <c r="B15" t="s">
        <v>84</v>
      </c>
      <c r="C15">
        <v>8841.7386714217246</v>
      </c>
      <c r="D15">
        <f>C15*$C$29</f>
        <v>8.1498503578399486</v>
      </c>
      <c r="E15">
        <f>$B$26-$C$26+D15</f>
        <v>75.829850357839945</v>
      </c>
    </row>
    <row r="16" spans="1:8" x14ac:dyDescent="0.3">
      <c r="A16" t="s">
        <v>100</v>
      </c>
      <c r="B16" t="s">
        <v>85</v>
      </c>
      <c r="C16">
        <v>7420.687479782594</v>
      </c>
      <c r="D16">
        <f>C16*$C$29</f>
        <v>6.84</v>
      </c>
      <c r="E16">
        <f>$B$26-$C$26+D16</f>
        <v>74.52</v>
      </c>
    </row>
    <row r="17" spans="1:5" x14ac:dyDescent="0.3">
      <c r="A17" t="s">
        <v>100</v>
      </c>
      <c r="B17" t="s">
        <v>86</v>
      </c>
      <c r="C17">
        <v>6677.1703217562308</v>
      </c>
      <c r="D17">
        <f>C17*$C$29</f>
        <v>6.1546649316851001</v>
      </c>
      <c r="E17">
        <f>$B$26-$C$26+D17</f>
        <v>73.834664931685097</v>
      </c>
    </row>
    <row r="18" spans="1:5" x14ac:dyDescent="0.3">
      <c r="A18" t="s">
        <v>100</v>
      </c>
      <c r="B18" t="s">
        <v>87</v>
      </c>
      <c r="C18">
        <v>8745.1780015481709</v>
      </c>
      <c r="D18">
        <f>C18*$C$29</f>
        <v>8.0608458035133381</v>
      </c>
      <c r="E18">
        <f>$B$26-$C$26+D18</f>
        <v>75.740845803513338</v>
      </c>
    </row>
    <row r="22" spans="1:5" x14ac:dyDescent="0.3">
      <c r="B22">
        <v>20.7</v>
      </c>
      <c r="C22">
        <v>1.9</v>
      </c>
      <c r="D22">
        <v>11.2</v>
      </c>
    </row>
    <row r="23" spans="1:5" x14ac:dyDescent="0.3">
      <c r="B23">
        <f>B22*3600000</f>
        <v>74520000</v>
      </c>
      <c r="C23">
        <f>C22*3600000</f>
        <v>6840000</v>
      </c>
      <c r="D23">
        <f>D22*3600000</f>
        <v>40320000</v>
      </c>
    </row>
    <row r="24" spans="1:5" x14ac:dyDescent="0.3">
      <c r="B24">
        <f>B23/1000</f>
        <v>74520</v>
      </c>
      <c r="C24">
        <f>C23/1000</f>
        <v>6840</v>
      </c>
      <c r="D24">
        <f>D23/1000</f>
        <v>40320</v>
      </c>
    </row>
    <row r="25" spans="1:5" x14ac:dyDescent="0.3">
      <c r="B25" t="s">
        <v>90</v>
      </c>
      <c r="C25" t="s">
        <v>88</v>
      </c>
      <c r="D25" t="s">
        <v>91</v>
      </c>
    </row>
    <row r="26" spans="1:5" x14ac:dyDescent="0.3">
      <c r="B26">
        <f>B24/1000</f>
        <v>74.52</v>
      </c>
      <c r="C26">
        <f>C24/1000</f>
        <v>6.84</v>
      </c>
      <c r="D26">
        <f>D24/1000</f>
        <v>40.32</v>
      </c>
    </row>
    <row r="28" spans="1:5" x14ac:dyDescent="0.3">
      <c r="C28">
        <f>$C$16</f>
        <v>7420.687479782594</v>
      </c>
    </row>
    <row r="29" spans="1:5" x14ac:dyDescent="0.3">
      <c r="B29" t="s">
        <v>89</v>
      </c>
      <c r="C29">
        <f>$C$26/C28</f>
        <v>9.2174748210800456E-4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3AE7F-D79A-4499-B961-001AFD98AF63}">
  <dimension ref="A1:H32"/>
  <sheetViews>
    <sheetView workbookViewId="0">
      <selection activeCell="D26" sqref="D26"/>
    </sheetView>
  </sheetViews>
  <sheetFormatPr defaultRowHeight="14.4" x14ac:dyDescent="0.3"/>
  <sheetData>
    <row r="1" spans="1:8" x14ac:dyDescent="0.3">
      <c r="A1" t="s">
        <v>92</v>
      </c>
      <c r="B1" t="s">
        <v>93</v>
      </c>
      <c r="C1" t="s">
        <v>94</v>
      </c>
      <c r="D1" t="s">
        <v>95</v>
      </c>
      <c r="E1" t="s">
        <v>90</v>
      </c>
    </row>
    <row r="2" spans="1:8" x14ac:dyDescent="0.3">
      <c r="A2" t="s">
        <v>104</v>
      </c>
      <c r="B2" t="s">
        <v>71</v>
      </c>
      <c r="C2">
        <v>16012.977754030971</v>
      </c>
      <c r="D2">
        <f>C2*$C$29</f>
        <v>13.748594928032899</v>
      </c>
      <c r="E2">
        <f>$B$26-$C$26+D2</f>
        <v>81.932594928032913</v>
      </c>
    </row>
    <row r="3" spans="1:8" x14ac:dyDescent="0.3">
      <c r="A3" t="s">
        <v>104</v>
      </c>
      <c r="B3" t="s">
        <v>72</v>
      </c>
      <c r="C3">
        <v>13283.52948560519</v>
      </c>
      <c r="D3">
        <f>C3*$C$29</f>
        <v>11.405115832762165</v>
      </c>
      <c r="E3">
        <f>$B$26-$C$26+D3</f>
        <v>79.589115832762175</v>
      </c>
      <c r="G3" t="s">
        <v>96</v>
      </c>
      <c r="H3">
        <f>MIN(E2:E18)-D26</f>
        <v>59.822179575051408</v>
      </c>
    </row>
    <row r="4" spans="1:8" x14ac:dyDescent="0.3">
      <c r="A4" t="s">
        <v>104</v>
      </c>
      <c r="B4" t="s">
        <v>73</v>
      </c>
      <c r="C4">
        <v>11814.197959029283</v>
      </c>
      <c r="D4">
        <f>C4*$C$29</f>
        <v>10.143561343385882</v>
      </c>
      <c r="E4">
        <f>$B$26-$C$26+D4</f>
        <v>78.327561343385895</v>
      </c>
      <c r="G4" t="s">
        <v>97</v>
      </c>
      <c r="H4">
        <f>MAX(E2:E18)-D26</f>
        <v>65.012101439342018</v>
      </c>
    </row>
    <row r="5" spans="1:8" x14ac:dyDescent="0.3">
      <c r="A5" t="s">
        <v>104</v>
      </c>
      <c r="B5" t="s">
        <v>74</v>
      </c>
      <c r="C5">
        <v>13075.924045377049</v>
      </c>
      <c r="D5">
        <f>C5*$C$29</f>
        <v>11.226867717614804</v>
      </c>
      <c r="E5">
        <f>$B$26-$C$26+D5</f>
        <v>79.410867717614821</v>
      </c>
    </row>
    <row r="6" spans="1:8" x14ac:dyDescent="0.3">
      <c r="A6" t="s">
        <v>104</v>
      </c>
      <c r="B6" t="s">
        <v>75</v>
      </c>
      <c r="C6">
        <v>12874.75598314048</v>
      </c>
      <c r="D6">
        <f>C6*$C$29</f>
        <v>11.054146675805347</v>
      </c>
      <c r="E6">
        <f>$B$26-$C$26+D6</f>
        <v>79.238146675805353</v>
      </c>
    </row>
    <row r="7" spans="1:8" x14ac:dyDescent="0.3">
      <c r="A7" t="s">
        <v>104</v>
      </c>
      <c r="B7" t="s">
        <v>76</v>
      </c>
      <c r="C7">
        <v>17516.105515062623</v>
      </c>
      <c r="D7">
        <f>C7*$C$29</f>
        <v>15.039166552433175</v>
      </c>
      <c r="E7">
        <f>$B$26-$C$26+D7</f>
        <v>83.223166552433185</v>
      </c>
    </row>
    <row r="8" spans="1:8" x14ac:dyDescent="0.3">
      <c r="A8" t="s">
        <v>104</v>
      </c>
      <c r="B8" t="s">
        <v>77</v>
      </c>
      <c r="C8">
        <v>16119.194490891881</v>
      </c>
      <c r="D8">
        <f>C8*$C$29</f>
        <v>13.839791638108295</v>
      </c>
      <c r="E8">
        <f>$B$26-$C$26+D8</f>
        <v>82.023791638108307</v>
      </c>
    </row>
    <row r="9" spans="1:8" x14ac:dyDescent="0.3">
      <c r="A9" t="s">
        <v>104</v>
      </c>
      <c r="B9" t="s">
        <v>78</v>
      </c>
      <c r="C9">
        <v>17208.720715965144</v>
      </c>
      <c r="D9">
        <f>C9*$C$29</f>
        <v>14.775248800548322</v>
      </c>
      <c r="E9">
        <f>$B$26-$C$26+D9</f>
        <v>82.959248800548337</v>
      </c>
    </row>
    <row r="10" spans="1:8" x14ac:dyDescent="0.3">
      <c r="A10" t="s">
        <v>104</v>
      </c>
      <c r="B10" t="s">
        <v>79</v>
      </c>
      <c r="C10">
        <v>14385.930466661594</v>
      </c>
      <c r="D10">
        <f>C10*$C$29</f>
        <v>12.351627141878</v>
      </c>
      <c r="E10">
        <f>$B$26-$C$26+D10</f>
        <v>80.53562714187801</v>
      </c>
    </row>
    <row r="11" spans="1:8" x14ac:dyDescent="0.3">
      <c r="A11" t="s">
        <v>104</v>
      </c>
      <c r="B11" t="s">
        <v>80</v>
      </c>
      <c r="C11">
        <v>13405.839667445025</v>
      </c>
      <c r="D11">
        <f>C11*$C$29</f>
        <v>11.510130226182318</v>
      </c>
      <c r="E11">
        <f>$B$26-$C$26+D11</f>
        <v>79.694130226182324</v>
      </c>
    </row>
    <row r="12" spans="1:8" x14ac:dyDescent="0.3">
      <c r="A12" t="s">
        <v>104</v>
      </c>
      <c r="B12" t="s">
        <v>81</v>
      </c>
      <c r="C12">
        <v>11812.588614531391</v>
      </c>
      <c r="D12">
        <f>C12*$C$29</f>
        <v>10.142179575051406</v>
      </c>
      <c r="E12">
        <f>$B$26-$C$26+D12</f>
        <v>78.326179575051412</v>
      </c>
    </row>
    <row r="13" spans="1:8" x14ac:dyDescent="0.3">
      <c r="A13" t="s">
        <v>104</v>
      </c>
      <c r="B13" t="s">
        <v>82</v>
      </c>
      <c r="C13">
        <v>15713.639677422956</v>
      </c>
      <c r="D13">
        <f>C13*$C$29</f>
        <v>13.491586017820426</v>
      </c>
      <c r="E13">
        <f>$B$26-$C$26+D13</f>
        <v>81.675586017820436</v>
      </c>
    </row>
    <row r="14" spans="1:8" x14ac:dyDescent="0.3">
      <c r="A14" t="s">
        <v>104</v>
      </c>
      <c r="B14" t="s">
        <v>83</v>
      </c>
      <c r="C14">
        <v>17857.286548615844</v>
      </c>
      <c r="D14">
        <f>C14*$C$29</f>
        <v>15.332101439342015</v>
      </c>
      <c r="E14">
        <f>$B$26-$C$26+D14</f>
        <v>83.516101439342023</v>
      </c>
    </row>
    <row r="15" spans="1:8" x14ac:dyDescent="0.3">
      <c r="A15" t="s">
        <v>104</v>
      </c>
      <c r="B15" t="s">
        <v>84</v>
      </c>
      <c r="C15">
        <v>17857.286548615844</v>
      </c>
      <c r="D15">
        <f>C15*$C$29</f>
        <v>15.332101439342015</v>
      </c>
      <c r="E15">
        <f>$B$26-$C$26+D15</f>
        <v>83.516101439342023</v>
      </c>
    </row>
    <row r="16" spans="1:8" x14ac:dyDescent="0.3">
      <c r="A16" t="s">
        <v>104</v>
      </c>
      <c r="B16" t="s">
        <v>85</v>
      </c>
      <c r="C16">
        <v>16436.235356976715</v>
      </c>
      <c r="D16">
        <f>C16*$C$29</f>
        <v>14.112</v>
      </c>
      <c r="E16">
        <f>$B$26-$C$26+D16</f>
        <v>82.296000000000006</v>
      </c>
    </row>
    <row r="17" spans="1:5" x14ac:dyDescent="0.3">
      <c r="A17" t="s">
        <v>104</v>
      </c>
      <c r="B17" t="s">
        <v>86</v>
      </c>
      <c r="C17">
        <v>15692.718198950352</v>
      </c>
      <c r="D17">
        <f>C17*$C$29</f>
        <v>13.473623029472241</v>
      </c>
      <c r="E17">
        <f>$B$26-$C$26+D17</f>
        <v>81.657623029472248</v>
      </c>
    </row>
    <row r="18" spans="1:5" x14ac:dyDescent="0.3">
      <c r="A18" t="s">
        <v>104</v>
      </c>
      <c r="B18" t="s">
        <v>87</v>
      </c>
      <c r="C18">
        <v>17760.725878742291</v>
      </c>
      <c r="D18">
        <f>C18*$C$29</f>
        <v>15.249195339273474</v>
      </c>
      <c r="E18">
        <f>$B$26-$C$26+D18</f>
        <v>83.433195339273482</v>
      </c>
    </row>
    <row r="22" spans="1:5" x14ac:dyDescent="0.3">
      <c r="B22">
        <v>22.86</v>
      </c>
      <c r="C22">
        <v>3.92</v>
      </c>
      <c r="D22">
        <v>5.14</v>
      </c>
    </row>
    <row r="23" spans="1:5" x14ac:dyDescent="0.3">
      <c r="B23">
        <f>B22*3600000</f>
        <v>82296000</v>
      </c>
      <c r="C23">
        <f>C22*3600000</f>
        <v>14112000</v>
      </c>
      <c r="D23">
        <f>D22*3600000</f>
        <v>18504000</v>
      </c>
    </row>
    <row r="24" spans="1:5" x14ac:dyDescent="0.3">
      <c r="B24">
        <f>B23/1000</f>
        <v>82296</v>
      </c>
      <c r="C24">
        <f>C23/1000</f>
        <v>14112</v>
      </c>
      <c r="D24">
        <f>D23/1000</f>
        <v>18504</v>
      </c>
    </row>
    <row r="25" spans="1:5" x14ac:dyDescent="0.3">
      <c r="B25" t="s">
        <v>90</v>
      </c>
      <c r="C25" t="s">
        <v>88</v>
      </c>
      <c r="D25" t="s">
        <v>91</v>
      </c>
    </row>
    <row r="26" spans="1:5" x14ac:dyDescent="0.3">
      <c r="B26">
        <f>B24/1000</f>
        <v>82.296000000000006</v>
      </c>
      <c r="C26">
        <f>C24/1000</f>
        <v>14.112</v>
      </c>
      <c r="D26">
        <f>D24/1000</f>
        <v>18.504000000000001</v>
      </c>
    </row>
    <row r="28" spans="1:5" x14ac:dyDescent="0.3">
      <c r="C28">
        <f>$C$16</f>
        <v>16436.235356976715</v>
      </c>
    </row>
    <row r="29" spans="1:5" x14ac:dyDescent="0.3">
      <c r="B29" t="s">
        <v>89</v>
      </c>
      <c r="C29">
        <f>$C$26/C28</f>
        <v>8.5859077176148231E-4</v>
      </c>
    </row>
    <row r="32" spans="1:5" x14ac:dyDescent="0.3">
      <c r="C32" t="s">
        <v>105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838BA-E0B7-4A42-8007-2C97FF68318F}">
  <dimension ref="A1:H29"/>
  <sheetViews>
    <sheetView workbookViewId="0">
      <selection activeCell="D23" sqref="D23"/>
    </sheetView>
  </sheetViews>
  <sheetFormatPr defaultRowHeight="14.4" x14ac:dyDescent="0.3"/>
  <sheetData>
    <row r="1" spans="1:8" x14ac:dyDescent="0.3">
      <c r="A1" t="s">
        <v>92</v>
      </c>
      <c r="B1" t="s">
        <v>93</v>
      </c>
      <c r="C1" t="s">
        <v>94</v>
      </c>
      <c r="D1" t="s">
        <v>95</v>
      </c>
      <c r="E1" t="s">
        <v>90</v>
      </c>
    </row>
    <row r="2" spans="1:8" x14ac:dyDescent="0.3">
      <c r="A2" t="s">
        <v>106</v>
      </c>
      <c r="B2" t="s">
        <v>71</v>
      </c>
      <c r="C2">
        <v>14865.515127033575</v>
      </c>
      <c r="D2">
        <f>C2*$C$29</f>
        <v>12.601212631578948</v>
      </c>
      <c r="E2">
        <f>$B$26-$C$26+D2</f>
        <v>70.201212631578954</v>
      </c>
    </row>
    <row r="3" spans="1:8" x14ac:dyDescent="0.3">
      <c r="A3" t="s">
        <v>106</v>
      </c>
      <c r="B3" t="s">
        <v>72</v>
      </c>
      <c r="C3">
        <v>14318.337997750106</v>
      </c>
      <c r="D3">
        <f>C3*$C$29</f>
        <v>12.13738105263158</v>
      </c>
      <c r="E3">
        <f>$B$26-$C$26+D3</f>
        <v>69.737381052631576</v>
      </c>
      <c r="G3" t="s">
        <v>96</v>
      </c>
      <c r="H3">
        <f>MIN(E2:E18)-D26</f>
        <v>40.360623157894736</v>
      </c>
    </row>
    <row r="4" spans="1:8" x14ac:dyDescent="0.3">
      <c r="A4" t="s">
        <v>106</v>
      </c>
      <c r="B4" t="s">
        <v>73</v>
      </c>
      <c r="C4">
        <v>10842.153882302176</v>
      </c>
      <c r="D4">
        <f>C4*$C$29</f>
        <v>9.190686315789474</v>
      </c>
      <c r="E4">
        <f>$B$26-$C$26+D4</f>
        <v>66.790686315789472</v>
      </c>
      <c r="G4" t="s">
        <v>97</v>
      </c>
      <c r="H4">
        <f>MAX(E2:E18)-D26</f>
        <v>45.484597894736837</v>
      </c>
    </row>
    <row r="5" spans="1:8" x14ac:dyDescent="0.3">
      <c r="A5" t="s">
        <v>106</v>
      </c>
      <c r="B5" t="s">
        <v>74</v>
      </c>
      <c r="C5">
        <v>11928.461418379655</v>
      </c>
      <c r="D5">
        <f>C5*$C$29</f>
        <v>10.111528421052633</v>
      </c>
      <c r="E5">
        <f>$B$26-$C$26+D5</f>
        <v>67.711528421052634</v>
      </c>
    </row>
    <row r="6" spans="1:8" x14ac:dyDescent="0.3">
      <c r="A6" t="s">
        <v>106</v>
      </c>
      <c r="B6" t="s">
        <v>75</v>
      </c>
      <c r="C6">
        <v>11727.293356143084</v>
      </c>
      <c r="D6">
        <f>C6*$C$29</f>
        <v>9.9410021052631592</v>
      </c>
      <c r="E6">
        <f>$B$26-$C$26+D6</f>
        <v>67.541002105263161</v>
      </c>
    </row>
    <row r="7" spans="1:8" x14ac:dyDescent="0.3">
      <c r="A7" t="s">
        <v>106</v>
      </c>
      <c r="B7" t="s">
        <v>76</v>
      </c>
      <c r="C7">
        <v>16368.642888065227</v>
      </c>
      <c r="D7">
        <f>C7*$C$29</f>
        <v>13.875385263157897</v>
      </c>
      <c r="E7">
        <f>$B$26-$C$26+D7</f>
        <v>71.475385263157904</v>
      </c>
    </row>
    <row r="8" spans="1:8" x14ac:dyDescent="0.3">
      <c r="A8" t="s">
        <v>106</v>
      </c>
      <c r="B8" t="s">
        <v>77</v>
      </c>
      <c r="C8">
        <v>14971.731863894485</v>
      </c>
      <c r="D8">
        <f>C8*$C$29</f>
        <v>12.691250526315791</v>
      </c>
      <c r="E8">
        <f>$B$26-$C$26+D8</f>
        <v>70.291250526315793</v>
      </c>
    </row>
    <row r="9" spans="1:8" x14ac:dyDescent="0.3">
      <c r="A9" t="s">
        <v>106</v>
      </c>
      <c r="B9" t="s">
        <v>78</v>
      </c>
      <c r="C9">
        <v>16061.258088967748</v>
      </c>
      <c r="D9">
        <f>C9*$C$29</f>
        <v>13.61482105263158</v>
      </c>
      <c r="E9">
        <f>$B$26-$C$26+D9</f>
        <v>71.214821052631578</v>
      </c>
    </row>
    <row r="10" spans="1:8" x14ac:dyDescent="0.3">
      <c r="A10" t="s">
        <v>106</v>
      </c>
      <c r="B10" t="s">
        <v>79</v>
      </c>
      <c r="C10">
        <v>13238.467839664198</v>
      </c>
      <c r="D10">
        <f>C10*$C$29</f>
        <v>11.221995789473684</v>
      </c>
      <c r="E10">
        <f>$B$26-$C$26+D10</f>
        <v>68.821995789473689</v>
      </c>
    </row>
    <row r="11" spans="1:8" x14ac:dyDescent="0.3">
      <c r="A11" t="s">
        <v>106</v>
      </c>
      <c r="B11" t="s">
        <v>80</v>
      </c>
      <c r="C11">
        <v>12258.377040447629</v>
      </c>
      <c r="D11">
        <f>C11*$C$29</f>
        <v>10.391191578947369</v>
      </c>
      <c r="E11">
        <f>$B$26-$C$26+D11</f>
        <v>67.991191578947365</v>
      </c>
    </row>
    <row r="12" spans="1:8" x14ac:dyDescent="0.3">
      <c r="A12" t="s">
        <v>106</v>
      </c>
      <c r="B12" t="s">
        <v>81</v>
      </c>
      <c r="C12">
        <v>10665.125987533995</v>
      </c>
      <c r="D12">
        <f>C12*$C$29</f>
        <v>9.0406231578947374</v>
      </c>
      <c r="E12">
        <f>$B$26-$C$26+D12</f>
        <v>66.640623157894737</v>
      </c>
    </row>
    <row r="13" spans="1:8" x14ac:dyDescent="0.3">
      <c r="A13" t="s">
        <v>106</v>
      </c>
      <c r="B13" t="s">
        <v>82</v>
      </c>
      <c r="C13">
        <v>14566.17705042556</v>
      </c>
      <c r="D13">
        <f>C13*$C$29</f>
        <v>12.347469473684212</v>
      </c>
      <c r="E13">
        <f>$B$26-$C$26+D13</f>
        <v>69.947469473684208</v>
      </c>
    </row>
    <row r="14" spans="1:8" x14ac:dyDescent="0.3">
      <c r="A14" t="s">
        <v>106</v>
      </c>
      <c r="B14" t="s">
        <v>83</v>
      </c>
      <c r="C14">
        <v>16709.823921618448</v>
      </c>
      <c r="D14">
        <f>C14*$C$29</f>
        <v>14.164597894736842</v>
      </c>
      <c r="E14">
        <f>$B$26-$C$26+D14</f>
        <v>71.764597894736838</v>
      </c>
    </row>
    <row r="15" spans="1:8" x14ac:dyDescent="0.3">
      <c r="A15" t="s">
        <v>106</v>
      </c>
      <c r="B15" t="s">
        <v>84</v>
      </c>
      <c r="C15">
        <v>16709.823921618448</v>
      </c>
      <c r="D15">
        <f>C15*$C$29</f>
        <v>14.164597894736842</v>
      </c>
      <c r="E15">
        <f>$B$26-$C$26+D15</f>
        <v>71.764597894736838</v>
      </c>
    </row>
    <row r="16" spans="1:8" x14ac:dyDescent="0.3">
      <c r="A16" t="s">
        <v>106</v>
      </c>
      <c r="B16" t="s">
        <v>85</v>
      </c>
      <c r="C16">
        <v>15288.772729979319</v>
      </c>
      <c r="D16">
        <f>C16*$C$29</f>
        <v>12.96</v>
      </c>
      <c r="E16">
        <f>$B$26-$C$26+D16</f>
        <v>70.56</v>
      </c>
    </row>
    <row r="17" spans="1:5" x14ac:dyDescent="0.3">
      <c r="A17" t="s">
        <v>106</v>
      </c>
      <c r="B17" t="s">
        <v>86</v>
      </c>
      <c r="C17">
        <v>14545.255571952957</v>
      </c>
      <c r="D17">
        <f>C17*$C$29</f>
        <v>12.329734736842108</v>
      </c>
      <c r="E17">
        <f>$B$26-$C$26+D17</f>
        <v>69.929734736842107</v>
      </c>
    </row>
    <row r="18" spans="1:5" x14ac:dyDescent="0.3">
      <c r="A18" t="s">
        <v>106</v>
      </c>
      <c r="B18" t="s">
        <v>87</v>
      </c>
      <c r="C18">
        <v>16613.263251744895</v>
      </c>
      <c r="D18">
        <f>C18*$C$29</f>
        <v>14.082745263157895</v>
      </c>
      <c r="E18">
        <f>$B$26-$C$26+D18</f>
        <v>71.682745263157898</v>
      </c>
    </row>
    <row r="22" spans="1:5" x14ac:dyDescent="0.3">
      <c r="B22">
        <v>19.600000000000001</v>
      </c>
      <c r="C22">
        <v>3.6</v>
      </c>
      <c r="D22">
        <v>7.3</v>
      </c>
    </row>
    <row r="23" spans="1:5" x14ac:dyDescent="0.3">
      <c r="B23">
        <f>B22*3600000</f>
        <v>70560000</v>
      </c>
      <c r="C23">
        <f>C22*3600000</f>
        <v>12960000</v>
      </c>
      <c r="D23">
        <f>D22*3600000</f>
        <v>26280000</v>
      </c>
    </row>
    <row r="24" spans="1:5" x14ac:dyDescent="0.3">
      <c r="B24">
        <f>B23/1000</f>
        <v>70560</v>
      </c>
      <c r="C24">
        <f>C23/1000</f>
        <v>12960</v>
      </c>
      <c r="D24">
        <f>D23/1000</f>
        <v>26280</v>
      </c>
    </row>
    <row r="25" spans="1:5" x14ac:dyDescent="0.3">
      <c r="B25" t="s">
        <v>90</v>
      </c>
      <c r="C25" t="s">
        <v>88</v>
      </c>
      <c r="D25" t="s">
        <v>91</v>
      </c>
    </row>
    <row r="26" spans="1:5" x14ac:dyDescent="0.3">
      <c r="B26">
        <f>B24/1000</f>
        <v>70.56</v>
      </c>
      <c r="C26">
        <f>C24/1000</f>
        <v>12.96</v>
      </c>
      <c r="D26">
        <f>D24/1000</f>
        <v>26.28</v>
      </c>
    </row>
    <row r="28" spans="1:5" x14ac:dyDescent="0.3">
      <c r="C28">
        <f>$C$16</f>
        <v>15288.772729979319</v>
      </c>
    </row>
    <row r="29" spans="1:5" x14ac:dyDescent="0.3">
      <c r="B29" t="s">
        <v>89</v>
      </c>
      <c r="C29">
        <f>$C$26/C28</f>
        <v>8.4768085894737033E-4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AEA5C-A3AF-4C1E-8A83-54B91DD59427}">
  <dimension ref="A1:H31"/>
  <sheetViews>
    <sheetView topLeftCell="B1" workbookViewId="0">
      <selection activeCell="K25" sqref="K25"/>
    </sheetView>
  </sheetViews>
  <sheetFormatPr defaultRowHeight="14.4" x14ac:dyDescent="0.3"/>
  <sheetData>
    <row r="1" spans="1:8" x14ac:dyDescent="0.3">
      <c r="A1" t="s">
        <v>92</v>
      </c>
      <c r="B1" t="s">
        <v>93</v>
      </c>
      <c r="C1" t="s">
        <v>94</v>
      </c>
      <c r="D1" t="s">
        <v>95</v>
      </c>
      <c r="E1" t="s">
        <v>90</v>
      </c>
    </row>
    <row r="2" spans="1:8" x14ac:dyDescent="0.3">
      <c r="A2" t="s">
        <v>107</v>
      </c>
      <c r="B2" t="s">
        <v>71</v>
      </c>
      <c r="C2">
        <v>5162.7771492393322</v>
      </c>
      <c r="D2">
        <f>C2*$C$29</f>
        <v>2.661780466724287</v>
      </c>
      <c r="E2">
        <f>$B$26-$C$26+D2</f>
        <v>72.570716636937064</v>
      </c>
    </row>
    <row r="3" spans="1:8" x14ac:dyDescent="0.3">
      <c r="A3" t="s">
        <v>107</v>
      </c>
      <c r="B3" t="s">
        <v>72</v>
      </c>
      <c r="C3">
        <v>2261.1290195390466</v>
      </c>
      <c r="D3">
        <f>C3*$C$29</f>
        <v>1.165773552290406</v>
      </c>
      <c r="E3">
        <f>$B$26-$C$26+D3</f>
        <v>71.074709722503187</v>
      </c>
      <c r="G3" t="s">
        <v>96</v>
      </c>
      <c r="H3">
        <f>MIN(E2:E18)-D26</f>
        <v>26.709801210025958</v>
      </c>
    </row>
    <row r="4" spans="1:8" x14ac:dyDescent="0.3">
      <c r="A4" t="s">
        <v>107</v>
      </c>
      <c r="B4" t="s">
        <v>73</v>
      </c>
      <c r="C4">
        <v>833.64044990834611</v>
      </c>
      <c r="D4">
        <f>C4*$C$29</f>
        <v>0.42980121002592914</v>
      </c>
      <c r="E4">
        <f>$B$26-$C$26+D4</f>
        <v>70.338737380238712</v>
      </c>
      <c r="G4" t="s">
        <v>97</v>
      </c>
      <c r="H4">
        <f>MAX(E2:E18)-D26</f>
        <v>29.892653414001757</v>
      </c>
    </row>
    <row r="5" spans="1:8" x14ac:dyDescent="0.3">
      <c r="A5" t="s">
        <v>107</v>
      </c>
      <c r="B5" t="s">
        <v>74</v>
      </c>
      <c r="C5">
        <v>1993.9778328888817</v>
      </c>
      <c r="D5">
        <f>C5*$C$29</f>
        <v>1.028038029386344</v>
      </c>
      <c r="E5">
        <f>$B$26-$C$26+D5</f>
        <v>70.936974199599121</v>
      </c>
    </row>
    <row r="6" spans="1:8" x14ac:dyDescent="0.3">
      <c r="A6" t="s">
        <v>107</v>
      </c>
      <c r="B6" t="s">
        <v>75</v>
      </c>
      <c r="C6">
        <v>2024.5553783488403</v>
      </c>
      <c r="D6">
        <f>C6*$C$29</f>
        <v>1.0438029386343992</v>
      </c>
      <c r="E6">
        <f>$B$26-$C$26+D6</f>
        <v>70.952739108847183</v>
      </c>
    </row>
    <row r="7" spans="1:8" x14ac:dyDescent="0.3">
      <c r="A7" t="s">
        <v>107</v>
      </c>
      <c r="B7" t="s">
        <v>76</v>
      </c>
      <c r="C7">
        <v>6665.9049102709832</v>
      </c>
      <c r="D7">
        <f>C7*$C$29</f>
        <v>3.4367502160760588</v>
      </c>
      <c r="E7">
        <f>$B$26-$C$26+D7</f>
        <v>73.345686386288847</v>
      </c>
    </row>
    <row r="8" spans="1:8" x14ac:dyDescent="0.3">
      <c r="A8" t="s">
        <v>107</v>
      </c>
      <c r="B8" t="s">
        <v>77</v>
      </c>
      <c r="C8">
        <v>5268.9938861002411</v>
      </c>
      <c r="D8">
        <f>C8*$C$29</f>
        <v>2.7165427830596367</v>
      </c>
      <c r="E8">
        <f>$B$26-$C$26+D8</f>
        <v>72.62547895327242</v>
      </c>
    </row>
    <row r="9" spans="1:8" x14ac:dyDescent="0.3">
      <c r="A9" t="s">
        <v>107</v>
      </c>
      <c r="B9" t="s">
        <v>78</v>
      </c>
      <c r="C9">
        <v>6173.4454939158604</v>
      </c>
      <c r="D9">
        <f>C9*$C$29</f>
        <v>3.1828522039757998</v>
      </c>
      <c r="E9">
        <f>$B$26-$C$26+D9</f>
        <v>73.091788374188582</v>
      </c>
    </row>
    <row r="10" spans="1:8" x14ac:dyDescent="0.3">
      <c r="A10" t="s">
        <v>107</v>
      </c>
      <c r="B10" t="s">
        <v>79</v>
      </c>
      <c r="C10">
        <v>3350.6552446123096</v>
      </c>
      <c r="D10">
        <f>C10*$C$29</f>
        <v>1.7275021607605876</v>
      </c>
      <c r="E10">
        <f>$B$26-$C$26+D10</f>
        <v>71.636438330973377</v>
      </c>
    </row>
    <row r="11" spans="1:8" x14ac:dyDescent="0.3">
      <c r="A11" t="s">
        <v>107</v>
      </c>
      <c r="B11" t="s">
        <v>80</v>
      </c>
      <c r="C11">
        <v>2729.4482684257819</v>
      </c>
      <c r="D11">
        <f>C11*$C$29</f>
        <v>1.4072255834053589</v>
      </c>
      <c r="E11">
        <f>$B$26-$C$26+D11</f>
        <v>71.316161753618147</v>
      </c>
    </row>
    <row r="12" spans="1:8" x14ac:dyDescent="0.3">
      <c r="A12" t="s">
        <v>107</v>
      </c>
      <c r="B12" t="s">
        <v>81</v>
      </c>
      <c r="C12">
        <v>1161.9467274784283</v>
      </c>
      <c r="D12">
        <f>C12*$C$29</f>
        <v>0.59906655142610199</v>
      </c>
      <c r="E12">
        <f>$B$26-$C$26+D12</f>
        <v>70.508002721638888</v>
      </c>
    </row>
    <row r="13" spans="1:8" x14ac:dyDescent="0.3">
      <c r="A13" t="s">
        <v>107</v>
      </c>
      <c r="B13" t="s">
        <v>82</v>
      </c>
      <c r="C13">
        <v>4678.3644553736722</v>
      </c>
      <c r="D13">
        <f>C13*$C$29</f>
        <v>2.4120311149524634</v>
      </c>
      <c r="E13">
        <f>$B$26-$C$26+D13</f>
        <v>72.320967285165253</v>
      </c>
    </row>
    <row r="14" spans="1:8" x14ac:dyDescent="0.3">
      <c r="A14" t="s">
        <v>107</v>
      </c>
      <c r="B14" t="s">
        <v>83</v>
      </c>
      <c r="C14">
        <v>7007.085943824206</v>
      </c>
      <c r="D14">
        <f>C14*$C$29</f>
        <v>3.6126534140017283</v>
      </c>
      <c r="E14">
        <f>$B$26-$C$26+D14</f>
        <v>73.52158958421451</v>
      </c>
    </row>
    <row r="15" spans="1:8" x14ac:dyDescent="0.3">
      <c r="A15" t="s">
        <v>107</v>
      </c>
      <c r="B15" t="s">
        <v>84</v>
      </c>
      <c r="C15">
        <v>7007.085943824206</v>
      </c>
      <c r="D15">
        <f>C15*$C$29</f>
        <v>3.6126534140017283</v>
      </c>
      <c r="E15">
        <f>$B$26-$C$26+D15</f>
        <v>73.52158958421451</v>
      </c>
    </row>
    <row r="16" spans="1:8" x14ac:dyDescent="0.3">
      <c r="A16" t="s">
        <v>107</v>
      </c>
      <c r="B16" t="s">
        <v>85</v>
      </c>
      <c r="C16">
        <v>5586.0347521850754</v>
      </c>
      <c r="D16">
        <f>C16*$C$29</f>
        <v>2.88</v>
      </c>
      <c r="E16">
        <f>$B$26-$C$26+D16</f>
        <v>72.788936170212779</v>
      </c>
    </row>
    <row r="17" spans="1:8" x14ac:dyDescent="0.3">
      <c r="A17" t="s">
        <v>107</v>
      </c>
      <c r="B17" t="s">
        <v>86</v>
      </c>
      <c r="C17">
        <v>4842.5175941587131</v>
      </c>
      <c r="D17">
        <f>C17*$C$29</f>
        <v>2.49666378565255</v>
      </c>
      <c r="E17">
        <f>$B$26-$C$26+D17</f>
        <v>72.405599955865327</v>
      </c>
    </row>
    <row r="18" spans="1:8" x14ac:dyDescent="0.3">
      <c r="A18" t="s">
        <v>107</v>
      </c>
      <c r="B18" t="s">
        <v>87</v>
      </c>
      <c r="C18">
        <v>6910.5252739506523</v>
      </c>
      <c r="D18">
        <f>C18*$C$29</f>
        <v>3.5628694900605011</v>
      </c>
      <c r="E18">
        <f>$B$26-$C$26+D18</f>
        <v>73.47180566027329</v>
      </c>
    </row>
    <row r="19" spans="1:8" x14ac:dyDescent="0.3">
      <c r="G19" t="s">
        <v>109</v>
      </c>
      <c r="H19">
        <f>15.4+12.8</f>
        <v>28.200000000000003</v>
      </c>
    </row>
    <row r="20" spans="1:8" x14ac:dyDescent="0.3">
      <c r="G20" t="s">
        <v>110</v>
      </c>
      <c r="H20">
        <f>H19/2</f>
        <v>14.100000000000001</v>
      </c>
    </row>
    <row r="21" spans="1:8" x14ac:dyDescent="0.3">
      <c r="G21" t="s">
        <v>111</v>
      </c>
      <c r="H21">
        <v>8.9</v>
      </c>
    </row>
    <row r="22" spans="1:8" x14ac:dyDescent="0.3">
      <c r="B22">
        <f>H28</f>
        <v>20.219148936170214</v>
      </c>
      <c r="C22">
        <v>0.8</v>
      </c>
      <c r="D22">
        <f>H26</f>
        <v>12.119148936170211</v>
      </c>
    </row>
    <row r="23" spans="1:8" x14ac:dyDescent="0.3">
      <c r="B23">
        <f>B22*3600000</f>
        <v>72788936.170212775</v>
      </c>
      <c r="C23">
        <f>C22*3600000</f>
        <v>2880000</v>
      </c>
      <c r="D23">
        <f>D22*3600000</f>
        <v>43628936.170212761</v>
      </c>
    </row>
    <row r="24" spans="1:8" x14ac:dyDescent="0.3">
      <c r="B24">
        <f>B23/1000</f>
        <v>72788.936170212779</v>
      </c>
      <c r="C24">
        <f>C23/1000</f>
        <v>2880</v>
      </c>
      <c r="D24">
        <f>D23/1000</f>
        <v>43628.936170212757</v>
      </c>
      <c r="G24" t="s">
        <v>112</v>
      </c>
      <c r="H24">
        <f>H21/H20</f>
        <v>0.63120567375886516</v>
      </c>
    </row>
    <row r="25" spans="1:8" x14ac:dyDescent="0.3">
      <c r="B25" t="s">
        <v>90</v>
      </c>
      <c r="C25" t="s">
        <v>88</v>
      </c>
      <c r="D25" t="s">
        <v>91</v>
      </c>
      <c r="G25" t="s">
        <v>113</v>
      </c>
      <c r="H25">
        <v>19.2</v>
      </c>
    </row>
    <row r="26" spans="1:8" x14ac:dyDescent="0.3">
      <c r="B26">
        <f>B24/1000</f>
        <v>72.788936170212779</v>
      </c>
      <c r="C26">
        <f>C24/1000</f>
        <v>2.88</v>
      </c>
      <c r="D26">
        <f>D24/1000</f>
        <v>43.628936170212754</v>
      </c>
      <c r="G26" t="s">
        <v>114</v>
      </c>
      <c r="H26">
        <f>H25*H24</f>
        <v>12.119148936170211</v>
      </c>
    </row>
    <row r="27" spans="1:8" x14ac:dyDescent="0.3">
      <c r="G27" t="s">
        <v>115</v>
      </c>
      <c r="H27">
        <v>27.3</v>
      </c>
    </row>
    <row r="28" spans="1:8" x14ac:dyDescent="0.3">
      <c r="C28">
        <f>$C$16</f>
        <v>5586.0347521850754</v>
      </c>
      <c r="G28" t="s">
        <v>116</v>
      </c>
      <c r="H28">
        <f>(H27-H25)+H26</f>
        <v>20.219148936170214</v>
      </c>
    </row>
    <row r="29" spans="1:8" x14ac:dyDescent="0.3">
      <c r="B29" t="s">
        <v>89</v>
      </c>
      <c r="C29">
        <f>$C$26/C28</f>
        <v>5.1557144338807369E-4</v>
      </c>
    </row>
    <row r="31" spans="1:8" x14ac:dyDescent="0.3">
      <c r="C31" t="s">
        <v>108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699A3-3733-4AC3-B54C-9E982E36ABD5}">
  <dimension ref="A1:N29"/>
  <sheetViews>
    <sheetView workbookViewId="0">
      <selection activeCell="E3" sqref="E3"/>
    </sheetView>
  </sheetViews>
  <sheetFormatPr defaultRowHeight="14.4" x14ac:dyDescent="0.3"/>
  <cols>
    <col min="4" max="4" width="11" bestFit="1" customWidth="1"/>
  </cols>
  <sheetData>
    <row r="1" spans="1:8" x14ac:dyDescent="0.3">
      <c r="A1" t="s">
        <v>92</v>
      </c>
      <c r="B1" t="s">
        <v>93</v>
      </c>
      <c r="C1" t="s">
        <v>94</v>
      </c>
      <c r="D1" t="s">
        <v>95</v>
      </c>
      <c r="E1" t="s">
        <v>90</v>
      </c>
    </row>
    <row r="2" spans="1:8" x14ac:dyDescent="0.3">
      <c r="A2" t="s">
        <v>45</v>
      </c>
      <c r="B2" t="s">
        <v>30</v>
      </c>
      <c r="C2">
        <v>1477.9000485607401</v>
      </c>
      <c r="D2">
        <f>C2*$C$29</f>
        <v>8.9240801790460011</v>
      </c>
      <c r="E2">
        <f>$B$26-$C$26+D2</f>
        <v>78.044080179046006</v>
      </c>
    </row>
    <row r="3" spans="1:8" x14ac:dyDescent="0.3">
      <c r="A3" t="s">
        <v>45</v>
      </c>
      <c r="B3" t="s">
        <v>15</v>
      </c>
      <c r="C3">
        <f>D9</f>
        <v>1896.2553265811032</v>
      </c>
      <c r="D3">
        <f>C3/$C$2*C26</f>
        <v>11.450256457351578</v>
      </c>
      <c r="E3">
        <f>$B$26-$C$26+D3</f>
        <v>80.570256457351576</v>
      </c>
      <c r="G3" t="s">
        <v>96</v>
      </c>
      <c r="H3">
        <f>MIN(E2:E18)-D26</f>
        <v>8.9240801790460011</v>
      </c>
    </row>
    <row r="4" spans="1:8" x14ac:dyDescent="0.3">
      <c r="A4" t="s">
        <v>45</v>
      </c>
      <c r="B4" t="s">
        <v>119</v>
      </c>
      <c r="C4">
        <f>(C2+C3)/2</f>
        <v>1687.0776875709216</v>
      </c>
      <c r="D4">
        <f>C4/$C$2*C26</f>
        <v>10.18716831819879</v>
      </c>
      <c r="E4">
        <f>$B$26-$C$26+D4</f>
        <v>79.307168318198791</v>
      </c>
      <c r="G4" t="s">
        <v>97</v>
      </c>
      <c r="H4">
        <f>MAX(E2:E18)-D26</f>
        <v>11.450256457351571</v>
      </c>
    </row>
    <row r="7" spans="1:8" x14ac:dyDescent="0.3">
      <c r="D7">
        <v>964.8646999038657</v>
      </c>
    </row>
    <row r="8" spans="1:8" x14ac:dyDescent="0.3">
      <c r="D8">
        <v>931.39062667723749</v>
      </c>
    </row>
    <row r="9" spans="1:8" x14ac:dyDescent="0.3">
      <c r="C9" t="s">
        <v>120</v>
      </c>
      <c r="D9">
        <f>D8+D7</f>
        <v>1896.2553265811032</v>
      </c>
    </row>
    <row r="22" spans="2:14" x14ac:dyDescent="0.3">
      <c r="B22">
        <f>D22+C22</f>
        <v>21.678911160846113</v>
      </c>
      <c r="C22">
        <f>N28</f>
        <v>2.4789111608461116</v>
      </c>
      <c r="D22">
        <v>19.2</v>
      </c>
    </row>
    <row r="23" spans="2:14" x14ac:dyDescent="0.3">
      <c r="B23">
        <f>B22*3600000</f>
        <v>78044080.179046005</v>
      </c>
      <c r="C23">
        <f>C22*3600000</f>
        <v>8924080.1790460013</v>
      </c>
      <c r="D23">
        <f>D22*3600000</f>
        <v>69120000</v>
      </c>
    </row>
    <row r="24" spans="2:14" x14ac:dyDescent="0.3">
      <c r="B24">
        <f>B23/1000</f>
        <v>78044.08017904601</v>
      </c>
      <c r="C24">
        <f>C23/1000</f>
        <v>8924.0801790460009</v>
      </c>
      <c r="D24">
        <f>D23/1000</f>
        <v>69120</v>
      </c>
    </row>
    <row r="25" spans="2:14" x14ac:dyDescent="0.3">
      <c r="B25" t="s">
        <v>90</v>
      </c>
      <c r="C25" t="s">
        <v>88</v>
      </c>
      <c r="D25" t="s">
        <v>91</v>
      </c>
    </row>
    <row r="26" spans="2:14" x14ac:dyDescent="0.3">
      <c r="B26">
        <f>B24/1000</f>
        <v>78.044080179046006</v>
      </c>
      <c r="C26">
        <f>C24/1000</f>
        <v>8.9240801790460011</v>
      </c>
      <c r="D26">
        <f>D24/1000</f>
        <v>69.12</v>
      </c>
      <c r="L26" t="s">
        <v>117</v>
      </c>
      <c r="M26" t="s">
        <v>118</v>
      </c>
    </row>
    <row r="27" spans="2:14" x14ac:dyDescent="0.3">
      <c r="L27">
        <v>4650.2757181661646</v>
      </c>
      <c r="M27">
        <v>7.8</v>
      </c>
      <c r="N27">
        <f>M27/L27</f>
        <v>1.6773198994480113E-3</v>
      </c>
    </row>
    <row r="28" spans="2:14" x14ac:dyDescent="0.3">
      <c r="C28">
        <v>1477.9000485607401</v>
      </c>
      <c r="N28">
        <f>N27*C2</f>
        <v>2.4789111608461116</v>
      </c>
    </row>
    <row r="29" spans="2:14" x14ac:dyDescent="0.3">
      <c r="B29" t="s">
        <v>89</v>
      </c>
      <c r="C29">
        <f>$C$26/C28</f>
        <v>6.0383516380128404E-3</v>
      </c>
      <c r="N29">
        <f>N28*3.6</f>
        <v>8.9240801790460029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7168B-0C69-4CBB-9FD9-54E63495D7B5}">
  <dimension ref="A1:N29"/>
  <sheetViews>
    <sheetView workbookViewId="0">
      <selection activeCell="E2" sqref="E2"/>
    </sheetView>
  </sheetViews>
  <sheetFormatPr defaultRowHeight="14.4" x14ac:dyDescent="0.3"/>
  <cols>
    <col min="4" max="4" width="11" bestFit="1" customWidth="1"/>
  </cols>
  <sheetData>
    <row r="1" spans="1:8" x14ac:dyDescent="0.3">
      <c r="A1" t="s">
        <v>92</v>
      </c>
      <c r="B1" t="s">
        <v>93</v>
      </c>
      <c r="C1" t="s">
        <v>94</v>
      </c>
      <c r="D1" t="s">
        <v>95</v>
      </c>
      <c r="E1" t="s">
        <v>90</v>
      </c>
    </row>
    <row r="2" spans="1:8" x14ac:dyDescent="0.3">
      <c r="A2" t="s">
        <v>46</v>
      </c>
      <c r="B2" t="s">
        <v>15</v>
      </c>
      <c r="C2">
        <v>1835.2610026544089</v>
      </c>
      <c r="D2">
        <f>C2*$C$29</f>
        <v>11.08195128155934</v>
      </c>
      <c r="E2">
        <f>$B$26-$C$26+D2</f>
        <v>61.410461919857205</v>
      </c>
    </row>
    <row r="3" spans="1:8" x14ac:dyDescent="0.3">
      <c r="G3" t="s">
        <v>96</v>
      </c>
      <c r="H3">
        <f>MIN(E2:E18)-D26</f>
        <v>11.081951281559334</v>
      </c>
    </row>
    <row r="4" spans="1:8" x14ac:dyDescent="0.3">
      <c r="G4" t="s">
        <v>97</v>
      </c>
      <c r="H4">
        <f>MAX(E2:E18)-D26</f>
        <v>11.081951281559334</v>
      </c>
    </row>
    <row r="17" spans="2:14" x14ac:dyDescent="0.3">
      <c r="G17" t="s">
        <v>109</v>
      </c>
      <c r="H17">
        <f>15.4+12.8</f>
        <v>28.200000000000003</v>
      </c>
    </row>
    <row r="18" spans="2:14" x14ac:dyDescent="0.3">
      <c r="G18" t="s">
        <v>110</v>
      </c>
      <c r="H18">
        <f>H17/2</f>
        <v>14.100000000000001</v>
      </c>
    </row>
    <row r="19" spans="2:14" x14ac:dyDescent="0.3">
      <c r="G19" t="s">
        <v>121</v>
      </c>
      <c r="H19">
        <f>(8.9+8.3+13.6)/3</f>
        <v>10.266666666666667</v>
      </c>
    </row>
    <row r="22" spans="2:14" x14ac:dyDescent="0.3">
      <c r="B22">
        <f>D22+C22</f>
        <v>17.05846164440478</v>
      </c>
      <c r="C22">
        <f>N28</f>
        <v>3.0783198004331496</v>
      </c>
      <c r="D22">
        <f>H24</f>
        <v>13.98014184397163</v>
      </c>
      <c r="G22" t="s">
        <v>112</v>
      </c>
      <c r="H22">
        <f>H19/H18</f>
        <v>0.72813238770685573</v>
      </c>
    </row>
    <row r="23" spans="2:14" x14ac:dyDescent="0.3">
      <c r="B23">
        <f>B22*3600000</f>
        <v>61410461.919857204</v>
      </c>
      <c r="C23">
        <f>C22*3600000</f>
        <v>11081951.281559339</v>
      </c>
      <c r="D23">
        <f>D22*3600000</f>
        <v>50328510.638297871</v>
      </c>
      <c r="G23" t="s">
        <v>113</v>
      </c>
      <c r="H23">
        <v>19.2</v>
      </c>
    </row>
    <row r="24" spans="2:14" x14ac:dyDescent="0.3">
      <c r="B24">
        <f>B23/1000</f>
        <v>61410.461919857204</v>
      </c>
      <c r="C24">
        <f>C23/1000</f>
        <v>11081.951281559339</v>
      </c>
      <c r="D24">
        <f>D23/1000</f>
        <v>50328.51063829787</v>
      </c>
      <c r="G24" t="s">
        <v>122</v>
      </c>
      <c r="H24">
        <f>H23*H22</f>
        <v>13.98014184397163</v>
      </c>
    </row>
    <row r="25" spans="2:14" x14ac:dyDescent="0.3">
      <c r="B25" t="s">
        <v>90</v>
      </c>
      <c r="C25" t="s">
        <v>88</v>
      </c>
      <c r="D25" t="s">
        <v>91</v>
      </c>
    </row>
    <row r="26" spans="2:14" x14ac:dyDescent="0.3">
      <c r="B26">
        <f>B24/1000</f>
        <v>61.410461919857205</v>
      </c>
      <c r="C26">
        <f>C24/1000</f>
        <v>11.08195128155934</v>
      </c>
      <c r="D26">
        <f>D24/1000</f>
        <v>50.328510638297871</v>
      </c>
      <c r="L26" t="s">
        <v>117</v>
      </c>
      <c r="M26" t="s">
        <v>118</v>
      </c>
    </row>
    <row r="27" spans="2:14" x14ac:dyDescent="0.3">
      <c r="L27">
        <v>4650.2757181661646</v>
      </c>
      <c r="M27">
        <v>7.8</v>
      </c>
      <c r="N27">
        <f>M27/L27</f>
        <v>1.6773198994480113E-3</v>
      </c>
    </row>
    <row r="28" spans="2:14" x14ac:dyDescent="0.3">
      <c r="C28">
        <f>C2</f>
        <v>1835.2610026544089</v>
      </c>
      <c r="N28">
        <f>N27*C2</f>
        <v>3.0783198004331496</v>
      </c>
    </row>
    <row r="29" spans="2:14" x14ac:dyDescent="0.3">
      <c r="B29" t="s">
        <v>89</v>
      </c>
      <c r="C29">
        <f>$C$26/C28</f>
        <v>6.0383516380128413E-3</v>
      </c>
      <c r="N29">
        <f>N28*3.6</f>
        <v>11.08195128155934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9DED4-9A15-4DB1-ADC4-BDAE03163359}">
  <dimension ref="A1:N29"/>
  <sheetViews>
    <sheetView workbookViewId="0">
      <selection activeCell="E2" sqref="E2"/>
    </sheetView>
  </sheetViews>
  <sheetFormatPr defaultRowHeight="14.4" x14ac:dyDescent="0.3"/>
  <cols>
    <col min="4" max="4" width="11" bestFit="1" customWidth="1"/>
  </cols>
  <sheetData>
    <row r="1" spans="1:8" x14ac:dyDescent="0.3">
      <c r="A1" t="s">
        <v>92</v>
      </c>
      <c r="B1" t="s">
        <v>93</v>
      </c>
      <c r="C1" t="s">
        <v>94</v>
      </c>
      <c r="D1" t="s">
        <v>95</v>
      </c>
      <c r="E1" t="s">
        <v>90</v>
      </c>
    </row>
    <row r="2" spans="1:8" x14ac:dyDescent="0.3">
      <c r="A2" t="s">
        <v>47</v>
      </c>
      <c r="B2" t="s">
        <v>15</v>
      </c>
      <c r="C2">
        <v>1017.950789285221</v>
      </c>
      <c r="D2">
        <f>C2*$C$29</f>
        <v>6.1467448158968789</v>
      </c>
      <c r="E2">
        <f>$B$26-$C$26+D2</f>
        <v>56.475255454194745</v>
      </c>
    </row>
    <row r="3" spans="1:8" x14ac:dyDescent="0.3">
      <c r="G3" t="s">
        <v>96</v>
      </c>
      <c r="H3">
        <f>MIN(E2:E18)-D26</f>
        <v>6.1467448158968736</v>
      </c>
    </row>
    <row r="4" spans="1:8" x14ac:dyDescent="0.3">
      <c r="G4" t="s">
        <v>97</v>
      </c>
      <c r="H4">
        <f>MAX(E2:E18)-D26</f>
        <v>6.1467448158968736</v>
      </c>
    </row>
    <row r="17" spans="2:14" x14ac:dyDescent="0.3">
      <c r="G17" t="s">
        <v>109</v>
      </c>
      <c r="H17">
        <f>15.4+12.8</f>
        <v>28.200000000000003</v>
      </c>
    </row>
    <row r="18" spans="2:14" x14ac:dyDescent="0.3">
      <c r="G18" t="s">
        <v>110</v>
      </c>
      <c r="H18">
        <f>H17/2</f>
        <v>14.100000000000001</v>
      </c>
    </row>
    <row r="19" spans="2:14" x14ac:dyDescent="0.3">
      <c r="G19" t="s">
        <v>123</v>
      </c>
      <c r="H19">
        <f>(8.9+8.3+13.6)/3</f>
        <v>10.266666666666667</v>
      </c>
    </row>
    <row r="22" spans="2:14" x14ac:dyDescent="0.3">
      <c r="B22">
        <f>D22+C22</f>
        <v>15.68757095949854</v>
      </c>
      <c r="C22">
        <f>N28</f>
        <v>1.7074291155269108</v>
      </c>
      <c r="D22">
        <f>H24</f>
        <v>13.98014184397163</v>
      </c>
      <c r="G22" t="s">
        <v>112</v>
      </c>
      <c r="H22">
        <f>H19/H18</f>
        <v>0.72813238770685573</v>
      </c>
    </row>
    <row r="23" spans="2:14" x14ac:dyDescent="0.3">
      <c r="B23">
        <f>B22*3600000</f>
        <v>56475255.454194747</v>
      </c>
      <c r="C23">
        <f>C22*3600000</f>
        <v>6146744.815896879</v>
      </c>
      <c r="D23">
        <f>D22*3600000</f>
        <v>50328510.638297871</v>
      </c>
      <c r="G23" t="s">
        <v>113</v>
      </c>
      <c r="H23">
        <v>19.2</v>
      </c>
    </row>
    <row r="24" spans="2:14" x14ac:dyDescent="0.3">
      <c r="B24">
        <f>B23/1000</f>
        <v>56475.255454194747</v>
      </c>
      <c r="C24">
        <f>C23/1000</f>
        <v>6146.7448158968791</v>
      </c>
      <c r="D24">
        <f>D23/1000</f>
        <v>50328.51063829787</v>
      </c>
      <c r="G24" t="s">
        <v>124</v>
      </c>
      <c r="H24">
        <f>H23*H22</f>
        <v>13.98014184397163</v>
      </c>
    </row>
    <row r="25" spans="2:14" x14ac:dyDescent="0.3">
      <c r="B25" t="s">
        <v>90</v>
      </c>
      <c r="C25" t="s">
        <v>88</v>
      </c>
      <c r="D25" t="s">
        <v>91</v>
      </c>
    </row>
    <row r="26" spans="2:14" x14ac:dyDescent="0.3">
      <c r="B26">
        <f>B24/1000</f>
        <v>56.475255454194745</v>
      </c>
      <c r="C26">
        <f>C24/1000</f>
        <v>6.1467448158968789</v>
      </c>
      <c r="D26">
        <f>D24/1000</f>
        <v>50.328510638297871</v>
      </c>
      <c r="L26" t="s">
        <v>117</v>
      </c>
      <c r="M26" t="s">
        <v>118</v>
      </c>
    </row>
    <row r="27" spans="2:14" x14ac:dyDescent="0.3">
      <c r="L27">
        <v>4650.2757181661646</v>
      </c>
      <c r="M27">
        <v>7.8</v>
      </c>
      <c r="N27">
        <f>M27/L27</f>
        <v>1.6773198994480113E-3</v>
      </c>
    </row>
    <row r="28" spans="2:14" x14ac:dyDescent="0.3">
      <c r="C28">
        <f>C2</f>
        <v>1017.950789285221</v>
      </c>
      <c r="N28">
        <f>N27*C2</f>
        <v>1.7074291155269108</v>
      </c>
    </row>
    <row r="29" spans="2:14" x14ac:dyDescent="0.3">
      <c r="B29" t="s">
        <v>89</v>
      </c>
      <c r="C29">
        <f>$C$26/C28</f>
        <v>6.0383516380128413E-3</v>
      </c>
      <c r="N29">
        <f>N28*3.6</f>
        <v>6.1467448158968789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02D84-8228-45AD-AC05-9B0F17995DB0}">
  <dimension ref="A1:N29"/>
  <sheetViews>
    <sheetView tabSelected="1" workbookViewId="0">
      <selection activeCell="Q22" sqref="Q22"/>
    </sheetView>
  </sheetViews>
  <sheetFormatPr defaultRowHeight="14.4" x14ac:dyDescent="0.3"/>
  <cols>
    <col min="4" max="4" width="11" bestFit="1" customWidth="1"/>
  </cols>
  <sheetData>
    <row r="1" spans="1:8" x14ac:dyDescent="0.3">
      <c r="A1" t="s">
        <v>92</v>
      </c>
      <c r="B1" t="s">
        <v>93</v>
      </c>
      <c r="C1" t="s">
        <v>94</v>
      </c>
      <c r="D1" t="s">
        <v>95</v>
      </c>
      <c r="E1" t="s">
        <v>90</v>
      </c>
    </row>
    <row r="2" spans="1:8" x14ac:dyDescent="0.3">
      <c r="A2" t="s">
        <v>48</v>
      </c>
      <c r="B2" t="s">
        <v>30</v>
      </c>
      <c r="C2">
        <v>980.65342329999999</v>
      </c>
      <c r="D2">
        <f>C2*$C$29</f>
        <v>5.9215302049064542</v>
      </c>
      <c r="E2">
        <f>$B$26-$C$26+D2</f>
        <v>75.041530204906451</v>
      </c>
    </row>
    <row r="3" spans="1:8" x14ac:dyDescent="0.3">
      <c r="G3" t="s">
        <v>96</v>
      </c>
      <c r="H3">
        <f>MIN(E2:E18)-D26</f>
        <v>5.9215302049064462</v>
      </c>
    </row>
    <row r="4" spans="1:8" x14ac:dyDescent="0.3">
      <c r="G4" t="s">
        <v>97</v>
      </c>
      <c r="H4">
        <f>MAX(E2:E18)-D26</f>
        <v>5.9215302049064462</v>
      </c>
    </row>
    <row r="22" spans="2:14" x14ac:dyDescent="0.3">
      <c r="B22">
        <f>D22+C22</f>
        <v>20.844869501362904</v>
      </c>
      <c r="C22">
        <f>N28</f>
        <v>1.644869501362904</v>
      </c>
      <c r="D22">
        <v>19.2</v>
      </c>
    </row>
    <row r="23" spans="2:14" x14ac:dyDescent="0.3">
      <c r="B23">
        <f>B22*3600000</f>
        <v>75041530.204906449</v>
      </c>
      <c r="C23">
        <f>C22*3600000</f>
        <v>5921530.2049064543</v>
      </c>
      <c r="D23">
        <f>D22*3600000</f>
        <v>69120000</v>
      </c>
    </row>
    <row r="24" spans="2:14" x14ac:dyDescent="0.3">
      <c r="B24">
        <f>B23/1000</f>
        <v>75041.530204906448</v>
      </c>
      <c r="C24">
        <f>C23/1000</f>
        <v>5921.5302049064539</v>
      </c>
      <c r="D24">
        <f>D23/1000</f>
        <v>69120</v>
      </c>
    </row>
    <row r="25" spans="2:14" x14ac:dyDescent="0.3">
      <c r="B25" t="s">
        <v>90</v>
      </c>
      <c r="C25" t="s">
        <v>88</v>
      </c>
      <c r="D25" t="s">
        <v>91</v>
      </c>
    </row>
    <row r="26" spans="2:14" x14ac:dyDescent="0.3">
      <c r="B26">
        <f>B24/1000</f>
        <v>75.041530204906451</v>
      </c>
      <c r="C26">
        <f>C24/1000</f>
        <v>5.9215302049064542</v>
      </c>
      <c r="D26">
        <f>D24/1000</f>
        <v>69.12</v>
      </c>
      <c r="L26" t="s">
        <v>117</v>
      </c>
      <c r="M26" t="s">
        <v>118</v>
      </c>
    </row>
    <row r="27" spans="2:14" x14ac:dyDescent="0.3">
      <c r="L27">
        <v>4650.2757181661646</v>
      </c>
      <c r="M27">
        <v>7.8</v>
      </c>
      <c r="N27">
        <f>M27/L27</f>
        <v>1.6773198994480113E-3</v>
      </c>
    </row>
    <row r="28" spans="2:14" x14ac:dyDescent="0.3">
      <c r="C28">
        <f>C2</f>
        <v>980.65342329999999</v>
      </c>
      <c r="N28">
        <f>N27*C2</f>
        <v>1.644869501362904</v>
      </c>
    </row>
    <row r="29" spans="2:14" x14ac:dyDescent="0.3">
      <c r="B29" t="s">
        <v>89</v>
      </c>
      <c r="C29">
        <f>$C$26/C28</f>
        <v>6.0383516380128404E-3</v>
      </c>
      <c r="N29">
        <f>N28*3.6</f>
        <v>5.9215302049064542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E33F9-34E8-4544-981B-AD0FE1A4EE5C}">
  <dimension ref="A1:B10"/>
  <sheetViews>
    <sheetView workbookViewId="0">
      <selection activeCell="B10" sqref="B10"/>
    </sheetView>
  </sheetViews>
  <sheetFormatPr defaultRowHeight="14.4" x14ac:dyDescent="0.3"/>
  <sheetData>
    <row r="1" spans="1:2" x14ac:dyDescent="0.3">
      <c r="A1" t="s">
        <v>53</v>
      </c>
      <c r="B1" t="s">
        <v>54</v>
      </c>
    </row>
    <row r="2" spans="1:2" x14ac:dyDescent="0.3">
      <c r="A2" t="s">
        <v>55</v>
      </c>
      <c r="B2" t="s">
        <v>56</v>
      </c>
    </row>
    <row r="3" spans="1:2" x14ac:dyDescent="0.3">
      <c r="A3" t="s">
        <v>57</v>
      </c>
      <c r="B3" t="s">
        <v>58</v>
      </c>
    </row>
    <row r="4" spans="1:2" x14ac:dyDescent="0.3">
      <c r="A4" s="1" t="s">
        <v>59</v>
      </c>
      <c r="B4" t="s">
        <v>61</v>
      </c>
    </row>
    <row r="5" spans="1:2" x14ac:dyDescent="0.3">
      <c r="A5" t="s">
        <v>60</v>
      </c>
      <c r="B5" t="s">
        <v>61</v>
      </c>
    </row>
    <row r="6" spans="1:2" x14ac:dyDescent="0.3">
      <c r="A6" s="1" t="s">
        <v>62</v>
      </c>
      <c r="B6" t="s">
        <v>63</v>
      </c>
    </row>
    <row r="7" spans="1:2" x14ac:dyDescent="0.3">
      <c r="A7" s="1" t="s">
        <v>99</v>
      </c>
      <c r="B7" t="s">
        <v>63</v>
      </c>
    </row>
    <row r="8" spans="1:2" x14ac:dyDescent="0.3">
      <c r="A8" s="1" t="s">
        <v>64</v>
      </c>
      <c r="B8" t="s">
        <v>65</v>
      </c>
    </row>
    <row r="9" spans="1:2" x14ac:dyDescent="0.3">
      <c r="A9" t="s">
        <v>66</v>
      </c>
      <c r="B9" t="s">
        <v>67</v>
      </c>
    </row>
    <row r="10" spans="1:2" x14ac:dyDescent="0.3">
      <c r="A10" t="s">
        <v>68</v>
      </c>
      <c r="B10" t="s">
        <v>69</v>
      </c>
    </row>
  </sheetData>
  <hyperlinks>
    <hyperlink ref="A8" r:id="rId1" xr:uid="{AD3A9709-B7D2-4688-A4DB-6AD3C38FCDF6}"/>
    <hyperlink ref="A6" r:id="rId2" xr:uid="{E10D9196-ACF2-4D45-B918-D8DBE112B55A}"/>
    <hyperlink ref="A7" r:id="rId3" xr:uid="{82020DD0-CCF7-4CDA-B50D-CF4368DE3D9C}"/>
    <hyperlink ref="A4" r:id="rId4" xr:uid="{957237DE-B2AA-47E4-AF2A-23C34582BC4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Emission_Factors_Import</vt:lpstr>
      <vt:lpstr>Emission_Factors_Domestic</vt:lpstr>
      <vt:lpstr>USA</vt:lpstr>
      <vt:lpstr>T&amp;T</vt:lpstr>
      <vt:lpstr>ME</vt:lpstr>
      <vt:lpstr>QA</vt:lpstr>
      <vt:lpstr>AF</vt:lpstr>
      <vt:lpstr>AU</vt:lpstr>
      <vt:lpstr>IM</vt:lpstr>
      <vt:lpstr>EG</vt:lpstr>
      <vt:lpstr>DZ</vt:lpstr>
      <vt:lpstr>LY</vt:lpstr>
      <vt:lpstr>TN</vt:lpstr>
      <vt:lpstr>MA</vt:lpstr>
      <vt:lpstr>Sources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2025-05-21T15:24:28Z</dcterms:created>
  <dcterms:modified xsi:type="dcterms:W3CDTF">2025-10-08T17:37:33Z</dcterms:modified>
</cp:coreProperties>
</file>