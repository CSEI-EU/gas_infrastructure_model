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CD580442-770A-48A5-AFA9-BADEAD102BAD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AC4" i="1"/>
  <c r="X5" i="1" l="1"/>
  <c r="X4" i="1"/>
  <c r="S4" i="1"/>
  <c r="V5" i="1" l="1"/>
  <c r="S2" i="1" s="1"/>
  <c r="S31" i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<sst xmlns="http://schemas.openxmlformats.org/spreadsheetml/2006/main" count="124" uniqueCount="71">
  <si>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</si>
  <si>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</si>
  <si>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</si>
  <si>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</si>
  <si>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</si>
  <si>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</si>
  <si>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</si>
  <si>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</si>
  <si>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</si>
  <si>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</si>
  <si>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</si>
  <si>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</si>
  <si>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</si>
  <si>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</si>
  <si>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</si>
  <si>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</si>
  <si>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</si>
  <si>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</si>
  <si>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</si>
  <si>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</si>
  <si>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</si>
  <si>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</si>
  <si>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</si>
  <si>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</si>
  <si>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</si>
  <si>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</si>
  <si>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</si>
  <si>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</si>
  <si>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</si>
  <si>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</si>
  <si>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</si>
  <si>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</si>
  <si>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</si>
  <si>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</si>
  <si>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</si>
  <si>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</si>
  <si>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</si>
  <si>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</si>
  <si>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</si>
  <si>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</si>
  <si>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</si>
  <si>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</si>
  <si>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</si>
  <si>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</si>
  <si>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</si>
  <si>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</si>
  <si>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</si>
  <si>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</si>
  <si>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</si>
  <si>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</si>
  <si>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</si>
  <si>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</si>
  <si>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</si>
  <si>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</si>
  <si>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</si>
  <si>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</si>
  <si>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</si>
  <si>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</si>
  <si>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</si>
  <si>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</si>
  <si>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</si>
  <si>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</si>
  <si>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</si>
  <si>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</si>
  <si>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</si>
  <si>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</si>
  <si>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</si>
  <si>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</si>
  <si>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</si>
  <si>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</si>
  <si>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EG_LNG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</si>
</sst>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C37"/>
  <sheetViews>
    <sheetView tabSelected="1" topLeftCell="G1" workbookViewId="0">
      <selection activeCell="L2" sqref="L2:L37"/>
    </sheetView>
  </sheetViews>
  <sheetFormatPr defaultRowHeight="14.5" x14ac:dyDescent="0.35"/>
  <cols>
    <col min="26" max="26" width="11.81640625" bestFit="1" customWidth="1"/>
  </cols>
  <sheetData>
    <row r="1" spans="1:29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9" x14ac:dyDescent="0.35">
      <c r="A2" t="s">
        <v>0</v>
      </c>
      <c r="B2" t="b">
        <v>0</v>
      </c>
      <c r="C2">
        <v>81.639529411764684</v>
      </c>
      <c r="D2">
        <v>53.765130109670991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31.117645806721097</v>
      </c>
      <c r="K2">
        <v>68.015751583500688</v>
      </c>
      <c r="L2">
        <v>53.928510638297865</v>
      </c>
      <c r="M2">
        <v>68.015751583500688</v>
      </c>
      <c r="N2">
        <v>68.015751583500688</v>
      </c>
      <c r="O2">
        <v>72.142818929885323</v>
      </c>
      <c r="P2">
        <v>69.650954303405584</v>
      </c>
      <c r="Q2">
        <v>6.4829231993965921</v>
      </c>
      <c r="S2">
        <f>U5-U4</f>
        <v>13.440141843971631</v>
      </c>
      <c r="T2">
        <f>S2*T1</f>
        <v>48384510.638297871</v>
      </c>
      <c r="U2">
        <f>T2/U1</f>
        <v>48.384510638297868</v>
      </c>
    </row>
    <row r="3" spans="1:29" x14ac:dyDescent="0.35">
      <c r="A3" t="s">
        <v>1</v>
      </c>
      <c r="B3" t="b">
        <v>1</v>
      </c>
      <c r="C3">
        <v>81.639529411764684</v>
      </c>
      <c r="D3">
        <v>53.765130109670991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31.117645806721097</v>
      </c>
      <c r="K3">
        <v>68.015751583500688</v>
      </c>
      <c r="L3">
        <v>53.928510638297865</v>
      </c>
      <c r="M3">
        <v>68.015751583500688</v>
      </c>
      <c r="N3">
        <v>68.015751583500688</v>
      </c>
      <c r="O3">
        <v>72.142818929885323</v>
      </c>
      <c r="P3">
        <v>69.650954303405584</v>
      </c>
      <c r="Q3">
        <v>6.4829231993965921</v>
      </c>
      <c r="AC3">
        <v>0.3</v>
      </c>
    </row>
    <row r="4" spans="1:29" x14ac:dyDescent="0.35">
      <c r="A4" t="s">
        <v>2</v>
      </c>
      <c r="B4" t="b">
        <v>1</v>
      </c>
      <c r="C4">
        <v>81.028026845637584</v>
      </c>
      <c r="D4">
        <v>53.105957627118642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31.117645806721097</v>
      </c>
      <c r="K4">
        <v>68.015751583500688</v>
      </c>
      <c r="L4">
        <v>53.928510638297865</v>
      </c>
      <c r="M4">
        <v>68.015751583500688</v>
      </c>
      <c r="N4">
        <v>68.015751583500688</v>
      </c>
      <c r="O4">
        <v>72.570716636937036</v>
      </c>
      <c r="P4">
        <v>70.201212631578954</v>
      </c>
      <c r="Q4">
        <v>6.5604478724514799</v>
      </c>
      <c r="S4">
        <f>(2.1/9500)*7900</f>
        <v>1.7463157894736843</v>
      </c>
      <c r="U4">
        <v>1.54</v>
      </c>
      <c r="X4">
        <f>(15.4+12.8)/2</f>
        <v>14.100000000000001</v>
      </c>
      <c r="AA4">
        <v>1835.2610026544089</v>
      </c>
      <c r="AC4">
        <f>AC3*(AA4/AA5)</f>
        <v>1.5430393455280786</v>
      </c>
    </row>
    <row r="5" spans="1:29" x14ac:dyDescent="0.35">
      <c r="A5" t="s">
        <v>3</v>
      </c>
      <c r="B5" t="b">
        <v>0</v>
      </c>
      <c r="C5">
        <v>81.639529411764684</v>
      </c>
      <c r="D5">
        <v>53.765130109670991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31.117645806721097</v>
      </c>
      <c r="K5">
        <v>68.015751583500688</v>
      </c>
      <c r="L5">
        <v>53.928510638297865</v>
      </c>
      <c r="M5">
        <v>68.015751583500688</v>
      </c>
      <c r="N5">
        <v>68.015751583500688</v>
      </c>
      <c r="O5">
        <v>72.142818929885323</v>
      </c>
      <c r="P5">
        <v>69.650954303405584</v>
      </c>
      <c r="Q5">
        <v>6.4829231993965921</v>
      </c>
      <c r="U5">
        <f>1+V5</f>
        <v>14.98014184397163</v>
      </c>
      <c r="V5">
        <f>19.2*(X5/X4)</f>
        <v>13.98014184397163</v>
      </c>
      <c r="X5">
        <f>(8.9+8.3+13.6)/3</f>
        <v>10.266666666666667</v>
      </c>
      <c r="AA5">
        <v>356.81416834377399</v>
      </c>
    </row>
    <row r="6" spans="1:29" x14ac:dyDescent="0.35">
      <c r="A6" t="s">
        <v>4</v>
      </c>
      <c r="B6" t="b">
        <v>1</v>
      </c>
      <c r="C6">
        <v>81.639529411764684</v>
      </c>
      <c r="D6">
        <v>53.765130109670991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31.117645806721097</v>
      </c>
      <c r="K6">
        <v>68.015751583500688</v>
      </c>
      <c r="L6">
        <v>53.928510638297865</v>
      </c>
      <c r="M6">
        <v>68.015751583500688</v>
      </c>
      <c r="N6">
        <v>68.015751583500688</v>
      </c>
      <c r="O6">
        <v>72.142818929885323</v>
      </c>
      <c r="P6">
        <v>69.650954303405584</v>
      </c>
      <c r="Q6">
        <v>6.4829231993965921</v>
      </c>
    </row>
    <row r="7" spans="1:29" x14ac:dyDescent="0.35">
      <c r="A7" t="s">
        <v>5</v>
      </c>
      <c r="B7" t="b">
        <v>1</v>
      </c>
      <c r="C7">
        <v>83.048859060402691</v>
      </c>
      <c r="D7">
        <v>54.645364406779663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31.117645806721097</v>
      </c>
      <c r="K7">
        <v>68.015751583500688</v>
      </c>
      <c r="L7">
        <v>53.928510638297865</v>
      </c>
      <c r="M7">
        <v>68.015751583500688</v>
      </c>
      <c r="N7">
        <v>68.015751583500688</v>
      </c>
      <c r="O7">
        <v>70.952739108847155</v>
      </c>
      <c r="P7">
        <v>67.541002105263161</v>
      </c>
      <c r="Q7">
        <v>6.4829231993965921</v>
      </c>
    </row>
    <row r="8" spans="1:29" x14ac:dyDescent="0.35">
      <c r="A8" t="s">
        <v>6</v>
      </c>
      <c r="B8" t="b">
        <v>1</v>
      </c>
      <c r="C8">
        <v>81.639529411764684</v>
      </c>
      <c r="D8">
        <v>53.765130109670991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31.117645806721097</v>
      </c>
      <c r="K8">
        <v>68.015751583500688</v>
      </c>
      <c r="L8">
        <v>53.928510638297865</v>
      </c>
      <c r="M8">
        <v>68.015751583500688</v>
      </c>
      <c r="N8">
        <v>68.015751583500688</v>
      </c>
      <c r="O8">
        <v>72.142818929885323</v>
      </c>
      <c r="P8">
        <v>69.650954303405584</v>
      </c>
      <c r="Q8">
        <v>6.4829231993965921</v>
      </c>
      <c r="R8">
        <f t="shared" ref="R8:R24" si="0">AA8</f>
        <v>63.980350398411076</v>
      </c>
      <c r="S8" t="s">
        <v>70</v>
      </c>
      <c r="T8" t="s">
        <v>53</v>
      </c>
      <c r="W8">
        <v>0</v>
      </c>
      <c r="X8">
        <v>3208</v>
      </c>
      <c r="Y8">
        <v>5162.7771492393322</v>
      </c>
      <c r="Z8">
        <f>((($U$4/$Y$22)*Y8)*$T$1)/$U$1</f>
        <v>15.595839760113206</v>
      </c>
      <c r="AA8">
        <f>Z8+$U$2</f>
        <v>63.980350398411076</v>
      </c>
    </row>
    <row r="9" spans="1:29" x14ac:dyDescent="0.35">
      <c r="A9" t="s">
        <v>7</v>
      </c>
      <c r="B9" t="b">
        <v>1</v>
      </c>
      <c r="C9">
        <v>81.639529411764684</v>
      </c>
      <c r="D9">
        <v>53.765130109670991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31.117645806721097</v>
      </c>
      <c r="K9">
        <v>68.015751583500688</v>
      </c>
      <c r="L9">
        <v>53.928510638297865</v>
      </c>
      <c r="M9">
        <v>68.015751583500688</v>
      </c>
      <c r="N9">
        <v>68.015751583500688</v>
      </c>
      <c r="O9">
        <v>72.142818929885323</v>
      </c>
      <c r="P9">
        <v>69.650954303405584</v>
      </c>
      <c r="Q9">
        <v>6.0724198318715077</v>
      </c>
      <c r="R9">
        <f t="shared" si="0"/>
        <v>55.214982852437224</v>
      </c>
      <c r="S9" t="s">
        <v>70</v>
      </c>
      <c r="T9" t="s">
        <v>54</v>
      </c>
      <c r="W9">
        <v>0</v>
      </c>
      <c r="X9">
        <v>1405</v>
      </c>
      <c r="Y9">
        <v>2261.1290195390466</v>
      </c>
      <c r="Z9">
        <f t="shared" ref="Z9:Z24" si="1">((($U$4/$Y$22)*Y9)*$T$1)/$U$1</f>
        <v>6.8304722141393563</v>
      </c>
      <c r="AA9">
        <f t="shared" ref="AA9:AA24" si="2">Z9+$U$2</f>
        <v>55.214982852437224</v>
      </c>
    </row>
    <row r="10" spans="1:29" x14ac:dyDescent="0.35">
      <c r="A10" t="s">
        <v>8</v>
      </c>
      <c r="B10" t="b">
        <v>1</v>
      </c>
      <c r="C10">
        <v>82.274738255033554</v>
      </c>
      <c r="D10">
        <v>54.663161016949154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31.117645806721097</v>
      </c>
      <c r="K10">
        <v>68.015751583500688</v>
      </c>
      <c r="L10">
        <v>53.928510638297865</v>
      </c>
      <c r="M10">
        <v>68.015751583500688</v>
      </c>
      <c r="N10">
        <v>68.015751583500688</v>
      </c>
      <c r="O10">
        <v>73.521589584214482</v>
      </c>
      <c r="P10">
        <v>71.764597894736838</v>
      </c>
      <c r="Q10">
        <v>6.4829231993965921</v>
      </c>
      <c r="R10">
        <f t="shared" si="0"/>
        <v>50.902791497318645</v>
      </c>
      <c r="S10" t="s">
        <v>70</v>
      </c>
      <c r="T10" t="s">
        <v>55</v>
      </c>
      <c r="W10">
        <v>0</v>
      </c>
      <c r="X10">
        <v>518</v>
      </c>
      <c r="Y10">
        <v>833.64044990834611</v>
      </c>
      <c r="Z10">
        <f t="shared" si="1"/>
        <v>2.5182808590207735</v>
      </c>
      <c r="AA10">
        <f t="shared" si="2"/>
        <v>50.902791497318645</v>
      </c>
    </row>
    <row r="11" spans="1:29" x14ac:dyDescent="0.35">
      <c r="A11" t="s">
        <v>9</v>
      </c>
      <c r="B11" t="b">
        <v>1</v>
      </c>
      <c r="C11">
        <v>82.274738255033554</v>
      </c>
      <c r="D11">
        <v>54.663161016949154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53.928510638297865</v>
      </c>
      <c r="M11">
        <v>68.015751583500688</v>
      </c>
      <c r="N11">
        <v>68.015751583500688</v>
      </c>
      <c r="O11">
        <v>73.521589584214482</v>
      </c>
      <c r="P11">
        <v>71.764597894736838</v>
      </c>
      <c r="Q11">
        <v>6.4829231993965921</v>
      </c>
      <c r="R11">
        <f t="shared" si="0"/>
        <v>53.928510638297865</v>
      </c>
      <c r="S11" t="s">
        <v>70</v>
      </c>
      <c r="T11" t="s">
        <v>56</v>
      </c>
      <c r="W11">
        <v>0</v>
      </c>
      <c r="X11">
        <v>1239</v>
      </c>
      <c r="Y11">
        <v>1835.2610026544089</v>
      </c>
      <c r="Z11">
        <f t="shared" si="1"/>
        <v>5.5439999999999996</v>
      </c>
      <c r="AA11">
        <f t="shared" si="2"/>
        <v>53.928510638297865</v>
      </c>
    </row>
    <row r="12" spans="1:29" x14ac:dyDescent="0.35">
      <c r="A12" t="s">
        <v>10</v>
      </c>
      <c r="B12" t="b">
        <v>1</v>
      </c>
      <c r="C12">
        <v>80.987436241610737</v>
      </c>
      <c r="D12">
        <v>53.057016949152541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31.117645806721097</v>
      </c>
      <c r="K12">
        <v>68.015751583500688</v>
      </c>
      <c r="L12">
        <v>53.928510638297865</v>
      </c>
      <c r="M12">
        <v>68.015751583500688</v>
      </c>
      <c r="N12">
        <v>68.015751583500688</v>
      </c>
      <c r="O12">
        <v>71.074709722503158</v>
      </c>
      <c r="P12">
        <v>69.737381052631576</v>
      </c>
      <c r="Q12">
        <v>6.9190068562697657</v>
      </c>
      <c r="R12">
        <f t="shared" si="0"/>
        <v>54.500335581634033</v>
      </c>
      <c r="S12" t="s">
        <v>70</v>
      </c>
      <c r="T12" t="s">
        <v>57</v>
      </c>
      <c r="W12">
        <v>0</v>
      </c>
      <c r="X12">
        <v>1258</v>
      </c>
      <c r="Y12">
        <v>2024.5553783488403</v>
      </c>
      <c r="Z12">
        <f t="shared" si="1"/>
        <v>6.1158249433361638</v>
      </c>
      <c r="AA12">
        <f t="shared" si="2"/>
        <v>54.500335581634033</v>
      </c>
    </row>
    <row r="13" spans="1:29" x14ac:dyDescent="0.35">
      <c r="A13" t="s">
        <v>11</v>
      </c>
      <c r="B13" t="b">
        <v>1</v>
      </c>
      <c r="C13">
        <v>81.36</v>
      </c>
      <c r="D13">
        <v>53.495999999999995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35.28</v>
      </c>
      <c r="K13">
        <v>68.015751583500688</v>
      </c>
      <c r="L13">
        <v>53.928510638297865</v>
      </c>
      <c r="M13">
        <v>68.015751583500688</v>
      </c>
      <c r="N13">
        <v>68.015751583500688</v>
      </c>
      <c r="O13">
        <v>72.78893617021275</v>
      </c>
      <c r="P13">
        <v>70.56</v>
      </c>
      <c r="Q13">
        <v>6.48</v>
      </c>
      <c r="R13">
        <f t="shared" si="0"/>
        <v>68.521034418344286</v>
      </c>
      <c r="S13" t="s">
        <v>70</v>
      </c>
      <c r="T13" t="s">
        <v>58</v>
      </c>
      <c r="W13">
        <v>0</v>
      </c>
      <c r="X13">
        <v>4142</v>
      </c>
      <c r="Y13">
        <v>6665.9049102709832</v>
      </c>
      <c r="Z13">
        <f t="shared" si="1"/>
        <v>20.136523780046414</v>
      </c>
      <c r="AA13">
        <f t="shared" si="2"/>
        <v>68.521034418344286</v>
      </c>
    </row>
    <row r="14" spans="1:29" x14ac:dyDescent="0.35">
      <c r="A14" t="s">
        <v>12</v>
      </c>
      <c r="B14" t="b">
        <v>1</v>
      </c>
      <c r="C14">
        <v>82.867651006711412</v>
      </c>
      <c r="D14">
        <v>54.459983050847455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31.117645806721097</v>
      </c>
      <c r="K14">
        <v>68.015751583500688</v>
      </c>
      <c r="L14">
        <v>53.928510638297865</v>
      </c>
      <c r="M14">
        <v>68.015751583500688</v>
      </c>
      <c r="N14">
        <v>68.015751583500688</v>
      </c>
      <c r="O14">
        <v>70.338737380238683</v>
      </c>
      <c r="P14">
        <v>66.790686315789472</v>
      </c>
      <c r="Q14">
        <v>6.4829231993965921</v>
      </c>
      <c r="R14">
        <f t="shared" si="0"/>
        <v>64.301212438363535</v>
      </c>
      <c r="S14" t="s">
        <v>70</v>
      </c>
      <c r="T14" t="s">
        <v>59</v>
      </c>
      <c r="W14">
        <v>0</v>
      </c>
      <c r="X14">
        <v>3274</v>
      </c>
      <c r="Y14">
        <v>5268.9938861002411</v>
      </c>
      <c r="Z14">
        <f t="shared" si="1"/>
        <v>15.916701800065661</v>
      </c>
      <c r="AA14">
        <f t="shared" si="2"/>
        <v>64.301212438363535</v>
      </c>
    </row>
    <row r="15" spans="1:29" x14ac:dyDescent="0.35">
      <c r="A15" t="s">
        <v>13</v>
      </c>
      <c r="B15" t="b">
        <v>1</v>
      </c>
      <c r="C15">
        <v>81.639529411764684</v>
      </c>
      <c r="D15">
        <v>53.765130109670991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31.117645806721097</v>
      </c>
      <c r="K15">
        <v>68.015751583500688</v>
      </c>
      <c r="L15">
        <v>53.928510638297865</v>
      </c>
      <c r="M15">
        <v>68.015751583500688</v>
      </c>
      <c r="N15">
        <v>68.015751583500688</v>
      </c>
      <c r="O15">
        <v>72.142818929885323</v>
      </c>
      <c r="P15">
        <v>69.650954303405584</v>
      </c>
      <c r="Q15">
        <v>6.4829231993965921</v>
      </c>
      <c r="R15">
        <f t="shared" si="0"/>
        <v>67.03340132401928</v>
      </c>
      <c r="S15" t="s">
        <v>70</v>
      </c>
      <c r="T15" t="s">
        <v>60</v>
      </c>
      <c r="W15">
        <v>0</v>
      </c>
      <c r="X15">
        <v>3836</v>
      </c>
      <c r="Y15">
        <v>6173.4454939158604</v>
      </c>
      <c r="Z15">
        <f t="shared" si="1"/>
        <v>18.648890685721405</v>
      </c>
      <c r="AA15">
        <f t="shared" si="2"/>
        <v>67.03340132401928</v>
      </c>
    </row>
    <row r="16" spans="1:29" x14ac:dyDescent="0.35">
      <c r="A16" t="s">
        <v>14</v>
      </c>
      <c r="B16" t="b">
        <v>1</v>
      </c>
      <c r="C16">
        <v>80.416268456375832</v>
      </c>
      <c r="D16">
        <v>52.533499999999997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31.117645806721097</v>
      </c>
      <c r="K16">
        <v>68.015751583500688</v>
      </c>
      <c r="L16">
        <v>53.928510638297865</v>
      </c>
      <c r="M16">
        <v>68.015751583500688</v>
      </c>
      <c r="N16">
        <v>68.015751583500688</v>
      </c>
      <c r="O16">
        <v>72.405599955865299</v>
      </c>
      <c r="P16">
        <v>69.929734736842107</v>
      </c>
      <c r="Q16">
        <v>6.4829231993965921</v>
      </c>
      <c r="R16">
        <f t="shared" si="0"/>
        <v>58.506249534979816</v>
      </c>
      <c r="S16" t="s">
        <v>70</v>
      </c>
      <c r="T16" t="s">
        <v>61</v>
      </c>
      <c r="W16">
        <v>0</v>
      </c>
      <c r="X16">
        <v>2082</v>
      </c>
      <c r="Y16">
        <v>3350.6552446123096</v>
      </c>
      <c r="Z16">
        <f t="shared" si="1"/>
        <v>10.121738896681949</v>
      </c>
      <c r="AA16">
        <f t="shared" si="2"/>
        <v>58.506249534979816</v>
      </c>
    </row>
    <row r="17" spans="1:27" x14ac:dyDescent="0.35">
      <c r="A17" t="s">
        <v>15</v>
      </c>
      <c r="B17" t="b">
        <v>1</v>
      </c>
      <c r="C17">
        <v>81.963060402684562</v>
      </c>
      <c r="D17">
        <v>54.722483050847458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31.117645806721097</v>
      </c>
      <c r="K17">
        <v>67.958745558473652</v>
      </c>
      <c r="L17">
        <v>53.928510638297865</v>
      </c>
      <c r="M17">
        <v>67.958745558473652</v>
      </c>
      <c r="N17">
        <v>67.958745558473652</v>
      </c>
      <c r="O17">
        <v>70.936974199599092</v>
      </c>
      <c r="P17">
        <v>71.475385263157904</v>
      </c>
      <c r="Q17">
        <v>6.4829231993965921</v>
      </c>
      <c r="R17">
        <f t="shared" si="0"/>
        <v>56.629692755863957</v>
      </c>
      <c r="S17" t="s">
        <v>70</v>
      </c>
      <c r="T17" t="s">
        <v>62</v>
      </c>
      <c r="W17">
        <v>0</v>
      </c>
      <c r="X17">
        <v>1696</v>
      </c>
      <c r="Y17">
        <v>2729.4482684257819</v>
      </c>
      <c r="Z17">
        <f t="shared" si="1"/>
        <v>8.2451821175660847</v>
      </c>
      <c r="AA17">
        <f t="shared" si="2"/>
        <v>56.629692755863957</v>
      </c>
    </row>
    <row r="18" spans="1:27" x14ac:dyDescent="0.35">
      <c r="A18" t="s">
        <v>16</v>
      </c>
      <c r="B18" t="b">
        <v>1</v>
      </c>
      <c r="C18">
        <v>82.187758389261745</v>
      </c>
      <c r="D18">
        <v>54.574177966101693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53.928510638297865</v>
      </c>
      <c r="M18">
        <v>68.015751583500688</v>
      </c>
      <c r="N18">
        <v>68.015751583500688</v>
      </c>
      <c r="O18">
        <v>73.471805660273262</v>
      </c>
      <c r="P18">
        <v>71.682745263157898</v>
      </c>
      <c r="Q18">
        <v>6.4829231993965921</v>
      </c>
      <c r="R18">
        <f t="shared" si="0"/>
        <v>51.89454689353532</v>
      </c>
      <c r="S18" t="s">
        <v>70</v>
      </c>
      <c r="T18" t="s">
        <v>63</v>
      </c>
      <c r="W18">
        <v>0</v>
      </c>
      <c r="X18">
        <v>722</v>
      </c>
      <c r="Y18">
        <v>1161.9467274784283</v>
      </c>
      <c r="Z18">
        <f t="shared" si="1"/>
        <v>3.5100362552374489</v>
      </c>
      <c r="AA18">
        <f t="shared" si="2"/>
        <v>51.89454689353532</v>
      </c>
    </row>
    <row r="19" spans="1:27" x14ac:dyDescent="0.35">
      <c r="A19" t="s">
        <v>17</v>
      </c>
      <c r="B19" t="b">
        <v>1</v>
      </c>
      <c r="C19">
        <v>81.967409395973149</v>
      </c>
      <c r="D19">
        <v>54.348754237288134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53.928510638297865</v>
      </c>
      <c r="M19">
        <v>68.015751583500688</v>
      </c>
      <c r="N19">
        <v>68.015751583500688</v>
      </c>
      <c r="O19">
        <v>73.345686386288818</v>
      </c>
      <c r="P19">
        <v>69.650954303405584</v>
      </c>
      <c r="Q19">
        <v>6.4829231993965921</v>
      </c>
      <c r="R19">
        <f t="shared" si="0"/>
        <v>62.51702503438549</v>
      </c>
      <c r="S19" t="s">
        <v>70</v>
      </c>
      <c r="T19" t="s">
        <v>64</v>
      </c>
      <c r="W19">
        <v>0</v>
      </c>
      <c r="X19">
        <v>2907</v>
      </c>
      <c r="Y19">
        <v>4678.3644553736722</v>
      </c>
      <c r="Z19">
        <f t="shared" si="1"/>
        <v>14.132514396087624</v>
      </c>
      <c r="AA19">
        <f t="shared" si="2"/>
        <v>62.51702503438549</v>
      </c>
    </row>
    <row r="20" spans="1:27" x14ac:dyDescent="0.35">
      <c r="A20" t="s">
        <v>18</v>
      </c>
      <c r="B20" t="b">
        <v>1</v>
      </c>
      <c r="C20">
        <v>81.639529411764684</v>
      </c>
      <c r="D20">
        <v>53.765130109670991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31.117645806721097</v>
      </c>
      <c r="K20">
        <v>68.015751583500688</v>
      </c>
      <c r="L20">
        <v>53.928510638297865</v>
      </c>
      <c r="M20">
        <v>68.015751583500688</v>
      </c>
      <c r="N20">
        <v>68.015751583500688</v>
      </c>
      <c r="O20">
        <v>72.142818929885323</v>
      </c>
      <c r="P20">
        <v>69.650954303405584</v>
      </c>
      <c r="Q20">
        <v>6.4829231993965921</v>
      </c>
      <c r="R20">
        <f t="shared" si="0"/>
        <v>69.551682183040043</v>
      </c>
      <c r="S20" t="s">
        <v>70</v>
      </c>
      <c r="T20" t="s">
        <v>65</v>
      </c>
      <c r="W20">
        <v>0</v>
      </c>
      <c r="X20">
        <v>4354</v>
      </c>
      <c r="Y20">
        <v>7007.085943824206</v>
      </c>
      <c r="Z20">
        <f t="shared" si="1"/>
        <v>21.167171544742178</v>
      </c>
      <c r="AA20">
        <f t="shared" si="2"/>
        <v>69.551682183040043</v>
      </c>
    </row>
    <row r="21" spans="1:27" x14ac:dyDescent="0.35">
      <c r="A21" t="s">
        <v>19</v>
      </c>
      <c r="B21" t="b">
        <v>0</v>
      </c>
      <c r="C21">
        <v>81.639529411764684</v>
      </c>
      <c r="D21">
        <v>53.765130109670991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31.117645806721097</v>
      </c>
      <c r="K21">
        <v>68.015751583500688</v>
      </c>
      <c r="L21">
        <v>53.928510638297865</v>
      </c>
      <c r="M21">
        <v>68.015751583500688</v>
      </c>
      <c r="N21">
        <v>68.015751583500688</v>
      </c>
      <c r="O21">
        <v>72.142818929885323</v>
      </c>
      <c r="P21">
        <v>69.650954303405584</v>
      </c>
      <c r="Q21">
        <v>6.4829231993965921</v>
      </c>
      <c r="R21">
        <f t="shared" si="0"/>
        <v>69.551682183040043</v>
      </c>
      <c r="S21" t="s">
        <v>70</v>
      </c>
      <c r="T21" t="s">
        <v>66</v>
      </c>
      <c r="W21">
        <v>0</v>
      </c>
      <c r="X21">
        <v>4354</v>
      </c>
      <c r="Y21">
        <v>7007.085943824206</v>
      </c>
      <c r="Z21">
        <f t="shared" si="1"/>
        <v>21.167171544742178</v>
      </c>
      <c r="AA21">
        <f t="shared" si="2"/>
        <v>69.551682183040043</v>
      </c>
    </row>
    <row r="22" spans="1:27" x14ac:dyDescent="0.35">
      <c r="A22" t="s">
        <v>20</v>
      </c>
      <c r="B22" t="b">
        <v>1</v>
      </c>
      <c r="C22">
        <v>81.123704697986582</v>
      </c>
      <c r="D22">
        <v>53.203838983050844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31.117645806721097</v>
      </c>
      <c r="K22">
        <v>68.015751583500688</v>
      </c>
      <c r="L22">
        <v>53.928510638297865</v>
      </c>
      <c r="M22">
        <v>68.015751583500688</v>
      </c>
      <c r="N22">
        <v>68.015751583500688</v>
      </c>
      <c r="O22">
        <v>72.625478953272392</v>
      </c>
      <c r="P22">
        <v>70.291250526315793</v>
      </c>
      <c r="Q22">
        <v>6.4181490433991044</v>
      </c>
      <c r="R22">
        <f t="shared" si="0"/>
        <v>53.928510638297865</v>
      </c>
      <c r="S22" t="s">
        <v>70</v>
      </c>
      <c r="T22" t="s">
        <v>67</v>
      </c>
      <c r="W22">
        <v>0</v>
      </c>
      <c r="X22">
        <v>3471</v>
      </c>
      <c r="Y22">
        <v>1835.2610026544089</v>
      </c>
      <c r="Z22">
        <f>((($U$4/$Y$22)*Y22)*$T$1)/$U$1</f>
        <v>5.5439999999999996</v>
      </c>
      <c r="AA22">
        <f t="shared" si="2"/>
        <v>53.928510638297865</v>
      </c>
    </row>
    <row r="23" spans="1:27" x14ac:dyDescent="0.35">
      <c r="A23" t="s">
        <v>21</v>
      </c>
      <c r="B23" t="b">
        <v>0</v>
      </c>
      <c r="C23">
        <v>81.639529411764684</v>
      </c>
      <c r="D23">
        <v>53.765130109670991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31.117645806721097</v>
      </c>
      <c r="K23">
        <v>68.015751583500688</v>
      </c>
      <c r="L23">
        <v>53.928510638297865</v>
      </c>
      <c r="M23">
        <v>68.015751583500688</v>
      </c>
      <c r="N23">
        <v>68.015751583500688</v>
      </c>
      <c r="O23">
        <v>72.142818929885323</v>
      </c>
      <c r="P23">
        <v>69.650954303405584</v>
      </c>
      <c r="Q23">
        <v>6.4829231993965921</v>
      </c>
      <c r="R23">
        <f t="shared" si="0"/>
        <v>63.012902732493828</v>
      </c>
      <c r="S23" t="s">
        <v>70</v>
      </c>
      <c r="T23" t="s">
        <v>68</v>
      </c>
      <c r="W23">
        <v>0</v>
      </c>
      <c r="X23">
        <v>3009</v>
      </c>
      <c r="Y23">
        <v>4842.5175941587131</v>
      </c>
      <c r="Z23">
        <f t="shared" si="1"/>
        <v>14.628392094195959</v>
      </c>
      <c r="AA23">
        <f t="shared" si="2"/>
        <v>63.012902732493828</v>
      </c>
    </row>
    <row r="24" spans="1:27" x14ac:dyDescent="0.35">
      <c r="A24" t="s">
        <v>22</v>
      </c>
      <c r="B24" t="b">
        <v>0</v>
      </c>
      <c r="C24">
        <v>81.639529411764684</v>
      </c>
      <c r="D24">
        <v>53.765130109670991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31.117645806721097</v>
      </c>
      <c r="K24">
        <v>68.015751583500688</v>
      </c>
      <c r="L24">
        <v>53.928510638297865</v>
      </c>
      <c r="M24">
        <v>68.015751583500688</v>
      </c>
      <c r="N24">
        <v>68.015751583500688</v>
      </c>
      <c r="O24">
        <v>72.142818929885323</v>
      </c>
      <c r="P24">
        <v>69.650954303405584</v>
      </c>
      <c r="Q24">
        <v>5.4</v>
      </c>
      <c r="R24">
        <f t="shared" si="0"/>
        <v>69.25998941944691</v>
      </c>
      <c r="S24" t="s">
        <v>70</v>
      </c>
      <c r="T24" t="s">
        <v>69</v>
      </c>
      <c r="W24">
        <v>0</v>
      </c>
      <c r="X24">
        <v>4294</v>
      </c>
      <c r="Y24">
        <v>6910.5252739506523</v>
      </c>
      <c r="Z24">
        <f t="shared" si="1"/>
        <v>20.875478781149038</v>
      </c>
      <c r="AA24">
        <f t="shared" si="2"/>
        <v>69.25998941944691</v>
      </c>
    </row>
    <row r="25" spans="1:27" x14ac:dyDescent="0.35">
      <c r="A25" t="s">
        <v>23</v>
      </c>
      <c r="B25" t="b">
        <v>1</v>
      </c>
      <c r="C25">
        <v>81.690523489932886</v>
      </c>
      <c r="D25">
        <v>54.065491525423724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53.928510638297865</v>
      </c>
      <c r="M25">
        <v>68.015751583500688</v>
      </c>
      <c r="N25">
        <v>68.015751583500688</v>
      </c>
      <c r="O25">
        <v>73.091788374188553</v>
      </c>
      <c r="P25">
        <v>71.214821052631578</v>
      </c>
      <c r="Q25">
        <v>6.4829231993965921</v>
      </c>
      <c r="R25">
        <f>AVERAGE(R8:R24)</f>
        <v>60.778523560229964</v>
      </c>
    </row>
    <row r="26" spans="1:27" x14ac:dyDescent="0.35">
      <c r="A26" t="s">
        <v>24</v>
      </c>
      <c r="B26" t="b">
        <v>1</v>
      </c>
      <c r="C26">
        <v>80.417718120805375</v>
      </c>
      <c r="D26">
        <v>52.088584745762709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31.117645806721097</v>
      </c>
      <c r="K26">
        <v>68.015751583500688</v>
      </c>
      <c r="L26">
        <v>53.928510638297865</v>
      </c>
      <c r="M26">
        <v>68.015751583500688</v>
      </c>
      <c r="N26">
        <v>68.015751583500688</v>
      </c>
      <c r="O26">
        <v>71.636438330973348</v>
      </c>
      <c r="P26">
        <v>68.821995789473689</v>
      </c>
      <c r="Q26">
        <v>6.4829231993965921</v>
      </c>
      <c r="Y26">
        <f>7.8/Y22</f>
        <v>4.250076685941977E-3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53.765130109670991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31.117645806721097</v>
      </c>
      <c r="K27">
        <v>68.015751583500688</v>
      </c>
      <c r="L27">
        <v>53.928510638297865</v>
      </c>
      <c r="M27">
        <v>68.015751583500688</v>
      </c>
      <c r="N27">
        <v>68.015751583500688</v>
      </c>
      <c r="O27">
        <v>72.142818929885323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53.765130109670991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31.117645806721097</v>
      </c>
      <c r="K28">
        <v>68.015751583500688</v>
      </c>
      <c r="L28">
        <v>53.928510638297865</v>
      </c>
      <c r="M28">
        <v>68.015751583500688</v>
      </c>
      <c r="N28">
        <v>68.015751583500688</v>
      </c>
      <c r="O28">
        <v>72.142818929885323</v>
      </c>
      <c r="P28">
        <v>69.650954303405584</v>
      </c>
      <c r="Q28">
        <v>6.4829231993965921</v>
      </c>
      <c r="U28">
        <v>599.30727457358682</v>
      </c>
      <c r="Y28">
        <f>Y27*Y26</f>
        <v>4.250076685941977</v>
      </c>
    </row>
    <row r="29" spans="1:27" x14ac:dyDescent="0.35">
      <c r="A29" t="s">
        <v>27</v>
      </c>
      <c r="B29" t="b">
        <v>0</v>
      </c>
      <c r="C29">
        <v>81.639529411764684</v>
      </c>
      <c r="D29">
        <v>53.765130109670991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31.117645806721097</v>
      </c>
      <c r="K29">
        <v>68.015751583500688</v>
      </c>
      <c r="L29">
        <v>53.928510638297865</v>
      </c>
      <c r="M29">
        <v>68.015751583500688</v>
      </c>
      <c r="N29">
        <v>68.015751583500688</v>
      </c>
      <c r="O29">
        <v>72.142818929885323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53.765130109670991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31.117645806721097</v>
      </c>
      <c r="K30">
        <v>68.015751583500688</v>
      </c>
      <c r="L30">
        <v>53.928510638297865</v>
      </c>
      <c r="M30">
        <v>68.015751583500688</v>
      </c>
      <c r="N30">
        <v>68.015751583500688</v>
      </c>
      <c r="O30">
        <v>72.142818929885323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53.765130109670991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31.117645806721097</v>
      </c>
      <c r="K31">
        <v>68.015751583500688</v>
      </c>
      <c r="L31">
        <v>53.928510638297865</v>
      </c>
      <c r="M31">
        <v>68.015751583500688</v>
      </c>
      <c r="N31">
        <v>68.015751583500688</v>
      </c>
      <c r="O31">
        <v>72.142818929885323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52.60172033898305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31.117645806721097</v>
      </c>
      <c r="K32">
        <v>68.072757608527724</v>
      </c>
      <c r="L32">
        <v>53.928510638297865</v>
      </c>
      <c r="M32">
        <v>68.072757608527724</v>
      </c>
      <c r="N32">
        <v>68.072757608527724</v>
      </c>
      <c r="O32">
        <v>71.316161753618118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53.765130109670991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31.117645806721097</v>
      </c>
      <c r="K33">
        <v>68.015751583500688</v>
      </c>
      <c r="L33">
        <v>53.928510638297865</v>
      </c>
      <c r="M33">
        <v>68.015751583500688</v>
      </c>
      <c r="N33">
        <v>68.015751583500688</v>
      </c>
      <c r="O33">
        <v>72.142818929885323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53.765130109670991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31.117645806721097</v>
      </c>
      <c r="K34">
        <v>68.015751583500688</v>
      </c>
      <c r="L34">
        <v>53.928510638297865</v>
      </c>
      <c r="M34">
        <v>68.015751583500688</v>
      </c>
      <c r="N34">
        <v>68.015751583500688</v>
      </c>
      <c r="O34">
        <v>72.142818929885323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54.688372881355932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53.928510638297865</v>
      </c>
      <c r="M35">
        <v>68.015751583500688</v>
      </c>
      <c r="N35">
        <v>68.015751583500688</v>
      </c>
      <c r="O35">
        <v>70.50800272163886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53.089644067796613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31.117645806721097</v>
      </c>
      <c r="K36">
        <v>68.015751583500688</v>
      </c>
      <c r="L36">
        <v>53.928510638297865</v>
      </c>
      <c r="M36">
        <v>68.015751583500688</v>
      </c>
      <c r="N36">
        <v>68.015751583500688</v>
      </c>
      <c r="O36">
        <v>72.320967285165224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53.765130109670991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53.928510638297865</v>
      </c>
      <c r="M37">
        <v>68.015751583500688</v>
      </c>
      <c r="N37">
        <v>68.015751583500688</v>
      </c>
      <c r="O37">
        <v>72.142818929885323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5.4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5.4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2025-05-22T14:43:52Z</dcterms:modified>
</cp:coreProperties>
</file>