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"/>
    </mc:Choice>
  </mc:AlternateContent>
  <xr:revisionPtr revIDLastSave="0" documentId="13_ncr:1_{D3F39453-DFD2-43C1-BC1A-E59EFFC80406}" xr6:coauthVersionLast="47" xr6:coauthVersionMax="47" xr10:uidLastSave="{00000000-0000-0000-0000-000000000000}"/>
  <bookViews>
    <workbookView xWindow="-110" yWindow="-110" windowWidth="19420" windowHeight="10300" xr2:uid="{BAA9D55F-0FEB-4558-AFDF-92239B956412}"/>
  </bookViews>
  <sheets>
    <sheet name="Emission_Factors_Import" sheetId="1" r:id="rId1"/>
    <sheet name="Emission_Factors_Domest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" l="1"/>
  <c r="S2" i="1"/>
  <c r="Z24" i="1"/>
  <c r="Y26" i="1" l="1"/>
  <c r="Y28" i="1" s="1"/>
  <c r="Z22" i="1"/>
  <c r="Z15" i="1"/>
  <c r="U31" i="1"/>
  <c r="Z14" i="1" l="1"/>
  <c r="Z21" i="1"/>
  <c r="Z13" i="1"/>
  <c r="Z12" i="1"/>
  <c r="Z23" i="1"/>
  <c r="Z20" i="1"/>
  <c r="Z19" i="1"/>
  <c r="Z11" i="1"/>
  <c r="Z10" i="1"/>
  <c r="T2" i="1"/>
  <c r="U2" i="1" s="1"/>
  <c r="Z18" i="1"/>
  <c r="Z8" i="1"/>
  <c r="Z17" i="1"/>
  <c r="Z9" i="1"/>
  <c r="Z16" i="1"/>
  <c r="U1" i="1"/>
  <c r="AA9" i="1" l="1"/>
  <c r="R9" i="1" s="1"/>
  <c r="AA17" i="1"/>
  <c r="R17" i="1" s="1"/>
  <c r="AA13" i="1"/>
  <c r="R13" i="1" s="1"/>
  <c r="AA23" i="1"/>
  <c r="R23" i="1" s="1"/>
  <c r="AA15" i="1"/>
  <c r="R15" i="1" s="1"/>
  <c r="AA24" i="1"/>
  <c r="R24" i="1" s="1"/>
  <c r="AA10" i="1"/>
  <c r="R10" i="1" s="1"/>
  <c r="AA18" i="1"/>
  <c r="R18" i="1" s="1"/>
  <c r="AA11" i="1"/>
  <c r="R11" i="1" s="1"/>
  <c r="AA19" i="1"/>
  <c r="R19" i="1" s="1"/>
  <c r="AA12" i="1"/>
  <c r="R12" i="1" s="1"/>
  <c r="AA22" i="1"/>
  <c r="R22" i="1" s="1"/>
  <c r="AA16" i="1"/>
  <c r="R16" i="1" s="1"/>
  <c r="AA8" i="1"/>
  <c r="R8" i="1" s="1"/>
  <c r="AA20" i="1"/>
  <c r="R20" i="1" s="1"/>
  <c r="AA21" i="1"/>
  <c r="R21" i="1" s="1"/>
  <c r="AA14" i="1"/>
  <c r="R14" i="1" s="1"/>
  <c r="R25" i="1" l="1"/>
</calcChain>
</file>

<file path=xl/sharedStrings.xml><?xml version="1.0" encoding="utf-8"?>
<sst xmlns="http://schemas.openxmlformats.org/spreadsheetml/2006/main" count="125" uniqueCount="71">
  <si>
    <t>AL</t>
  </si>
  <si>
    <t>AT</t>
  </si>
  <si>
    <t>BE</t>
  </si>
  <si>
    <t>BA</t>
  </si>
  <si>
    <t>BG</t>
  </si>
  <si>
    <t>HR</t>
  </si>
  <si>
    <t>CZ</t>
  </si>
  <si>
    <t>DK</t>
  </si>
  <si>
    <t>EE</t>
  </si>
  <si>
    <t>FI</t>
  </si>
  <si>
    <t>FR</t>
  </si>
  <si>
    <t>DE</t>
  </si>
  <si>
    <t>EL</t>
  </si>
  <si>
    <t>HU</t>
  </si>
  <si>
    <t>IE</t>
  </si>
  <si>
    <t>IT</t>
  </si>
  <si>
    <t>LV</t>
  </si>
  <si>
    <t>LT</t>
  </si>
  <si>
    <t>LU</t>
  </si>
  <si>
    <t>MD</t>
  </si>
  <si>
    <t>NL</t>
  </si>
  <si>
    <t>MK</t>
  </si>
  <si>
    <t>NO</t>
  </si>
  <si>
    <t>PL</t>
  </si>
  <si>
    <t>PT</t>
  </si>
  <si>
    <t>RO</t>
  </si>
  <si>
    <t>SM</t>
  </si>
  <si>
    <t>RS</t>
  </si>
  <si>
    <t>SK</t>
  </si>
  <si>
    <t>SI</t>
  </si>
  <si>
    <t>ES</t>
  </si>
  <si>
    <t>SE</t>
  </si>
  <si>
    <t>CH</t>
  </si>
  <si>
    <t>TR</t>
  </si>
  <si>
    <t>UK</t>
  </si>
  <si>
    <t>UA</t>
  </si>
  <si>
    <t>EU</t>
  </si>
  <si>
    <t>USA</t>
  </si>
  <si>
    <t>TT</t>
  </si>
  <si>
    <t>ME</t>
  </si>
  <si>
    <t>QA</t>
  </si>
  <si>
    <t>AF</t>
  </si>
  <si>
    <t>AU</t>
  </si>
  <si>
    <t>CR</t>
  </si>
  <si>
    <t>RU</t>
  </si>
  <si>
    <t>DZ</t>
  </si>
  <si>
    <t>LY</t>
  </si>
  <si>
    <t>TN</t>
  </si>
  <si>
    <t>MA</t>
  </si>
  <si>
    <t>EG</t>
  </si>
  <si>
    <t>IM</t>
  </si>
  <si>
    <t>Factor</t>
  </si>
  <si>
    <t>Node</t>
  </si>
  <si>
    <t>BE_LNG</t>
  </si>
  <si>
    <t>FR_LNG</t>
  </si>
  <si>
    <t>EL_LNG</t>
  </si>
  <si>
    <t>IT_LNG</t>
  </si>
  <si>
    <t>HR_LNG</t>
  </si>
  <si>
    <t>LT_LNG</t>
  </si>
  <si>
    <t>NL_LNG</t>
  </si>
  <si>
    <t>PL_LNG</t>
  </si>
  <si>
    <t>PT_LNG</t>
  </si>
  <si>
    <t>ES_LNG</t>
  </si>
  <si>
    <t>TR_LNG</t>
  </si>
  <si>
    <t>UK_LNG</t>
  </si>
  <si>
    <t>EE_LNG</t>
  </si>
  <si>
    <t>FI_LNG</t>
  </si>
  <si>
    <t>DE_LNG</t>
  </si>
  <si>
    <t>IE_LNG</t>
  </si>
  <si>
    <t>LV_LNG</t>
  </si>
  <si>
    <t>IM_LNG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</si>
</sst>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B6A9-4CD7-49C9-8407-62B26396811D}">
  <dimension ref="A1:AA37"/>
  <sheetViews>
    <sheetView tabSelected="1" workbookViewId="0">
      <selection activeCell="O14" sqref="O14"/>
    </sheetView>
  </sheetViews>
  <sheetFormatPr defaultRowHeight="14.5" x14ac:dyDescent="0.35"/>
  <cols>
    <col min="26" max="26" width="11.81640625" bestFit="1" customWidth="1"/>
  </cols>
  <sheetData>
    <row r="1" spans="1:27" x14ac:dyDescent="0.35">
      <c r="A1" t="s">
        <v>52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22</v>
      </c>
      <c r="T1">
        <v>3600000</v>
      </c>
      <c r="U1">
        <f>1000*1000</f>
        <v>1000000</v>
      </c>
    </row>
    <row r="2" spans="1:27" x14ac:dyDescent="0.35">
      <c r="A2" t="s">
        <v>0</v>
      </c>
      <c r="B2" t="b">
        <v>0</v>
      </c>
      <c r="C2">
        <v>81.639529411764684</v>
      </c>
      <c r="D2">
        <v>70</v>
      </c>
      <c r="E2">
        <v>62.773291046064649</v>
      </c>
      <c r="F2">
        <v>62.637176470588244</v>
      </c>
      <c r="G2">
        <v>74.52</v>
      </c>
      <c r="H2">
        <v>90</v>
      </c>
      <c r="I2">
        <v>19.276703276025685</v>
      </c>
      <c r="J2">
        <v>30.423920107841273</v>
      </c>
      <c r="K2">
        <v>68.015751583500688</v>
      </c>
      <c r="L2">
        <v>68.015751583500688</v>
      </c>
      <c r="M2">
        <v>68.015751583500688</v>
      </c>
      <c r="N2">
        <v>68.015751583500688</v>
      </c>
      <c r="O2">
        <v>68.015751583500688</v>
      </c>
      <c r="P2">
        <v>69.650954303405584</v>
      </c>
      <c r="Q2">
        <v>6.4829231993965921</v>
      </c>
      <c r="S2">
        <f>U5-U4</f>
        <v>1.5</v>
      </c>
      <c r="T2">
        <f>S2*T1</f>
        <v>5400000</v>
      </c>
      <c r="U2">
        <f>T2/U1</f>
        <v>5.4</v>
      </c>
    </row>
    <row r="3" spans="1:27" x14ac:dyDescent="0.35">
      <c r="A3" t="s">
        <v>1</v>
      </c>
      <c r="B3" t="b">
        <v>1</v>
      </c>
      <c r="C3">
        <v>81.639529411764684</v>
      </c>
      <c r="D3">
        <v>70</v>
      </c>
      <c r="E3">
        <v>62.773291046064649</v>
      </c>
      <c r="F3">
        <v>62.637176470588244</v>
      </c>
      <c r="G3">
        <v>74.52</v>
      </c>
      <c r="H3">
        <v>90</v>
      </c>
      <c r="I3">
        <v>19.276703276025685</v>
      </c>
      <c r="J3">
        <v>30.423920107841273</v>
      </c>
      <c r="K3">
        <v>68.015751583500688</v>
      </c>
      <c r="L3">
        <v>68.015751583500688</v>
      </c>
      <c r="M3">
        <v>68.015751583500688</v>
      </c>
      <c r="N3">
        <v>68.015751583500688</v>
      </c>
      <c r="O3">
        <v>68.015751583500688</v>
      </c>
      <c r="P3">
        <v>69.650954303405584</v>
      </c>
      <c r="Q3">
        <v>6.4829231993965921</v>
      </c>
    </row>
    <row r="4" spans="1:27" x14ac:dyDescent="0.35">
      <c r="A4" t="s">
        <v>2</v>
      </c>
      <c r="B4" t="b">
        <v>1</v>
      </c>
      <c r="C4">
        <v>81.028026845637584</v>
      </c>
      <c r="D4">
        <v>70</v>
      </c>
      <c r="E4">
        <v>63.33970029352696</v>
      </c>
      <c r="F4">
        <v>63.343596330275233</v>
      </c>
      <c r="G4">
        <v>74.52</v>
      </c>
      <c r="H4">
        <v>90</v>
      </c>
      <c r="I4">
        <v>19.276703276025685</v>
      </c>
      <c r="J4">
        <v>30.423920107841273</v>
      </c>
      <c r="K4">
        <v>68.015751583500688</v>
      </c>
      <c r="L4">
        <v>68.015751583500688</v>
      </c>
      <c r="M4">
        <v>68.015751583500688</v>
      </c>
      <c r="N4">
        <v>68.015751583500688</v>
      </c>
      <c r="O4">
        <v>68.015751583500688</v>
      </c>
      <c r="P4">
        <v>70.201212631578954</v>
      </c>
      <c r="Q4">
        <v>6.5604478724514799</v>
      </c>
      <c r="U4">
        <v>0.3</v>
      </c>
    </row>
    <row r="5" spans="1:27" x14ac:dyDescent="0.35">
      <c r="A5" t="s">
        <v>3</v>
      </c>
      <c r="B5" t="b">
        <v>0</v>
      </c>
      <c r="C5">
        <v>81.639529411764684</v>
      </c>
      <c r="D5">
        <v>70</v>
      </c>
      <c r="E5">
        <v>62.773291046064649</v>
      </c>
      <c r="F5">
        <v>62.637176470588244</v>
      </c>
      <c r="G5">
        <v>74.52</v>
      </c>
      <c r="H5">
        <v>90</v>
      </c>
      <c r="I5">
        <v>19.276703276025685</v>
      </c>
      <c r="J5">
        <v>30.423920107841273</v>
      </c>
      <c r="K5">
        <v>68.015751583500688</v>
      </c>
      <c r="L5">
        <v>68.015751583500688</v>
      </c>
      <c r="M5">
        <v>68.015751583500688</v>
      </c>
      <c r="N5">
        <v>68.015751583500688</v>
      </c>
      <c r="O5">
        <v>68.015751583500688</v>
      </c>
      <c r="P5">
        <v>69.650954303405584</v>
      </c>
      <c r="Q5">
        <v>6.4829231993965921</v>
      </c>
      <c r="U5">
        <v>1.8</v>
      </c>
    </row>
    <row r="6" spans="1:27" x14ac:dyDescent="0.35">
      <c r="A6" t="s">
        <v>4</v>
      </c>
      <c r="B6" t="b">
        <v>1</v>
      </c>
      <c r="C6">
        <v>81.639529411764684</v>
      </c>
      <c r="D6">
        <v>70</v>
      </c>
      <c r="E6">
        <v>62.773291046064649</v>
      </c>
      <c r="F6">
        <v>62.637176470588244</v>
      </c>
      <c r="G6">
        <v>74.52</v>
      </c>
      <c r="H6">
        <v>90</v>
      </c>
      <c r="I6">
        <v>19.276703276025685</v>
      </c>
      <c r="J6">
        <v>30.423920107841273</v>
      </c>
      <c r="K6">
        <v>68.015751583500688</v>
      </c>
      <c r="L6">
        <v>68.015751583500688</v>
      </c>
      <c r="M6">
        <v>68.015751583500688</v>
      </c>
      <c r="N6">
        <v>68.015751583500688</v>
      </c>
      <c r="O6">
        <v>68.015751583500688</v>
      </c>
      <c r="P6">
        <v>69.650954303405584</v>
      </c>
      <c r="Q6">
        <v>6.4829231993965921</v>
      </c>
    </row>
    <row r="7" spans="1:27" x14ac:dyDescent="0.35">
      <c r="A7" t="s">
        <v>5</v>
      </c>
      <c r="B7" t="b">
        <v>1</v>
      </c>
      <c r="C7">
        <v>83.048859060402691</v>
      </c>
      <c r="D7">
        <v>70</v>
      </c>
      <c r="E7">
        <v>60.519987640970186</v>
      </c>
      <c r="F7">
        <v>60.552770642201835</v>
      </c>
      <c r="G7">
        <v>74.52</v>
      </c>
      <c r="H7">
        <v>90</v>
      </c>
      <c r="I7">
        <v>19.276703276025685</v>
      </c>
      <c r="J7">
        <v>30.423920107841273</v>
      </c>
      <c r="K7">
        <v>68.015751583500688</v>
      </c>
      <c r="L7">
        <v>68.015751583500688</v>
      </c>
      <c r="M7">
        <v>68.015751583500688</v>
      </c>
      <c r="N7">
        <v>68.015751583500688</v>
      </c>
      <c r="O7">
        <v>68.015751583500688</v>
      </c>
      <c r="P7">
        <v>67.541002105263161</v>
      </c>
      <c r="Q7">
        <v>6.4829231993965921</v>
      </c>
    </row>
    <row r="8" spans="1:27" x14ac:dyDescent="0.35">
      <c r="A8" t="s">
        <v>6</v>
      </c>
      <c r="B8" t="b">
        <v>1</v>
      </c>
      <c r="C8">
        <v>81.639529411764684</v>
      </c>
      <c r="D8">
        <v>70</v>
      </c>
      <c r="E8">
        <v>62.773291046064649</v>
      </c>
      <c r="F8">
        <v>62.637176470588244</v>
      </c>
      <c r="G8">
        <v>74.52</v>
      </c>
      <c r="H8">
        <v>90</v>
      </c>
      <c r="I8">
        <v>19.276703276025685</v>
      </c>
      <c r="J8">
        <v>30.423920107841273</v>
      </c>
      <c r="K8">
        <v>68.015751583500688</v>
      </c>
      <c r="L8">
        <v>68.015751583500688</v>
      </c>
      <c r="M8">
        <v>68.015751583500688</v>
      </c>
      <c r="N8">
        <v>68.015751583500688</v>
      </c>
      <c r="O8">
        <v>68.015751583500688</v>
      </c>
      <c r="P8">
        <v>69.650954303405584</v>
      </c>
      <c r="Q8">
        <v>6.4829231993965921</v>
      </c>
      <c r="R8">
        <f t="shared" ref="R8:R24" si="0">AA8</f>
        <v>6.5604478724514799</v>
      </c>
      <c r="S8" t="s">
        <v>70</v>
      </c>
      <c r="T8" t="s">
        <v>53</v>
      </c>
      <c r="W8">
        <v>0</v>
      </c>
      <c r="X8">
        <v>9237</v>
      </c>
      <c r="Y8">
        <v>1544.841468711073</v>
      </c>
      <c r="Z8">
        <f>((($U$4/$Y$22)*Y8)*$T$1)/$U$1</f>
        <v>1.1604478724514795</v>
      </c>
      <c r="AA8">
        <f>Z8+$U$2</f>
        <v>6.5604478724514799</v>
      </c>
    </row>
    <row r="9" spans="1:27" x14ac:dyDescent="0.35">
      <c r="A9" t="s">
        <v>7</v>
      </c>
      <c r="B9" t="b">
        <v>1</v>
      </c>
      <c r="C9">
        <v>81.639529411764684</v>
      </c>
      <c r="D9">
        <v>70</v>
      </c>
      <c r="E9">
        <v>62.773291046064649</v>
      </c>
      <c r="F9">
        <v>62.637176470588244</v>
      </c>
      <c r="G9">
        <v>74.52</v>
      </c>
      <c r="H9">
        <v>90</v>
      </c>
      <c r="I9">
        <v>19.276703276025685</v>
      </c>
      <c r="J9">
        <v>30.423920107841273</v>
      </c>
      <c r="K9">
        <v>68.015751583500688</v>
      </c>
      <c r="L9">
        <v>68.015751583500688</v>
      </c>
      <c r="M9">
        <v>68.015751583500688</v>
      </c>
      <c r="N9">
        <v>68.015751583500688</v>
      </c>
      <c r="O9">
        <v>68.015751583500688</v>
      </c>
      <c r="P9">
        <v>69.650954303405584</v>
      </c>
      <c r="Q9">
        <v>6.0724198318715077</v>
      </c>
      <c r="R9">
        <f t="shared" si="0"/>
        <v>6.9190068562697657</v>
      </c>
      <c r="S9" t="s">
        <v>70</v>
      </c>
      <c r="T9" t="s">
        <v>54</v>
      </c>
      <c r="W9">
        <v>0</v>
      </c>
      <c r="X9">
        <v>8897</v>
      </c>
      <c r="Y9">
        <v>2022.171644698406</v>
      </c>
      <c r="Z9">
        <f t="shared" ref="Z9:Z24" si="1">((($U$4/$Y$22)*Y9)*$T$1)/$U$1</f>
        <v>1.5190068562697654</v>
      </c>
      <c r="AA9">
        <f t="shared" ref="AA9:AA24" si="2">Z9+$U$2</f>
        <v>6.9190068562697657</v>
      </c>
    </row>
    <row r="10" spans="1:27" x14ac:dyDescent="0.35">
      <c r="A10" t="s">
        <v>8</v>
      </c>
      <c r="B10" t="b">
        <v>1</v>
      </c>
      <c r="C10">
        <v>82.274738255033554</v>
      </c>
      <c r="D10">
        <v>70</v>
      </c>
      <c r="E10">
        <v>64.996823729337251</v>
      </c>
      <c r="F10">
        <v>64.983743119266052</v>
      </c>
      <c r="G10">
        <v>74.52</v>
      </c>
      <c r="H10">
        <v>90</v>
      </c>
      <c r="I10">
        <v>19.276703276025685</v>
      </c>
      <c r="J10">
        <v>30.423920107841273</v>
      </c>
      <c r="K10">
        <v>68.015751583500688</v>
      </c>
      <c r="L10">
        <v>68.015751583500688</v>
      </c>
      <c r="M10">
        <v>68.015751583500688</v>
      </c>
      <c r="N10">
        <v>68.015751583500688</v>
      </c>
      <c r="O10">
        <v>68.015751583500688</v>
      </c>
      <c r="P10">
        <v>71.764597894736838</v>
      </c>
      <c r="Q10">
        <v>6.4829231993965921</v>
      </c>
      <c r="R10">
        <f t="shared" si="0"/>
        <v>13.544366046832366</v>
      </c>
      <c r="S10" t="s">
        <v>70</v>
      </c>
      <c r="T10" t="s">
        <v>55</v>
      </c>
      <c r="W10">
        <v>0</v>
      </c>
      <c r="X10">
        <v>6737</v>
      </c>
      <c r="Y10">
        <v>10842.153882302176</v>
      </c>
      <c r="Z10">
        <f t="shared" si="1"/>
        <v>8.1443660468323653</v>
      </c>
      <c r="AA10">
        <f t="shared" si="2"/>
        <v>13.544366046832366</v>
      </c>
    </row>
    <row r="11" spans="1:27" x14ac:dyDescent="0.35">
      <c r="A11" t="s">
        <v>9</v>
      </c>
      <c r="B11" t="b">
        <v>1</v>
      </c>
      <c r="C11">
        <v>82.274738255033554</v>
      </c>
      <c r="D11">
        <v>70</v>
      </c>
      <c r="E11">
        <v>64.996823729337251</v>
      </c>
      <c r="F11">
        <v>64.983743119266052</v>
      </c>
      <c r="G11">
        <v>74.52</v>
      </c>
      <c r="H11">
        <v>90</v>
      </c>
      <c r="I11">
        <v>19.276703276025685</v>
      </c>
      <c r="J11">
        <v>25.072445424753251</v>
      </c>
      <c r="K11">
        <v>68.015751583500688</v>
      </c>
      <c r="L11">
        <v>68.015751583500688</v>
      </c>
      <c r="M11">
        <v>68.015751583500688</v>
      </c>
      <c r="N11">
        <v>68.015751583500688</v>
      </c>
      <c r="O11">
        <v>68.015751583500688</v>
      </c>
      <c r="P11">
        <v>71.764597894736838</v>
      </c>
      <c r="Q11">
        <v>6.4829231993965921</v>
      </c>
      <c r="R11">
        <f t="shared" si="0"/>
        <v>14.360374222817502</v>
      </c>
      <c r="S11" t="s">
        <v>70</v>
      </c>
      <c r="T11" t="s">
        <v>56</v>
      </c>
      <c r="W11">
        <v>0</v>
      </c>
      <c r="X11">
        <v>7412</v>
      </c>
      <c r="Y11">
        <v>11928.461418379655</v>
      </c>
      <c r="Z11">
        <f t="shared" si="1"/>
        <v>8.9603742228175012</v>
      </c>
      <c r="AA11">
        <f t="shared" si="2"/>
        <v>14.360374222817502</v>
      </c>
    </row>
    <row r="12" spans="1:27" x14ac:dyDescent="0.35">
      <c r="A12" t="s">
        <v>10</v>
      </c>
      <c r="B12" t="b">
        <v>1</v>
      </c>
      <c r="C12">
        <v>80.987436241610737</v>
      </c>
      <c r="D12">
        <v>70</v>
      </c>
      <c r="E12">
        <v>63.291982079406765</v>
      </c>
      <c r="F12">
        <v>60.916293577981648</v>
      </c>
      <c r="G12">
        <v>74.52</v>
      </c>
      <c r="H12">
        <v>90</v>
      </c>
      <c r="I12">
        <v>19.276703276025685</v>
      </c>
      <c r="J12">
        <v>30.423920107841273</v>
      </c>
      <c r="K12">
        <v>68.015751583500688</v>
      </c>
      <c r="L12">
        <v>68.015751583500688</v>
      </c>
      <c r="M12">
        <v>68.015751583500688</v>
      </c>
      <c r="N12">
        <v>68.015751583500688</v>
      </c>
      <c r="O12">
        <v>68.015751583500688</v>
      </c>
      <c r="P12">
        <v>69.737381052631576</v>
      </c>
      <c r="Q12">
        <v>6.9190068562697657</v>
      </c>
      <c r="R12">
        <f t="shared" si="0"/>
        <v>14.209261597635066</v>
      </c>
      <c r="S12" t="s">
        <v>70</v>
      </c>
      <c r="T12" t="s">
        <v>57</v>
      </c>
      <c r="W12">
        <v>0</v>
      </c>
      <c r="X12">
        <v>7287</v>
      </c>
      <c r="Y12">
        <v>11727.293356143084</v>
      </c>
      <c r="Z12">
        <f t="shared" si="1"/>
        <v>8.8092615976350661</v>
      </c>
      <c r="AA12">
        <f t="shared" si="2"/>
        <v>14.209261597635066</v>
      </c>
    </row>
    <row r="13" spans="1:27" x14ac:dyDescent="0.35">
      <c r="A13" t="s">
        <v>11</v>
      </c>
      <c r="B13" t="b">
        <v>1</v>
      </c>
      <c r="C13">
        <v>81.36</v>
      </c>
      <c r="D13">
        <v>70</v>
      </c>
      <c r="E13">
        <v>63.72</v>
      </c>
      <c r="F13">
        <v>63.72</v>
      </c>
      <c r="G13">
        <v>74.52</v>
      </c>
      <c r="H13">
        <v>90</v>
      </c>
      <c r="I13">
        <v>19.276703276025685</v>
      </c>
      <c r="J13">
        <v>30.423920107841273</v>
      </c>
      <c r="K13">
        <v>68.015751583500688</v>
      </c>
      <c r="L13">
        <v>68.015751583500688</v>
      </c>
      <c r="M13">
        <v>68.015751583500688</v>
      </c>
      <c r="N13">
        <v>68.015751583500688</v>
      </c>
      <c r="O13">
        <v>68.015751583500688</v>
      </c>
      <c r="P13">
        <v>70.56</v>
      </c>
      <c r="Q13">
        <v>6.48</v>
      </c>
      <c r="R13">
        <f t="shared" si="0"/>
        <v>8.1871969308975281</v>
      </c>
      <c r="S13" t="s">
        <v>70</v>
      </c>
      <c r="T13" t="s">
        <v>58</v>
      </c>
      <c r="W13">
        <v>0</v>
      </c>
      <c r="X13">
        <v>10171</v>
      </c>
      <c r="Y13">
        <v>3710.444477974399</v>
      </c>
      <c r="Z13">
        <f t="shared" si="1"/>
        <v>2.7871969308975273</v>
      </c>
      <c r="AA13">
        <f t="shared" si="2"/>
        <v>8.1871969308975281</v>
      </c>
    </row>
    <row r="14" spans="1:27" x14ac:dyDescent="0.35">
      <c r="A14" t="s">
        <v>12</v>
      </c>
      <c r="B14" t="b">
        <v>1</v>
      </c>
      <c r="C14">
        <v>82.867651006711412</v>
      </c>
      <c r="D14">
        <v>70</v>
      </c>
      <c r="E14">
        <v>59.567069365054842</v>
      </c>
      <c r="F14">
        <v>59.609614678899085</v>
      </c>
      <c r="G14">
        <v>74.52</v>
      </c>
      <c r="H14">
        <v>90</v>
      </c>
      <c r="I14">
        <v>19.276703276025685</v>
      </c>
      <c r="J14">
        <v>30.423920107841273</v>
      </c>
      <c r="K14">
        <v>68.015751583500688</v>
      </c>
      <c r="L14">
        <v>68.015751583500688</v>
      </c>
      <c r="M14">
        <v>68.015751583500688</v>
      </c>
      <c r="N14">
        <v>68.015751583500688</v>
      </c>
      <c r="O14">
        <v>68.015751583500688</v>
      </c>
      <c r="P14">
        <v>66.790686315789472</v>
      </c>
      <c r="Q14">
        <v>6.4829231993965921</v>
      </c>
      <c r="R14">
        <f t="shared" si="0"/>
        <v>6.4181490433991044</v>
      </c>
      <c r="S14" t="s">
        <v>70</v>
      </c>
      <c r="T14" t="s">
        <v>59</v>
      </c>
      <c r="W14">
        <v>0</v>
      </c>
      <c r="X14">
        <v>9303</v>
      </c>
      <c r="Y14">
        <v>1355.4067364083271</v>
      </c>
      <c r="Z14">
        <f t="shared" si="1"/>
        <v>1.0181490433991043</v>
      </c>
      <c r="AA14">
        <f t="shared" si="2"/>
        <v>6.4181490433991044</v>
      </c>
    </row>
    <row r="15" spans="1:27" x14ac:dyDescent="0.35">
      <c r="A15" t="s">
        <v>13</v>
      </c>
      <c r="B15" t="b">
        <v>1</v>
      </c>
      <c r="C15">
        <v>81.639529411764684</v>
      </c>
      <c r="D15">
        <v>70</v>
      </c>
      <c r="E15">
        <v>62.773291046064649</v>
      </c>
      <c r="F15">
        <v>62.637176470588244</v>
      </c>
      <c r="G15">
        <v>74.52</v>
      </c>
      <c r="H15">
        <v>90</v>
      </c>
      <c r="I15">
        <v>19.276703276025685</v>
      </c>
      <c r="J15">
        <v>30.423920107841273</v>
      </c>
      <c r="K15">
        <v>68.015751583500688</v>
      </c>
      <c r="L15">
        <v>68.015751583500688</v>
      </c>
      <c r="M15">
        <v>68.015751583500688</v>
      </c>
      <c r="N15">
        <v>68.015751583500688</v>
      </c>
      <c r="O15">
        <v>68.015751583500688</v>
      </c>
      <c r="P15">
        <v>69.650954303405584</v>
      </c>
      <c r="Q15">
        <v>6.4829231993965921</v>
      </c>
      <c r="R15">
        <f t="shared" si="0"/>
        <v>6.0724198318715077</v>
      </c>
      <c r="S15" t="s">
        <v>70</v>
      </c>
      <c r="T15" t="s">
        <v>60</v>
      </c>
      <c r="W15">
        <v>0</v>
      </c>
      <c r="X15">
        <v>9980</v>
      </c>
      <c r="Y15">
        <v>895.15614214051311</v>
      </c>
      <c r="Z15">
        <f t="shared" si="1"/>
        <v>0.67241983187150756</v>
      </c>
      <c r="AA15">
        <f t="shared" si="2"/>
        <v>6.0724198318715077</v>
      </c>
    </row>
    <row r="16" spans="1:27" x14ac:dyDescent="0.35">
      <c r="A16" t="s">
        <v>14</v>
      </c>
      <c r="B16" t="b">
        <v>1</v>
      </c>
      <c r="C16">
        <v>80.416268456375832</v>
      </c>
      <c r="D16">
        <v>70</v>
      </c>
      <c r="E16">
        <v>63.051945002317318</v>
      </c>
      <c r="F16">
        <v>63.05878899082569</v>
      </c>
      <c r="G16">
        <v>74.52</v>
      </c>
      <c r="H16">
        <v>90</v>
      </c>
      <c r="I16">
        <v>19.276703276025685</v>
      </c>
      <c r="J16">
        <v>30.423920107841273</v>
      </c>
      <c r="K16">
        <v>68.015751583500688</v>
      </c>
      <c r="L16">
        <v>68.015751583500688</v>
      </c>
      <c r="M16">
        <v>68.015751583500688</v>
      </c>
      <c r="N16">
        <v>68.015751583500688</v>
      </c>
      <c r="O16">
        <v>68.015751583500688</v>
      </c>
      <c r="P16">
        <v>69.929734736842107</v>
      </c>
      <c r="Q16">
        <v>6.4829231993965921</v>
      </c>
      <c r="R16">
        <f t="shared" si="0"/>
        <v>15.344419638005499</v>
      </c>
      <c r="S16" t="s">
        <v>70</v>
      </c>
      <c r="T16" t="s">
        <v>61</v>
      </c>
      <c r="W16">
        <v>0</v>
      </c>
      <c r="X16">
        <v>8226</v>
      </c>
      <c r="Y16">
        <v>13238.467839664198</v>
      </c>
      <c r="Z16">
        <f t="shared" si="1"/>
        <v>9.944419638005499</v>
      </c>
      <c r="AA16">
        <f t="shared" si="2"/>
        <v>15.344419638005499</v>
      </c>
    </row>
    <row r="17" spans="1:27" x14ac:dyDescent="0.35">
      <c r="A17" t="s">
        <v>15</v>
      </c>
      <c r="B17" t="b">
        <v>1</v>
      </c>
      <c r="C17">
        <v>81.963060402684562</v>
      </c>
      <c r="D17">
        <v>70</v>
      </c>
      <c r="E17">
        <v>60.700738452031516</v>
      </c>
      <c r="F17">
        <v>60.62862385321101</v>
      </c>
      <c r="G17">
        <v>74.52</v>
      </c>
      <c r="H17">
        <v>90</v>
      </c>
      <c r="I17">
        <v>19.276703276025685</v>
      </c>
      <c r="J17">
        <v>30.423920107841273</v>
      </c>
      <c r="K17">
        <v>67.958745558473652</v>
      </c>
      <c r="L17">
        <v>67.958745558473652</v>
      </c>
      <c r="M17">
        <v>67.958745558473652</v>
      </c>
      <c r="N17">
        <v>67.958745558473652</v>
      </c>
      <c r="O17">
        <v>67.958745558473652</v>
      </c>
      <c r="P17">
        <v>71.475385263157904</v>
      </c>
      <c r="Q17">
        <v>6.4829231993965921</v>
      </c>
      <c r="R17">
        <f t="shared" si="0"/>
        <v>14.608198928116689</v>
      </c>
      <c r="S17" t="s">
        <v>70</v>
      </c>
      <c r="T17" t="s">
        <v>62</v>
      </c>
      <c r="W17">
        <v>0</v>
      </c>
      <c r="X17">
        <v>7617</v>
      </c>
      <c r="Y17">
        <v>12258.377040447629</v>
      </c>
      <c r="Z17">
        <f t="shared" si="1"/>
        <v>9.2081989281166887</v>
      </c>
      <c r="AA17">
        <f t="shared" si="2"/>
        <v>14.608198928116689</v>
      </c>
    </row>
    <row r="18" spans="1:27" x14ac:dyDescent="0.35">
      <c r="A18" t="s">
        <v>16</v>
      </c>
      <c r="B18" t="b">
        <v>1</v>
      </c>
      <c r="C18">
        <v>82.187758389261745</v>
      </c>
      <c r="D18">
        <v>70</v>
      </c>
      <c r="E18">
        <v>64.910063340027804</v>
      </c>
      <c r="F18">
        <v>64.897871559633032</v>
      </c>
      <c r="G18">
        <v>74.52</v>
      </c>
      <c r="H18">
        <v>90</v>
      </c>
      <c r="I18">
        <v>19.276703276025685</v>
      </c>
      <c r="J18">
        <v>28.599772152949953</v>
      </c>
      <c r="K18">
        <v>68.015751583500688</v>
      </c>
      <c r="L18">
        <v>68.015751583500688</v>
      </c>
      <c r="M18">
        <v>68.015751583500688</v>
      </c>
      <c r="N18">
        <v>68.015751583500688</v>
      </c>
      <c r="O18">
        <v>68.015751583500688</v>
      </c>
      <c r="P18">
        <v>71.682745263157898</v>
      </c>
      <c r="Q18">
        <v>6.4829231993965921</v>
      </c>
      <c r="R18">
        <f t="shared" si="0"/>
        <v>8.9049813556623505</v>
      </c>
      <c r="S18" t="s">
        <v>70</v>
      </c>
      <c r="T18" t="s">
        <v>63</v>
      </c>
      <c r="W18">
        <v>0</v>
      </c>
      <c r="X18">
        <v>6627</v>
      </c>
      <c r="Y18">
        <v>4665.9920482664747</v>
      </c>
      <c r="Z18">
        <f t="shared" si="1"/>
        <v>3.5049813556623493</v>
      </c>
      <c r="AA18">
        <f t="shared" si="2"/>
        <v>8.9049813556623505</v>
      </c>
    </row>
    <row r="19" spans="1:27" x14ac:dyDescent="0.35">
      <c r="A19" t="s">
        <v>17</v>
      </c>
      <c r="B19" t="b">
        <v>1</v>
      </c>
      <c r="C19">
        <v>81.967409395973149</v>
      </c>
      <c r="D19">
        <v>70</v>
      </c>
      <c r="E19">
        <v>64.690270353777223</v>
      </c>
      <c r="F19">
        <v>64.680330275229352</v>
      </c>
      <c r="G19">
        <v>74.52</v>
      </c>
      <c r="H19">
        <v>90</v>
      </c>
      <c r="I19">
        <v>19.276703276025685</v>
      </c>
      <c r="J19">
        <v>29.604968491332414</v>
      </c>
      <c r="K19">
        <v>68.015751583500688</v>
      </c>
      <c r="L19">
        <v>68.015751583500688</v>
      </c>
      <c r="M19">
        <v>68.015751583500688</v>
      </c>
      <c r="N19">
        <v>68.015751583500688</v>
      </c>
      <c r="O19">
        <v>68.015751583500688</v>
      </c>
      <c r="P19">
        <v>69.650954303405584</v>
      </c>
      <c r="Q19">
        <v>6.4829231993965921</v>
      </c>
      <c r="R19">
        <f t="shared" si="0"/>
        <v>6.4475155923877008</v>
      </c>
      <c r="S19" t="s">
        <v>70</v>
      </c>
      <c r="T19" t="s">
        <v>64</v>
      </c>
      <c r="W19">
        <v>0</v>
      </c>
      <c r="X19">
        <v>9051</v>
      </c>
      <c r="Y19">
        <v>1394.5008342540841</v>
      </c>
      <c r="Z19">
        <f t="shared" si="1"/>
        <v>1.0475155923877004</v>
      </c>
      <c r="AA19">
        <f t="shared" si="2"/>
        <v>6.4475155923877008</v>
      </c>
    </row>
    <row r="20" spans="1:27" x14ac:dyDescent="0.35">
      <c r="A20" t="s">
        <v>18</v>
      </c>
      <c r="B20" t="b">
        <v>1</v>
      </c>
      <c r="C20">
        <v>81.639529411764684</v>
      </c>
      <c r="D20">
        <v>70</v>
      </c>
      <c r="E20">
        <v>62.773291046064649</v>
      </c>
      <c r="F20">
        <v>62.637176470588244</v>
      </c>
      <c r="G20">
        <v>74.52</v>
      </c>
      <c r="H20">
        <v>90</v>
      </c>
      <c r="I20">
        <v>19.276703276025685</v>
      </c>
      <c r="J20">
        <v>30.423920107841273</v>
      </c>
      <c r="K20">
        <v>68.015751583500688</v>
      </c>
      <c r="L20">
        <v>68.015751583500688</v>
      </c>
      <c r="M20">
        <v>68.015751583500688</v>
      </c>
      <c r="N20">
        <v>68.015751583500688</v>
      </c>
      <c r="O20">
        <v>68.015751583500688</v>
      </c>
      <c r="P20">
        <v>69.650954303405584</v>
      </c>
      <c r="Q20">
        <v>6.4829231993965921</v>
      </c>
      <c r="R20">
        <f t="shared" si="0"/>
        <v>17.952019098153549</v>
      </c>
      <c r="S20" t="s">
        <v>70</v>
      </c>
      <c r="T20" t="s">
        <v>65</v>
      </c>
      <c r="W20">
        <v>0</v>
      </c>
      <c r="X20">
        <v>10383</v>
      </c>
      <c r="Y20">
        <v>16709.823921618448</v>
      </c>
      <c r="Z20">
        <f t="shared" si="1"/>
        <v>12.552019098153547</v>
      </c>
      <c r="AA20">
        <f t="shared" si="2"/>
        <v>17.952019098153549</v>
      </c>
    </row>
    <row r="21" spans="1:27" x14ac:dyDescent="0.35">
      <c r="A21" t="s">
        <v>19</v>
      </c>
      <c r="B21" t="b">
        <v>0</v>
      </c>
      <c r="C21">
        <v>81.639529411764684</v>
      </c>
      <c r="D21">
        <v>70</v>
      </c>
      <c r="E21">
        <v>62.773291046064649</v>
      </c>
      <c r="F21">
        <v>62.637176470588244</v>
      </c>
      <c r="G21">
        <v>74.52</v>
      </c>
      <c r="H21">
        <v>90</v>
      </c>
      <c r="I21">
        <v>19.276703276025685</v>
      </c>
      <c r="J21">
        <v>30.423920107841273</v>
      </c>
      <c r="K21">
        <v>68.015751583500688</v>
      </c>
      <c r="L21">
        <v>68.015751583500688</v>
      </c>
      <c r="M21">
        <v>68.015751583500688</v>
      </c>
      <c r="N21">
        <v>68.015751583500688</v>
      </c>
      <c r="O21">
        <v>68.015751583500688</v>
      </c>
      <c r="P21">
        <v>69.650954303405584</v>
      </c>
      <c r="Q21">
        <v>6.4829231993965921</v>
      </c>
      <c r="R21">
        <f t="shared" si="0"/>
        <v>7.6233472479453335</v>
      </c>
      <c r="S21" t="s">
        <v>70</v>
      </c>
      <c r="T21" t="s">
        <v>66</v>
      </c>
      <c r="W21">
        <v>0</v>
      </c>
      <c r="X21">
        <v>10383</v>
      </c>
      <c r="Y21">
        <v>2959.8219011032761</v>
      </c>
      <c r="Z21">
        <f t="shared" si="1"/>
        <v>2.2233472479453331</v>
      </c>
      <c r="AA21">
        <f t="shared" si="2"/>
        <v>7.6233472479453335</v>
      </c>
    </row>
    <row r="22" spans="1:27" x14ac:dyDescent="0.35">
      <c r="A22" t="s">
        <v>20</v>
      </c>
      <c r="B22" t="b">
        <v>1</v>
      </c>
      <c r="C22">
        <v>81.123704697986582</v>
      </c>
      <c r="D22">
        <v>70</v>
      </c>
      <c r="E22">
        <v>63.435136721767336</v>
      </c>
      <c r="F22">
        <v>63.442348623853213</v>
      </c>
      <c r="G22">
        <v>74.52</v>
      </c>
      <c r="H22">
        <v>90</v>
      </c>
      <c r="I22">
        <v>19.276703276025685</v>
      </c>
      <c r="J22">
        <v>30.423920107841273</v>
      </c>
      <c r="K22">
        <v>68.015751583500688</v>
      </c>
      <c r="L22">
        <v>68.015751583500688</v>
      </c>
      <c r="M22">
        <v>68.015751583500688</v>
      </c>
      <c r="N22">
        <v>68.015751583500688</v>
      </c>
      <c r="O22">
        <v>68.015751583500688</v>
      </c>
      <c r="P22">
        <v>70.291250526315793</v>
      </c>
      <c r="Q22">
        <v>6.4181490433991044</v>
      </c>
      <c r="R22">
        <f t="shared" si="0"/>
        <v>6.48</v>
      </c>
      <c r="S22" t="s">
        <v>70</v>
      </c>
      <c r="T22" t="s">
        <v>67</v>
      </c>
      <c r="W22">
        <v>0</v>
      </c>
      <c r="X22">
        <v>9500</v>
      </c>
      <c r="Y22">
        <v>1437.745568599609</v>
      </c>
      <c r="Z22">
        <f>((($U$4/$Y$22)*Y22)*$T$1)/$U$1</f>
        <v>1.08</v>
      </c>
      <c r="AA22">
        <f t="shared" si="2"/>
        <v>6.48</v>
      </c>
    </row>
    <row r="23" spans="1:27" x14ac:dyDescent="0.35">
      <c r="A23" t="s">
        <v>21</v>
      </c>
      <c r="B23" t="b">
        <v>0</v>
      </c>
      <c r="C23">
        <v>81.639529411764684</v>
      </c>
      <c r="D23">
        <v>70</v>
      </c>
      <c r="E23">
        <v>62.773291046064649</v>
      </c>
      <c r="F23">
        <v>62.637176470588244</v>
      </c>
      <c r="G23">
        <v>74.52</v>
      </c>
      <c r="H23">
        <v>90</v>
      </c>
      <c r="I23">
        <v>19.276703276025685</v>
      </c>
      <c r="J23">
        <v>30.423920107841273</v>
      </c>
      <c r="K23">
        <v>68.015751583500688</v>
      </c>
      <c r="L23">
        <v>68.015751583500688</v>
      </c>
      <c r="M23">
        <v>68.015751583500688</v>
      </c>
      <c r="N23">
        <v>68.015751583500688</v>
      </c>
      <c r="O23">
        <v>68.015751583500688</v>
      </c>
      <c r="P23">
        <v>69.650954303405584</v>
      </c>
      <c r="Q23">
        <v>6.4829231993965921</v>
      </c>
      <c r="R23">
        <f t="shared" si="0"/>
        <v>8.3414841829733888</v>
      </c>
      <c r="S23" t="s">
        <v>70</v>
      </c>
      <c r="T23" t="s">
        <v>68</v>
      </c>
      <c r="W23">
        <v>0</v>
      </c>
      <c r="X23">
        <v>9038</v>
      </c>
      <c r="Y23">
        <v>3915.8387492368802</v>
      </c>
      <c r="Z23">
        <f t="shared" si="1"/>
        <v>2.941484182973388</v>
      </c>
      <c r="AA23">
        <f t="shared" si="2"/>
        <v>8.3414841829733888</v>
      </c>
    </row>
    <row r="24" spans="1:27" x14ac:dyDescent="0.35">
      <c r="A24" t="s">
        <v>22</v>
      </c>
      <c r="B24" t="b">
        <v>0</v>
      </c>
      <c r="C24">
        <v>81.639529411764684</v>
      </c>
      <c r="D24">
        <v>70</v>
      </c>
      <c r="E24">
        <v>62.773291046064649</v>
      </c>
      <c r="F24">
        <v>62.637176470588244</v>
      </c>
      <c r="G24">
        <v>74.52</v>
      </c>
      <c r="H24">
        <v>90</v>
      </c>
      <c r="I24">
        <v>19.276703276025685</v>
      </c>
      <c r="J24">
        <v>30.423920107841273</v>
      </c>
      <c r="K24">
        <v>68.015751583500688</v>
      </c>
      <c r="L24">
        <v>68.015751583500688</v>
      </c>
      <c r="M24">
        <v>68.015751583500688</v>
      </c>
      <c r="N24">
        <v>68.015751583500688</v>
      </c>
      <c r="O24">
        <v>68.015751583500688</v>
      </c>
      <c r="P24">
        <v>69.650954303405584</v>
      </c>
      <c r="Q24">
        <v>5.4</v>
      </c>
      <c r="R24">
        <f t="shared" si="0"/>
        <v>5.4</v>
      </c>
      <c r="S24" t="s">
        <v>70</v>
      </c>
      <c r="T24" t="s">
        <v>69</v>
      </c>
      <c r="W24">
        <v>0</v>
      </c>
      <c r="X24">
        <v>10323</v>
      </c>
      <c r="Y24">
        <v>0</v>
      </c>
      <c r="Z24">
        <f t="shared" si="1"/>
        <v>0</v>
      </c>
      <c r="AA24">
        <f t="shared" si="2"/>
        <v>5.4</v>
      </c>
    </row>
    <row r="25" spans="1:27" x14ac:dyDescent="0.35">
      <c r="A25" t="s">
        <v>23</v>
      </c>
      <c r="B25" t="b">
        <v>1</v>
      </c>
      <c r="C25">
        <v>81.690523489932886</v>
      </c>
      <c r="D25">
        <v>70</v>
      </c>
      <c r="E25">
        <v>64.414083114475517</v>
      </c>
      <c r="F25">
        <v>64.406972477064215</v>
      </c>
      <c r="G25">
        <v>74.52</v>
      </c>
      <c r="H25">
        <v>90</v>
      </c>
      <c r="I25">
        <v>19.276703276025685</v>
      </c>
      <c r="J25">
        <v>33.046222524758605</v>
      </c>
      <c r="K25">
        <v>68.015751583500688</v>
      </c>
      <c r="L25">
        <v>68.015751583500688</v>
      </c>
      <c r="M25">
        <v>68.015751583500688</v>
      </c>
      <c r="N25">
        <v>68.015751583500688</v>
      </c>
      <c r="O25">
        <v>68.015751583500688</v>
      </c>
      <c r="P25">
        <v>71.214821052631578</v>
      </c>
      <c r="Q25">
        <v>6.4829231993965921</v>
      </c>
      <c r="R25">
        <f>AVERAGE(R8:R24)</f>
        <v>9.8454816732599308</v>
      </c>
    </row>
    <row r="26" spans="1:27" x14ac:dyDescent="0.35">
      <c r="A26" t="s">
        <v>24</v>
      </c>
      <c r="B26" t="b">
        <v>1</v>
      </c>
      <c r="C26">
        <v>80.417718120805375</v>
      </c>
      <c r="D26">
        <v>70</v>
      </c>
      <c r="E26">
        <v>61.877787733662906</v>
      </c>
      <c r="F26">
        <v>61.896660550458719</v>
      </c>
      <c r="G26">
        <v>74.52</v>
      </c>
      <c r="H26">
        <v>90</v>
      </c>
      <c r="I26">
        <v>19.276703276025685</v>
      </c>
      <c r="J26">
        <v>30.423920107841273</v>
      </c>
      <c r="K26">
        <v>68.015751583500688</v>
      </c>
      <c r="L26">
        <v>68.015751583500688</v>
      </c>
      <c r="M26">
        <v>68.015751583500688</v>
      </c>
      <c r="N26">
        <v>68.015751583500688</v>
      </c>
      <c r="O26">
        <v>68.015751583500688</v>
      </c>
      <c r="P26">
        <v>68.821995789473689</v>
      </c>
      <c r="Q26">
        <v>6.4829231993965921</v>
      </c>
      <c r="Y26">
        <f>7.8/Y22</f>
        <v>5.4251601746179235E-3</v>
      </c>
    </row>
    <row r="27" spans="1:27" x14ac:dyDescent="0.35">
      <c r="A27" t="s">
        <v>25</v>
      </c>
      <c r="B27" t="b">
        <v>1</v>
      </c>
      <c r="C27">
        <v>81.639529411764684</v>
      </c>
      <c r="D27">
        <v>70</v>
      </c>
      <c r="E27">
        <v>62.773291046064649</v>
      </c>
      <c r="F27">
        <v>62.637176470588244</v>
      </c>
      <c r="G27">
        <v>74.52</v>
      </c>
      <c r="H27">
        <v>90</v>
      </c>
      <c r="I27">
        <v>19.276703276025685</v>
      </c>
      <c r="J27">
        <v>30.423920107841273</v>
      </c>
      <c r="K27">
        <v>68.015751583500688</v>
      </c>
      <c r="L27">
        <v>68.015751583500688</v>
      </c>
      <c r="M27">
        <v>68.015751583500688</v>
      </c>
      <c r="N27">
        <v>68.015751583500688</v>
      </c>
      <c r="O27">
        <v>68.015751583500688</v>
      </c>
      <c r="P27">
        <v>69.650954303405584</v>
      </c>
      <c r="Q27">
        <v>6.4829231993965921</v>
      </c>
      <c r="U27">
        <v>3681.0367786032052</v>
      </c>
      <c r="Y27">
        <v>1000</v>
      </c>
    </row>
    <row r="28" spans="1:27" x14ac:dyDescent="0.35">
      <c r="A28" t="s">
        <v>26</v>
      </c>
      <c r="B28" t="b">
        <v>0</v>
      </c>
      <c r="C28">
        <v>81.639529411764684</v>
      </c>
      <c r="D28">
        <v>70</v>
      </c>
      <c r="E28">
        <v>62.773291046064649</v>
      </c>
      <c r="F28">
        <v>62.637176470588244</v>
      </c>
      <c r="G28">
        <v>74.52</v>
      </c>
      <c r="H28">
        <v>90</v>
      </c>
      <c r="I28">
        <v>19.276703276025685</v>
      </c>
      <c r="J28">
        <v>30.423920107841273</v>
      </c>
      <c r="K28">
        <v>68.015751583500688</v>
      </c>
      <c r="L28">
        <v>68.015751583500688</v>
      </c>
      <c r="M28">
        <v>68.015751583500688</v>
      </c>
      <c r="N28">
        <v>68.015751583500688</v>
      </c>
      <c r="O28">
        <v>68.015751583500688</v>
      </c>
      <c r="P28">
        <v>69.650954303405584</v>
      </c>
      <c r="Q28">
        <v>6.4829231993965921</v>
      </c>
      <c r="U28">
        <v>599.30727457358682</v>
      </c>
      <c r="Y28">
        <f>Y27*Y26</f>
        <v>5.4251601746179237</v>
      </c>
    </row>
    <row r="29" spans="1:27" x14ac:dyDescent="0.35">
      <c r="A29" t="s">
        <v>27</v>
      </c>
      <c r="B29" t="b">
        <v>0</v>
      </c>
      <c r="C29">
        <v>81.639529411764684</v>
      </c>
      <c r="D29">
        <v>70</v>
      </c>
      <c r="E29">
        <v>62.773291046064649</v>
      </c>
      <c r="F29">
        <v>62.637176470588244</v>
      </c>
      <c r="G29">
        <v>74.52</v>
      </c>
      <c r="H29">
        <v>90</v>
      </c>
      <c r="I29">
        <v>19.276703276025685</v>
      </c>
      <c r="J29">
        <v>30.423920107841273</v>
      </c>
      <c r="K29">
        <v>68.015751583500688</v>
      </c>
      <c r="L29">
        <v>68.015751583500688</v>
      </c>
      <c r="M29">
        <v>68.015751583500688</v>
      </c>
      <c r="N29">
        <v>68.015751583500688</v>
      </c>
      <c r="O29">
        <v>68.015751583500688</v>
      </c>
      <c r="P29">
        <v>69.650954303405584</v>
      </c>
      <c r="Q29">
        <v>6.4829231993965921</v>
      </c>
    </row>
    <row r="30" spans="1:27" x14ac:dyDescent="0.35">
      <c r="A30" t="s">
        <v>28</v>
      </c>
      <c r="B30" t="b">
        <v>1</v>
      </c>
      <c r="C30">
        <v>81.639529411764684</v>
      </c>
      <c r="D30">
        <v>70</v>
      </c>
      <c r="E30">
        <v>62.773291046064649</v>
      </c>
      <c r="F30">
        <v>62.637176470588244</v>
      </c>
      <c r="G30">
        <v>74.52</v>
      </c>
      <c r="H30">
        <v>90</v>
      </c>
      <c r="I30">
        <v>19.276703276025685</v>
      </c>
      <c r="J30">
        <v>30.423920107841273</v>
      </c>
      <c r="K30">
        <v>68.015751583500688</v>
      </c>
      <c r="L30">
        <v>68.015751583500688</v>
      </c>
      <c r="M30">
        <v>68.015751583500688</v>
      </c>
      <c r="N30">
        <v>68.015751583500688</v>
      </c>
      <c r="O30">
        <v>68.015751583500688</v>
      </c>
      <c r="P30">
        <v>69.650954303405584</v>
      </c>
      <c r="Q30">
        <v>6.4829231993965921</v>
      </c>
    </row>
    <row r="31" spans="1:27" x14ac:dyDescent="0.35">
      <c r="A31" t="s">
        <v>29</v>
      </c>
      <c r="B31" t="b">
        <v>1</v>
      </c>
      <c r="C31">
        <v>81.639529411764684</v>
      </c>
      <c r="D31">
        <v>70</v>
      </c>
      <c r="E31">
        <v>62.773291046064649</v>
      </c>
      <c r="F31">
        <v>62.637176470588244</v>
      </c>
      <c r="G31">
        <v>74.52</v>
      </c>
      <c r="H31">
        <v>90</v>
      </c>
      <c r="I31">
        <v>19.276703276025685</v>
      </c>
      <c r="J31">
        <v>30.423920107841273</v>
      </c>
      <c r="K31">
        <v>68.015751583500688</v>
      </c>
      <c r="L31">
        <v>68.015751583500688</v>
      </c>
      <c r="M31">
        <v>68.015751583500688</v>
      </c>
      <c r="N31">
        <v>68.015751583500688</v>
      </c>
      <c r="O31">
        <v>68.015751583500688</v>
      </c>
      <c r="P31">
        <v>69.650954303405584</v>
      </c>
      <c r="Q31">
        <v>6.4829231993965921</v>
      </c>
      <c r="S31">
        <f>(Q36+Q22+Q13+Q12+Q9+Q4)/6</f>
        <v>6.4829231993965921</v>
      </c>
      <c r="U31">
        <f>SUM(U27:U29)</f>
        <v>4280.3440531767919</v>
      </c>
    </row>
    <row r="32" spans="1:27" x14ac:dyDescent="0.35">
      <c r="A32" t="s">
        <v>30</v>
      </c>
      <c r="B32" t="b">
        <v>1</v>
      </c>
      <c r="C32">
        <v>80.609073825503359</v>
      </c>
      <c r="D32">
        <v>70</v>
      </c>
      <c r="E32">
        <v>60.997169782172101</v>
      </c>
      <c r="F32">
        <v>61.025064220183488</v>
      </c>
      <c r="G32">
        <v>74.52</v>
      </c>
      <c r="H32">
        <v>90</v>
      </c>
      <c r="I32">
        <v>19.276703276025685</v>
      </c>
      <c r="J32">
        <v>30.423920107841273</v>
      </c>
      <c r="K32">
        <v>68.072757608527724</v>
      </c>
      <c r="L32">
        <v>68.072757608527724</v>
      </c>
      <c r="M32">
        <v>68.072757608527724</v>
      </c>
      <c r="N32">
        <v>68.072757608527724</v>
      </c>
      <c r="O32">
        <v>68.072757608527724</v>
      </c>
      <c r="P32">
        <v>67.991191578947365</v>
      </c>
      <c r="Q32">
        <v>6.4829231993965921</v>
      </c>
    </row>
    <row r="33" spans="1:17" x14ac:dyDescent="0.35">
      <c r="A33" t="s">
        <v>31</v>
      </c>
      <c r="B33" t="b">
        <v>1</v>
      </c>
      <c r="C33">
        <v>81.639529411764684</v>
      </c>
      <c r="D33">
        <v>70</v>
      </c>
      <c r="E33">
        <v>62.773291046064649</v>
      </c>
      <c r="F33">
        <v>62.637176470588244</v>
      </c>
      <c r="G33">
        <v>74.52</v>
      </c>
      <c r="H33">
        <v>90</v>
      </c>
      <c r="I33">
        <v>19.276703276025685</v>
      </c>
      <c r="J33">
        <v>30.423920107841273</v>
      </c>
      <c r="K33">
        <v>68.015751583500688</v>
      </c>
      <c r="L33">
        <v>68.015751583500688</v>
      </c>
      <c r="M33">
        <v>68.015751583500688</v>
      </c>
      <c r="N33">
        <v>68.015751583500688</v>
      </c>
      <c r="O33">
        <v>68.015751583500688</v>
      </c>
      <c r="P33">
        <v>69.650954303405584</v>
      </c>
      <c r="Q33">
        <v>6.4829231993965921</v>
      </c>
    </row>
    <row r="34" spans="1:17" x14ac:dyDescent="0.35">
      <c r="A34" t="s">
        <v>32</v>
      </c>
      <c r="B34" t="b">
        <v>0</v>
      </c>
      <c r="C34">
        <v>81.639529411764684</v>
      </c>
      <c r="D34">
        <v>70</v>
      </c>
      <c r="E34">
        <v>62.773291046064649</v>
      </c>
      <c r="F34">
        <v>62.637176470588244</v>
      </c>
      <c r="G34">
        <v>74.52</v>
      </c>
      <c r="H34">
        <v>90</v>
      </c>
      <c r="I34">
        <v>19.276703276025685</v>
      </c>
      <c r="J34">
        <v>30.423920107841273</v>
      </c>
      <c r="K34">
        <v>68.015751583500688</v>
      </c>
      <c r="L34">
        <v>68.015751583500688</v>
      </c>
      <c r="M34">
        <v>68.015751583500688</v>
      </c>
      <c r="N34">
        <v>68.015751583500688</v>
      </c>
      <c r="O34">
        <v>68.015751583500688</v>
      </c>
      <c r="P34">
        <v>69.650954303405584</v>
      </c>
      <c r="Q34">
        <v>6.4829231993965921</v>
      </c>
    </row>
    <row r="35" spans="1:17" x14ac:dyDescent="0.35">
      <c r="A35" t="s">
        <v>33</v>
      </c>
      <c r="B35" t="b">
        <v>0</v>
      </c>
      <c r="C35">
        <v>83.090899328859052</v>
      </c>
      <c r="D35">
        <v>70</v>
      </c>
      <c r="E35">
        <v>59.565623358566349</v>
      </c>
      <c r="F35">
        <v>59.608183486238531</v>
      </c>
      <c r="G35">
        <v>74.52</v>
      </c>
      <c r="H35">
        <v>90</v>
      </c>
      <c r="I35">
        <v>19.276703276025685</v>
      </c>
      <c r="J35">
        <v>35.374900727604761</v>
      </c>
      <c r="K35">
        <v>68.015751583500688</v>
      </c>
      <c r="L35">
        <v>68.015751583500688</v>
      </c>
      <c r="M35">
        <v>68.015751583500688</v>
      </c>
      <c r="N35">
        <v>68.015751583500688</v>
      </c>
      <c r="O35">
        <v>68.015751583500688</v>
      </c>
      <c r="P35">
        <v>66.640623157894737</v>
      </c>
      <c r="Q35">
        <v>6.4829231993965921</v>
      </c>
    </row>
    <row r="36" spans="1:17" x14ac:dyDescent="0.35">
      <c r="A36" t="s">
        <v>34</v>
      </c>
      <c r="B36" t="b">
        <v>0</v>
      </c>
      <c r="C36">
        <v>80.564134228187925</v>
      </c>
      <c r="D36">
        <v>70</v>
      </c>
      <c r="E36">
        <v>63.070743086667697</v>
      </c>
      <c r="F36">
        <v>63.077394495412847</v>
      </c>
      <c r="G36">
        <v>74.52</v>
      </c>
      <c r="H36">
        <v>90</v>
      </c>
      <c r="I36">
        <v>19.276703276025685</v>
      </c>
      <c r="J36">
        <v>30.423920107841273</v>
      </c>
      <c r="K36">
        <v>68.015751583500688</v>
      </c>
      <c r="L36">
        <v>68.015751583500688</v>
      </c>
      <c r="M36">
        <v>68.015751583500688</v>
      </c>
      <c r="N36">
        <v>68.015751583500688</v>
      </c>
      <c r="O36">
        <v>68.015751583500688</v>
      </c>
      <c r="P36">
        <v>69.947469473684208</v>
      </c>
      <c r="Q36">
        <v>6.4475155923877008</v>
      </c>
    </row>
    <row r="37" spans="1:17" x14ac:dyDescent="0.35">
      <c r="A37" t="s">
        <v>35</v>
      </c>
      <c r="B37" t="b">
        <v>0</v>
      </c>
      <c r="C37">
        <v>81.639529411764684</v>
      </c>
      <c r="D37">
        <v>70</v>
      </c>
      <c r="E37">
        <v>62.773291046064649</v>
      </c>
      <c r="F37">
        <v>62.637176470588244</v>
      </c>
      <c r="G37">
        <v>74.52</v>
      </c>
      <c r="H37">
        <v>90</v>
      </c>
      <c r="I37">
        <v>19.276703276025685</v>
      </c>
      <c r="J37">
        <v>30.845211325648673</v>
      </c>
      <c r="K37">
        <v>68.015751583500688</v>
      </c>
      <c r="L37">
        <v>68.015751583500688</v>
      </c>
      <c r="M37">
        <v>68.015751583500688</v>
      </c>
      <c r="N37">
        <v>68.015751583500688</v>
      </c>
      <c r="O37">
        <v>68.015751583500688</v>
      </c>
      <c r="P37">
        <v>69.650954303405584</v>
      </c>
      <c r="Q37">
        <v>6.4829231993965921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1E7E-91D4-4876-B8A6-B29CBB1455A1}">
  <dimension ref="A1:B37"/>
  <sheetViews>
    <sheetView workbookViewId="0">
      <selection activeCell="D28" sqref="D28"/>
    </sheetView>
  </sheetViews>
  <sheetFormatPr defaultRowHeight="14.5" x14ac:dyDescent="0.35"/>
  <sheetData>
    <row r="1" spans="1:2" x14ac:dyDescent="0.35">
      <c r="A1" t="s">
        <v>52</v>
      </c>
      <c r="B1" t="s">
        <v>51</v>
      </c>
    </row>
    <row r="2" spans="1:2" x14ac:dyDescent="0.35">
      <c r="A2" t="s">
        <v>0</v>
      </c>
      <c r="B2">
        <v>23.04</v>
      </c>
    </row>
    <row r="3" spans="1:2" x14ac:dyDescent="0.35">
      <c r="A3" t="s">
        <v>1</v>
      </c>
      <c r="B3">
        <v>23.04</v>
      </c>
    </row>
    <row r="4" spans="1:2" x14ac:dyDescent="0.35">
      <c r="A4" t="s">
        <v>2</v>
      </c>
      <c r="B4">
        <v>23.04</v>
      </c>
    </row>
    <row r="5" spans="1:2" x14ac:dyDescent="0.35">
      <c r="A5" t="s">
        <v>3</v>
      </c>
      <c r="B5">
        <v>23.04</v>
      </c>
    </row>
    <row r="6" spans="1:2" x14ac:dyDescent="0.35">
      <c r="A6" t="s">
        <v>4</v>
      </c>
      <c r="B6">
        <v>23.04</v>
      </c>
    </row>
    <row r="7" spans="1:2" x14ac:dyDescent="0.35">
      <c r="A7" t="s">
        <v>5</v>
      </c>
      <c r="B7">
        <v>23.04</v>
      </c>
    </row>
    <row r="8" spans="1:2" x14ac:dyDescent="0.35">
      <c r="A8" t="s">
        <v>6</v>
      </c>
      <c r="B8">
        <v>23.04</v>
      </c>
    </row>
    <row r="9" spans="1:2" x14ac:dyDescent="0.35">
      <c r="A9" t="s">
        <v>7</v>
      </c>
      <c r="B9">
        <v>23.04</v>
      </c>
    </row>
    <row r="10" spans="1:2" x14ac:dyDescent="0.35">
      <c r="A10" t="s">
        <v>8</v>
      </c>
      <c r="B10">
        <v>23.04</v>
      </c>
    </row>
    <row r="11" spans="1:2" x14ac:dyDescent="0.35">
      <c r="A11" t="s">
        <v>9</v>
      </c>
      <c r="B11">
        <v>23.04</v>
      </c>
    </row>
    <row r="12" spans="1:2" x14ac:dyDescent="0.35">
      <c r="A12" t="s">
        <v>10</v>
      </c>
      <c r="B12">
        <v>23.04</v>
      </c>
    </row>
    <row r="13" spans="1:2" x14ac:dyDescent="0.35">
      <c r="A13" t="s">
        <v>11</v>
      </c>
      <c r="B13">
        <v>23.04</v>
      </c>
    </row>
    <row r="14" spans="1:2" x14ac:dyDescent="0.35">
      <c r="A14" t="s">
        <v>12</v>
      </c>
      <c r="B14">
        <v>23.04</v>
      </c>
    </row>
    <row r="15" spans="1:2" x14ac:dyDescent="0.35">
      <c r="A15" t="s">
        <v>13</v>
      </c>
      <c r="B15">
        <v>23.04</v>
      </c>
    </row>
    <row r="16" spans="1:2" x14ac:dyDescent="0.35">
      <c r="A16" t="s">
        <v>14</v>
      </c>
      <c r="B16">
        <v>23.04</v>
      </c>
    </row>
    <row r="17" spans="1:2" x14ac:dyDescent="0.35">
      <c r="A17" t="s">
        <v>15</v>
      </c>
      <c r="B17">
        <v>23.04</v>
      </c>
    </row>
    <row r="18" spans="1:2" x14ac:dyDescent="0.35">
      <c r="A18" t="s">
        <v>16</v>
      </c>
      <c r="B18">
        <v>23.04</v>
      </c>
    </row>
    <row r="19" spans="1:2" x14ac:dyDescent="0.35">
      <c r="A19" t="s">
        <v>17</v>
      </c>
      <c r="B19">
        <v>23.04</v>
      </c>
    </row>
    <row r="20" spans="1:2" x14ac:dyDescent="0.35">
      <c r="A20" t="s">
        <v>18</v>
      </c>
      <c r="B20">
        <v>23.04</v>
      </c>
    </row>
    <row r="21" spans="1:2" x14ac:dyDescent="0.35">
      <c r="A21" t="s">
        <v>19</v>
      </c>
      <c r="B21">
        <v>23.04</v>
      </c>
    </row>
    <row r="22" spans="1:2" x14ac:dyDescent="0.35">
      <c r="A22" t="s">
        <v>20</v>
      </c>
      <c r="B22">
        <v>8.64</v>
      </c>
    </row>
    <row r="23" spans="1:2" x14ac:dyDescent="0.35">
      <c r="A23" t="s">
        <v>21</v>
      </c>
      <c r="B23">
        <v>23.04</v>
      </c>
    </row>
    <row r="24" spans="1:2" x14ac:dyDescent="0.35">
      <c r="A24" t="s">
        <v>22</v>
      </c>
      <c r="B24">
        <v>7.9200000000000008</v>
      </c>
    </row>
    <row r="25" spans="1:2" x14ac:dyDescent="0.35">
      <c r="A25" t="s">
        <v>23</v>
      </c>
      <c r="B25">
        <v>23.04</v>
      </c>
    </row>
    <row r="26" spans="1:2" x14ac:dyDescent="0.35">
      <c r="A26" t="s">
        <v>24</v>
      </c>
      <c r="B26">
        <v>23.04</v>
      </c>
    </row>
    <row r="27" spans="1:2" x14ac:dyDescent="0.35">
      <c r="A27" t="s">
        <v>25</v>
      </c>
      <c r="B27">
        <v>23.04</v>
      </c>
    </row>
    <row r="28" spans="1:2" x14ac:dyDescent="0.35">
      <c r="A28" t="s">
        <v>26</v>
      </c>
      <c r="B28">
        <v>23.04</v>
      </c>
    </row>
    <row r="29" spans="1:2" x14ac:dyDescent="0.35">
      <c r="A29" t="s">
        <v>27</v>
      </c>
      <c r="B29">
        <v>23.04</v>
      </c>
    </row>
    <row r="30" spans="1:2" x14ac:dyDescent="0.35">
      <c r="A30" t="s">
        <v>28</v>
      </c>
      <c r="B30">
        <v>23.04</v>
      </c>
    </row>
    <row r="31" spans="1:2" x14ac:dyDescent="0.35">
      <c r="A31" t="s">
        <v>29</v>
      </c>
      <c r="B31">
        <v>23.04</v>
      </c>
    </row>
    <row r="32" spans="1:2" x14ac:dyDescent="0.35">
      <c r="A32" t="s">
        <v>30</v>
      </c>
      <c r="B32">
        <v>23.04</v>
      </c>
    </row>
    <row r="33" spans="1:2" x14ac:dyDescent="0.35">
      <c r="A33" t="s">
        <v>31</v>
      </c>
      <c r="B33">
        <v>23.04</v>
      </c>
    </row>
    <row r="34" spans="1:2" x14ac:dyDescent="0.35">
      <c r="A34" t="s">
        <v>32</v>
      </c>
      <c r="B34">
        <v>23.04</v>
      </c>
    </row>
    <row r="35" spans="1:2" x14ac:dyDescent="0.35">
      <c r="A35" t="s">
        <v>33</v>
      </c>
      <c r="B35">
        <v>23.04</v>
      </c>
    </row>
    <row r="36" spans="1:2" x14ac:dyDescent="0.35">
      <c r="A36" t="s">
        <v>34</v>
      </c>
      <c r="B36">
        <v>23.04</v>
      </c>
    </row>
    <row r="37" spans="1:2" x14ac:dyDescent="0.35">
      <c r="A37" t="s">
        <v>35</v>
      </c>
      <c r="B37">
        <v>23.04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Emission_Factors_Import</vt:lpstr>
      <vt:lpstr>Emission_Factors_Domestic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2025-05-21T15:24:28Z</dcterms:created>
  <dcterms:modified xsi:type="dcterms:W3CDTF">2025-05-22T09:25:05Z</dcterms:modified>
</cp:coreProperties>
</file>