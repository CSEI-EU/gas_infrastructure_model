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37ED7FE-2F3B-4F69-94F5-DF5CB84DEA35}" xr6:coauthVersionLast="47" xr6:coauthVersionMax="47" xr10:uidLastSave="{00000000-0000-0000-0000-000000000000}"/>
  <bookViews>
    <workbookView xWindow="-110" yWindow="-110" windowWidth="19420" windowHeight="10300" activeTab="1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U5" i="1"/>
  <c r="S4" i="1"/>
  <c r="S31" i="1" l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<sst xmlns="http://schemas.openxmlformats.org/spreadsheetml/2006/main" count="124" uniqueCount="71">
  <si>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</si>
  <si>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</si>
  <si>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</si>
  <si>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</si>
  <si>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</si>
  <si>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</si>
  <si>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</si>
  <si>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</si>
  <si>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</si>
  <si>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</si>
  <si>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</si>
  <si>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</si>
  <si>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</si>
  <si>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</si>
  <si>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</si>
  <si>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</si>
  <si>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</si>
  <si>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</si>
  <si>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</si>
  <si>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</si>
  <si>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</si>
  <si>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</si>
  <si>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</si>
  <si>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</si>
  <si>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</si>
  <si>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</si>
  <si>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</si>
  <si>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</si>
  <si>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</si>
  <si>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</si>
  <si>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</si>
  <si>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</si>
  <si>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</si>
  <si>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</si>
  <si>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</si>
  <si>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</si>
  <si>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</si>
  <si>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</si>
  <si>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</si>
  <si>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</si>
  <si>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</si>
  <si>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</si>
  <si>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</si>
  <si>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</si>
  <si>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</si>
  <si>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</si>
  <si>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</si>
  <si>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</si>
  <si>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</si>
  <si>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</si>
  <si>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</si>
  <si>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</si>
  <si>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</si>
  <si>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</si>
  <si>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</si>
  <si>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</si>
  <si>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</si>
  <si>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</si>
  <si>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</si>
  <si>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</si>
  <si>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</si>
  <si>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</si>
  <si>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</si>
  <si>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</si>
  <si>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</si>
  <si>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</si>
  <si>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</si>
  <si>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</si>
  <si>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</si>
  <si>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</si>
  <si>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TT_LNG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</si>
</sst>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opLeftCell="A9" workbookViewId="0">
      <selection activeCell="Q24" sqref="Q24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f>U5-U4</f>
        <v>16.3</v>
      </c>
      <c r="T2">
        <f>S2*T1</f>
        <v>58680000</v>
      </c>
      <c r="U2">
        <f>T2/U1</f>
        <v>58.68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S4">
        <f>(2.1/9500)*7900</f>
        <v>1.7463157894736843</v>
      </c>
      <c r="U4">
        <v>1.75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f>16.3+1.75</f>
        <v>18.05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64.58995762711865</v>
      </c>
      <c r="S8" t="s">
        <v>70</v>
      </c>
      <c r="T8" t="s">
        <v>53</v>
      </c>
      <c r="W8">
        <v>0</v>
      </c>
      <c r="X8">
        <v>3985</v>
      </c>
      <c r="Y8">
        <v>6413.2378241018514</v>
      </c>
      <c r="Z8">
        <f>((($U$4/$Y$22)*Y8)*$T$1)/$U$1</f>
        <v>5.9099576271186454</v>
      </c>
      <c r="AA8">
        <f>Z8+$U$2</f>
        <v>64.58995762711865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64.541016949152549</v>
      </c>
      <c r="S9" t="s">
        <v>70</v>
      </c>
      <c r="T9" t="s">
        <v>54</v>
      </c>
      <c r="W9">
        <v>0</v>
      </c>
      <c r="X9">
        <v>3952</v>
      </c>
      <c r="Y9">
        <v>6360.1294556713965</v>
      </c>
      <c r="Z9">
        <f t="shared" ref="Z9:Z24" si="1">((($U$4/$Y$22)*Y9)*$T$1)/$U$1</f>
        <v>5.8610169491525426</v>
      </c>
      <c r="AA9">
        <f t="shared" ref="AA9:AA24" si="2">Z9+$U$2</f>
        <v>64.541016949152549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65.943983050847464</v>
      </c>
      <c r="S10" t="s">
        <v>70</v>
      </c>
      <c r="T10" t="s">
        <v>55</v>
      </c>
      <c r="W10">
        <v>0</v>
      </c>
      <c r="X10">
        <v>4898</v>
      </c>
      <c r="Y10">
        <v>7882.5693506777588</v>
      </c>
      <c r="Z10">
        <f t="shared" si="1"/>
        <v>7.2639830508474574</v>
      </c>
      <c r="AA10">
        <f t="shared" si="2"/>
        <v>65.943983050847464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66.206483050847453</v>
      </c>
      <c r="S11" t="s">
        <v>70</v>
      </c>
      <c r="T11" t="s">
        <v>56</v>
      </c>
      <c r="W11">
        <v>0</v>
      </c>
      <c r="X11">
        <v>5075</v>
      </c>
      <c r="Y11">
        <v>8167.4233268047419</v>
      </c>
      <c r="Z11">
        <f t="shared" si="1"/>
        <v>7.5264830508474594</v>
      </c>
      <c r="AA11">
        <f t="shared" si="2"/>
        <v>66.206483050847453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66.129364406779658</v>
      </c>
      <c r="S12" t="s">
        <v>70</v>
      </c>
      <c r="T12" t="s">
        <v>57</v>
      </c>
      <c r="W12">
        <v>0</v>
      </c>
      <c r="X12">
        <v>5023</v>
      </c>
      <c r="Y12">
        <v>8083.7374129143291</v>
      </c>
      <c r="Z12">
        <f t="shared" si="1"/>
        <v>7.4493644067796625</v>
      </c>
      <c r="AA12">
        <f t="shared" si="2"/>
        <v>66.129364406779658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65.832754237288128</v>
      </c>
      <c r="S13" t="s">
        <v>70</v>
      </c>
      <c r="T13" t="s">
        <v>58</v>
      </c>
      <c r="W13">
        <v>0</v>
      </c>
      <c r="X13">
        <v>4823</v>
      </c>
      <c r="Y13">
        <v>7761.8685133358167</v>
      </c>
      <c r="Z13">
        <f t="shared" si="1"/>
        <v>7.1527542372881356</v>
      </c>
      <c r="AA13">
        <f t="shared" si="2"/>
        <v>65.832754237288128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64.687838983050852</v>
      </c>
      <c r="S14" t="s">
        <v>70</v>
      </c>
      <c r="T14" t="s">
        <v>59</v>
      </c>
      <c r="W14">
        <v>0</v>
      </c>
      <c r="X14">
        <v>4051</v>
      </c>
      <c r="Y14">
        <v>6519.4545609627603</v>
      </c>
      <c r="Z14">
        <f t="shared" si="1"/>
        <v>6.0078389830508483</v>
      </c>
      <c r="AA14">
        <f t="shared" si="2"/>
        <v>64.687838983050852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65.549491525423733</v>
      </c>
      <c r="S15" t="s">
        <v>70</v>
      </c>
      <c r="T15" t="s">
        <v>60</v>
      </c>
      <c r="W15">
        <v>0</v>
      </c>
      <c r="X15">
        <v>4632</v>
      </c>
      <c r="Y15">
        <v>7454.4837142383376</v>
      </c>
      <c r="Z15">
        <f t="shared" si="1"/>
        <v>6.8694915254237285</v>
      </c>
      <c r="AA15">
        <f t="shared" si="2"/>
        <v>65.549491525423733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63.572584745762711</v>
      </c>
      <c r="S16" t="s">
        <v>70</v>
      </c>
      <c r="T16" t="s">
        <v>61</v>
      </c>
      <c r="W16">
        <v>0</v>
      </c>
      <c r="X16">
        <v>3299</v>
      </c>
      <c r="Y16">
        <v>5309.2274985475551</v>
      </c>
      <c r="Z16">
        <f t="shared" si="1"/>
        <v>4.8925847457627123</v>
      </c>
      <c r="AA16">
        <f t="shared" si="2"/>
        <v>63.572584745762711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64.085720338983052</v>
      </c>
      <c r="S17" t="s">
        <v>70</v>
      </c>
      <c r="T17" t="s">
        <v>62</v>
      </c>
      <c r="W17">
        <v>0</v>
      </c>
      <c r="X17">
        <v>3645</v>
      </c>
      <c r="Y17">
        <v>5866.0606948183813</v>
      </c>
      <c r="Z17">
        <f t="shared" si="1"/>
        <v>5.405720338983051</v>
      </c>
      <c r="AA17">
        <f t="shared" si="2"/>
        <v>64.085720338983052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66.172372881355926</v>
      </c>
      <c r="S18" t="s">
        <v>70</v>
      </c>
      <c r="T18" t="s">
        <v>63</v>
      </c>
      <c r="W18">
        <v>0</v>
      </c>
      <c r="X18">
        <v>5052</v>
      </c>
      <c r="Y18">
        <v>8130.4084033532126</v>
      </c>
      <c r="Z18">
        <f t="shared" si="1"/>
        <v>7.4923728813559318</v>
      </c>
      <c r="AA18">
        <f t="shared" si="2"/>
        <v>66.172372881355926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64.573644067796607</v>
      </c>
      <c r="S19" t="s">
        <v>70</v>
      </c>
      <c r="T19" t="s">
        <v>64</v>
      </c>
      <c r="W19">
        <v>0</v>
      </c>
      <c r="X19">
        <v>3974</v>
      </c>
      <c r="Y19">
        <v>6395.5350346250334</v>
      </c>
      <c r="Z19">
        <f t="shared" si="1"/>
        <v>5.8936440677966111</v>
      </c>
      <c r="AA19">
        <f t="shared" si="2"/>
        <v>64.573644067796607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66.147161016949156</v>
      </c>
      <c r="S20" t="s">
        <v>70</v>
      </c>
      <c r="T20" t="s">
        <v>65</v>
      </c>
      <c r="W20">
        <v>0</v>
      </c>
      <c r="X20">
        <v>5035</v>
      </c>
      <c r="Y20">
        <v>8103.0495468890394</v>
      </c>
      <c r="Z20">
        <f t="shared" si="1"/>
        <v>7.4671610169491531</v>
      </c>
      <c r="AA20">
        <f t="shared" si="2"/>
        <v>66.147161016949156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66.147161016949156</v>
      </c>
      <c r="S21" t="s">
        <v>70</v>
      </c>
      <c r="T21" t="s">
        <v>66</v>
      </c>
      <c r="W21">
        <v>0</v>
      </c>
      <c r="X21">
        <v>5035</v>
      </c>
      <c r="Y21">
        <v>8103.0495468890394</v>
      </c>
      <c r="Z21">
        <f t="shared" si="1"/>
        <v>7.4671610169491531</v>
      </c>
      <c r="AA21">
        <f t="shared" si="2"/>
        <v>66.147161016949156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64.98</v>
      </c>
      <c r="S22" t="s">
        <v>70</v>
      </c>
      <c r="T22" t="s">
        <v>67</v>
      </c>
      <c r="W22">
        <v>0</v>
      </c>
      <c r="X22">
        <v>4248</v>
      </c>
      <c r="Y22">
        <v>6836.4954270475946</v>
      </c>
      <c r="Z22">
        <f>((($U$4/$Y$22)*Y22)*$T$1)/$U$1</f>
        <v>6.3000000000000007</v>
      </c>
      <c r="AA22">
        <f t="shared" si="2"/>
        <v>64.98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64.017499999999998</v>
      </c>
      <c r="S23" t="s">
        <v>70</v>
      </c>
      <c r="T23" t="s">
        <v>68</v>
      </c>
      <c r="W23">
        <v>0</v>
      </c>
      <c r="X23">
        <v>3599</v>
      </c>
      <c r="Y23">
        <v>5792.0308479153236</v>
      </c>
      <c r="Z23">
        <f t="shared" si="1"/>
        <v>5.3375000000000012</v>
      </c>
      <c r="AA23">
        <f t="shared" si="2"/>
        <v>64.017499999999998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66.058177966101695</v>
      </c>
      <c r="S24" t="s">
        <v>70</v>
      </c>
      <c r="T24" t="s">
        <v>69</v>
      </c>
      <c r="W24">
        <v>0</v>
      </c>
      <c r="X24">
        <v>4975</v>
      </c>
      <c r="Y24">
        <v>8006.4888770154857</v>
      </c>
      <c r="Z24">
        <f t="shared" si="1"/>
        <v>7.3781779661016955</v>
      </c>
      <c r="AA24">
        <f t="shared" si="2"/>
        <v>66.058177966101695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65.249130109671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1.1409354519774035E-3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1.1409354519774035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tabSelected="1" workbookViewId="0">
      <selection activeCell="B9" sqref="B9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5.4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5.4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2025-05-22T13:45:16Z</dcterms:modified>
</cp:coreProperties>
</file>