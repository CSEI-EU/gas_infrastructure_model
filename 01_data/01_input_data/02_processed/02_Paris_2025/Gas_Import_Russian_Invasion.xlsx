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A61B77A7-F606-48AE-A101-405D60EEA7F4}" xr6:coauthVersionLast="47" xr6:coauthVersionMax="47" xr10:uidLastSave="{00000000-0000-0000-0000-000000000000}"/>
  <bookViews>
    <workbookView xWindow="-110" yWindow="-110" windowWidth="19420" windowHeight="10300" tabRatio="790" firstSheet="22" activeTab="24" xr2:uid="{00000000-000D-0000-FFFF-FFFF00000000}"/>
  </bookViews>
  <sheets>
    <sheet name="nodes_lng_europe_2020" sheetId="1" r:id="rId1"/>
    <sheet name="nodes_lng_europe_2024" sheetId="15" r:id="rId2"/>
    <sheet name="nodes_lng_europe_2035" sheetId="17" r:id="rId3"/>
    <sheet name="nodes_gas_prod_europe_2020" sheetId="2" r:id="rId4"/>
    <sheet name="nodes_gas_prod_world_2020" sheetId="11" r:id="rId5"/>
    <sheet name="nodes_gas_prod_europe_2024" sheetId="7" r:id="rId6"/>
    <sheet name="nodes_gas_prod_world_2024" sheetId="12" r:id="rId7"/>
    <sheet name="nodes_gas_prod_europe_2035_SP" sheetId="23" r:id="rId8"/>
    <sheet name="nodes_gas_prod_europe_2035_AP" sheetId="24" r:id="rId9"/>
    <sheet name="nodes_gas_prod_world_2035" sheetId="22" r:id="rId10"/>
    <sheet name="nodes_demand_europe_2020" sheetId="3" r:id="rId11"/>
    <sheet name="nodes_demand_world_2020" sheetId="13" r:id="rId12"/>
    <sheet name="nodes_demand_europe_2024" sheetId="6" r:id="rId13"/>
    <sheet name="nodes_demand_europe_2035" sheetId="18" r:id="rId14"/>
    <sheet name="nodes_demand_europe_2035_SP" sheetId="20" r:id="rId15"/>
    <sheet name="nodes_demand_europe_2035_AP" sheetId="21" r:id="rId16"/>
    <sheet name="nodes_demand_world_2024" sheetId="14" r:id="rId17"/>
    <sheet name="nodes_demand_world_2035" sheetId="19" r:id="rId18"/>
    <sheet name="Connections_2020" sheetId="4" r:id="rId19"/>
    <sheet name="Import_Connections_EU" sheetId="5" r:id="rId20"/>
    <sheet name="Connections_2024" sheetId="8" r:id="rId21"/>
    <sheet name="Connections_2035" sheetId="25" r:id="rId22"/>
    <sheet name="Global_Connections" sheetId="10" r:id="rId23"/>
    <sheet name="global_LNG_connections_2020" sheetId="9" r:id="rId24"/>
    <sheet name="global_LNG_connections_2024" sheetId="16" r:id="rId25"/>
    <sheet name="global_LNG_connections_203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6" i="16" l="1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G233" i="16"/>
  <c r="G234" i="16"/>
  <c r="G235" i="16"/>
  <c r="G236" i="16"/>
  <c r="G237" i="16"/>
  <c r="G238" i="16"/>
  <c r="G239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16" i="16"/>
  <c r="G215" i="26"/>
  <c r="E215" i="26"/>
  <c r="G214" i="26"/>
  <c r="E214" i="26"/>
  <c r="G213" i="26"/>
  <c r="E213" i="26"/>
  <c r="G212" i="26"/>
  <c r="E212" i="26"/>
  <c r="G211" i="26"/>
  <c r="E211" i="26"/>
  <c r="G210" i="26"/>
  <c r="E210" i="26"/>
  <c r="G209" i="26"/>
  <c r="E209" i="26"/>
  <c r="G208" i="26"/>
  <c r="E208" i="26"/>
  <c r="G207" i="26"/>
  <c r="E207" i="26"/>
  <c r="G206" i="26"/>
  <c r="E206" i="26"/>
  <c r="G205" i="26"/>
  <c r="E205" i="26"/>
  <c r="G204" i="26"/>
  <c r="E204" i="26"/>
  <c r="G203" i="26"/>
  <c r="E203" i="26"/>
  <c r="G202" i="26"/>
  <c r="E202" i="26"/>
  <c r="G201" i="26"/>
  <c r="E201" i="26"/>
  <c r="G200" i="26"/>
  <c r="E200" i="26"/>
  <c r="G199" i="26"/>
  <c r="E199" i="26"/>
  <c r="G198" i="26"/>
  <c r="E198" i="26"/>
  <c r="G197" i="26"/>
  <c r="E197" i="26"/>
  <c r="G196" i="26"/>
  <c r="E196" i="26"/>
  <c r="G195" i="26"/>
  <c r="E195" i="26"/>
  <c r="G194" i="26"/>
  <c r="E194" i="26"/>
  <c r="G193" i="26"/>
  <c r="E193" i="26"/>
  <c r="G192" i="26"/>
  <c r="E192" i="26"/>
  <c r="G191" i="26"/>
  <c r="E191" i="26"/>
  <c r="G190" i="26"/>
  <c r="E190" i="26"/>
  <c r="G189" i="26"/>
  <c r="E189" i="26"/>
  <c r="G188" i="26"/>
  <c r="E188" i="26"/>
  <c r="G187" i="26"/>
  <c r="E187" i="26"/>
  <c r="G186" i="26"/>
  <c r="E186" i="26"/>
  <c r="G185" i="26"/>
  <c r="E185" i="26"/>
  <c r="G184" i="26"/>
  <c r="E184" i="26"/>
  <c r="G183" i="26"/>
  <c r="E183" i="26"/>
  <c r="G182" i="26"/>
  <c r="E182" i="26"/>
  <c r="G181" i="26"/>
  <c r="E181" i="26"/>
  <c r="G180" i="26"/>
  <c r="E180" i="26"/>
  <c r="G179" i="26"/>
  <c r="E179" i="26"/>
  <c r="G178" i="26"/>
  <c r="E178" i="26"/>
  <c r="G177" i="26"/>
  <c r="E177" i="26"/>
  <c r="G176" i="26"/>
  <c r="E176" i="26"/>
  <c r="G175" i="26"/>
  <c r="E175" i="26"/>
  <c r="G174" i="26"/>
  <c r="E174" i="26"/>
  <c r="G173" i="26"/>
  <c r="E173" i="26"/>
  <c r="G172" i="26"/>
  <c r="E172" i="26"/>
  <c r="G171" i="26"/>
  <c r="E171" i="26"/>
  <c r="G170" i="26"/>
  <c r="E170" i="26"/>
  <c r="G169" i="26"/>
  <c r="E169" i="26"/>
  <c r="G168" i="26"/>
  <c r="E168" i="26"/>
  <c r="G167" i="26"/>
  <c r="E167" i="26"/>
  <c r="G166" i="26"/>
  <c r="E166" i="26"/>
  <c r="G165" i="26"/>
  <c r="E165" i="26"/>
  <c r="G164" i="26"/>
  <c r="E164" i="26"/>
  <c r="G163" i="26"/>
  <c r="E163" i="26"/>
  <c r="G162" i="26"/>
  <c r="E162" i="26"/>
  <c r="G161" i="26"/>
  <c r="E161" i="26"/>
  <c r="G160" i="26"/>
  <c r="E160" i="26"/>
  <c r="G159" i="26"/>
  <c r="E159" i="26"/>
  <c r="G158" i="26"/>
  <c r="E158" i="26"/>
  <c r="G157" i="26"/>
  <c r="E157" i="26"/>
  <c r="G156" i="26"/>
  <c r="E156" i="26"/>
  <c r="G155" i="26"/>
  <c r="E155" i="26"/>
  <c r="G154" i="26"/>
  <c r="E154" i="26"/>
  <c r="G153" i="26"/>
  <c r="E153" i="26"/>
  <c r="G152" i="26"/>
  <c r="E152" i="26"/>
  <c r="G151" i="26"/>
  <c r="E151" i="26"/>
  <c r="G150" i="26"/>
  <c r="E150" i="26"/>
  <c r="G149" i="26"/>
  <c r="E149" i="26"/>
  <c r="G148" i="26"/>
  <c r="E148" i="26"/>
  <c r="G147" i="26"/>
  <c r="E147" i="26"/>
  <c r="G146" i="26"/>
  <c r="E146" i="26"/>
  <c r="G145" i="26"/>
  <c r="E145" i="26"/>
  <c r="G144" i="26"/>
  <c r="E144" i="26"/>
  <c r="G143" i="26"/>
  <c r="E143" i="26"/>
  <c r="G142" i="26"/>
  <c r="E142" i="26"/>
  <c r="G141" i="26"/>
  <c r="E141" i="26"/>
  <c r="G140" i="26"/>
  <c r="E140" i="26"/>
  <c r="G139" i="26"/>
  <c r="E139" i="26"/>
  <c r="G138" i="26"/>
  <c r="E138" i="26"/>
  <c r="G137" i="26"/>
  <c r="E137" i="26"/>
  <c r="G136" i="26"/>
  <c r="E136" i="26"/>
  <c r="G135" i="26"/>
  <c r="E135" i="26"/>
  <c r="G134" i="26"/>
  <c r="E134" i="26"/>
  <c r="G133" i="26"/>
  <c r="E133" i="26"/>
  <c r="G132" i="26"/>
  <c r="E132" i="26"/>
  <c r="G131" i="26"/>
  <c r="E131" i="26"/>
  <c r="G130" i="26"/>
  <c r="E130" i="26"/>
  <c r="G129" i="26"/>
  <c r="E129" i="26"/>
  <c r="G128" i="26"/>
  <c r="E128" i="26"/>
  <c r="G127" i="26"/>
  <c r="E127" i="26"/>
  <c r="G126" i="26"/>
  <c r="E126" i="26"/>
  <c r="G125" i="26"/>
  <c r="E125" i="26"/>
  <c r="G124" i="26"/>
  <c r="E124" i="26"/>
  <c r="G123" i="26"/>
  <c r="E123" i="26"/>
  <c r="G122" i="26"/>
  <c r="E122" i="26"/>
  <c r="G121" i="26"/>
  <c r="E121" i="26"/>
  <c r="G120" i="26"/>
  <c r="E120" i="26"/>
  <c r="G119" i="26"/>
  <c r="E119" i="26"/>
  <c r="G118" i="26"/>
  <c r="E118" i="26"/>
  <c r="G117" i="26"/>
  <c r="E117" i="26"/>
  <c r="G116" i="26"/>
  <c r="E116" i="26"/>
  <c r="G115" i="26"/>
  <c r="E115" i="26"/>
  <c r="G114" i="26"/>
  <c r="E114" i="26"/>
  <c r="G113" i="26"/>
  <c r="E113" i="26"/>
  <c r="G112" i="26"/>
  <c r="E112" i="26"/>
  <c r="G111" i="26"/>
  <c r="E111" i="26"/>
  <c r="G110" i="26"/>
  <c r="E110" i="26"/>
  <c r="G109" i="26"/>
  <c r="E109" i="26"/>
  <c r="G108" i="26"/>
  <c r="E108" i="26"/>
  <c r="G107" i="26"/>
  <c r="E107" i="26"/>
  <c r="G106" i="26"/>
  <c r="E106" i="26"/>
  <c r="G105" i="26"/>
  <c r="E105" i="26"/>
  <c r="G104" i="26"/>
  <c r="E104" i="26"/>
  <c r="G103" i="26"/>
  <c r="E103" i="26"/>
  <c r="G102" i="26"/>
  <c r="E102" i="26"/>
  <c r="G101" i="26"/>
  <c r="E101" i="26"/>
  <c r="G100" i="26"/>
  <c r="E100" i="26"/>
  <c r="G99" i="26"/>
  <c r="E99" i="26"/>
  <c r="G98" i="26"/>
  <c r="E98" i="26"/>
  <c r="G97" i="26"/>
  <c r="E97" i="26"/>
  <c r="G96" i="26"/>
  <c r="E96" i="26"/>
  <c r="G95" i="26"/>
  <c r="E95" i="26"/>
  <c r="G94" i="26"/>
  <c r="E94" i="26"/>
  <c r="G93" i="26"/>
  <c r="E93" i="26"/>
  <c r="G92" i="26"/>
  <c r="E92" i="26"/>
  <c r="G91" i="26"/>
  <c r="E91" i="26"/>
  <c r="G90" i="26"/>
  <c r="E90" i="26"/>
  <c r="G89" i="26"/>
  <c r="E89" i="26"/>
  <c r="G88" i="26"/>
  <c r="E88" i="26"/>
  <c r="G87" i="26"/>
  <c r="E87" i="26"/>
  <c r="G86" i="26"/>
  <c r="E86" i="26"/>
  <c r="G85" i="26"/>
  <c r="E85" i="26"/>
  <c r="G84" i="26"/>
  <c r="E84" i="26"/>
  <c r="G83" i="26"/>
  <c r="E83" i="26"/>
  <c r="G82" i="26"/>
  <c r="E82" i="26"/>
  <c r="G81" i="26"/>
  <c r="E81" i="26"/>
  <c r="G80" i="26"/>
  <c r="E80" i="26"/>
  <c r="G79" i="26"/>
  <c r="E79" i="26"/>
  <c r="G78" i="26"/>
  <c r="E78" i="26"/>
  <c r="G77" i="26"/>
  <c r="E77" i="26"/>
  <c r="G76" i="26"/>
  <c r="E76" i="26"/>
  <c r="G75" i="26"/>
  <c r="E75" i="26"/>
  <c r="G74" i="26"/>
  <c r="E74" i="26"/>
  <c r="G73" i="26"/>
  <c r="E73" i="26"/>
  <c r="G72" i="26"/>
  <c r="E72" i="26"/>
  <c r="G71" i="26"/>
  <c r="E71" i="26"/>
  <c r="G70" i="26"/>
  <c r="E70" i="26"/>
  <c r="G69" i="26"/>
  <c r="E69" i="26"/>
  <c r="G68" i="26"/>
  <c r="E68" i="26"/>
  <c r="G67" i="26"/>
  <c r="E67" i="26"/>
  <c r="G66" i="26"/>
  <c r="E66" i="26"/>
  <c r="G65" i="26"/>
  <c r="E65" i="26"/>
  <c r="G64" i="26"/>
  <c r="E64" i="26"/>
  <c r="G63" i="26"/>
  <c r="E63" i="26"/>
  <c r="G62" i="26"/>
  <c r="E62" i="26"/>
  <c r="G61" i="26"/>
  <c r="E61" i="26"/>
  <c r="G60" i="26"/>
  <c r="E60" i="26"/>
  <c r="G59" i="26"/>
  <c r="E59" i="26"/>
  <c r="G58" i="26"/>
  <c r="E58" i="26"/>
  <c r="G57" i="26"/>
  <c r="E57" i="26"/>
  <c r="G56" i="26"/>
  <c r="E56" i="26"/>
  <c r="G55" i="26"/>
  <c r="E55" i="26"/>
  <c r="G54" i="26"/>
  <c r="E54" i="26"/>
  <c r="G53" i="26"/>
  <c r="E53" i="26"/>
  <c r="G52" i="26"/>
  <c r="E52" i="26"/>
  <c r="G51" i="26"/>
  <c r="E51" i="26"/>
  <c r="G50" i="26"/>
  <c r="E50" i="26"/>
  <c r="G49" i="26"/>
  <c r="E49" i="26"/>
  <c r="G48" i="26"/>
  <c r="E48" i="26"/>
  <c r="G47" i="26"/>
  <c r="E47" i="26"/>
  <c r="G46" i="26"/>
  <c r="E46" i="26"/>
  <c r="G45" i="26"/>
  <c r="E45" i="26"/>
  <c r="G44" i="26"/>
  <c r="E44" i="26"/>
  <c r="G43" i="26"/>
  <c r="E43" i="26"/>
  <c r="G42" i="26"/>
  <c r="E42" i="26"/>
  <c r="G41" i="26"/>
  <c r="E41" i="26"/>
  <c r="G40" i="26"/>
  <c r="E40" i="26"/>
  <c r="G39" i="26"/>
  <c r="E39" i="26"/>
  <c r="G38" i="26"/>
  <c r="E38" i="26"/>
  <c r="G37" i="26"/>
  <c r="E37" i="26"/>
  <c r="G36" i="26"/>
  <c r="E36" i="26"/>
  <c r="G35" i="26"/>
  <c r="E35" i="26"/>
  <c r="G34" i="26"/>
  <c r="E34" i="26"/>
  <c r="G33" i="26"/>
  <c r="E33" i="26"/>
  <c r="G32" i="26"/>
  <c r="E32" i="26"/>
  <c r="G31" i="26"/>
  <c r="E31" i="26"/>
  <c r="G30" i="26"/>
  <c r="E30" i="26"/>
  <c r="G29" i="26"/>
  <c r="E29" i="26"/>
  <c r="G28" i="26"/>
  <c r="E28" i="26"/>
  <c r="G27" i="26"/>
  <c r="E27" i="26"/>
  <c r="G26" i="26"/>
  <c r="E26" i="26"/>
  <c r="G25" i="26"/>
  <c r="E25" i="26"/>
  <c r="G24" i="26"/>
  <c r="E24" i="26"/>
  <c r="G23" i="26"/>
  <c r="E23" i="26"/>
  <c r="G22" i="26"/>
  <c r="E22" i="26"/>
  <c r="G21" i="26"/>
  <c r="E21" i="26"/>
  <c r="G20" i="26"/>
  <c r="E20" i="26"/>
  <c r="G19" i="26"/>
  <c r="E19" i="26"/>
  <c r="G18" i="26"/>
  <c r="E18" i="26"/>
  <c r="G17" i="26"/>
  <c r="E17" i="26"/>
  <c r="G16" i="26"/>
  <c r="E16" i="26"/>
  <c r="G15" i="26"/>
  <c r="E15" i="26"/>
  <c r="G14" i="26"/>
  <c r="E14" i="26"/>
  <c r="G13" i="26"/>
  <c r="E13" i="26"/>
  <c r="G12" i="26"/>
  <c r="E12" i="26"/>
  <c r="G11" i="26"/>
  <c r="E11" i="26"/>
  <c r="G10" i="26"/>
  <c r="E10" i="26"/>
  <c r="G9" i="26"/>
  <c r="E9" i="26"/>
  <c r="G8" i="26"/>
  <c r="E8" i="26"/>
  <c r="G7" i="26"/>
  <c r="E7" i="26"/>
  <c r="G6" i="26"/>
  <c r="E6" i="26"/>
  <c r="G5" i="26"/>
  <c r="E5" i="26"/>
  <c r="G4" i="26"/>
  <c r="E4" i="26"/>
  <c r="G3" i="26"/>
  <c r="E3" i="26"/>
  <c r="G2" i="26"/>
  <c r="E2" i="26"/>
  <c r="F116" i="25"/>
  <c r="G116" i="25" s="1"/>
  <c r="F115" i="25"/>
  <c r="G115" i="25" s="1"/>
  <c r="F114" i="25"/>
  <c r="G114" i="25" s="1"/>
  <c r="F113" i="25"/>
  <c r="G113" i="25" s="1"/>
  <c r="F112" i="25"/>
  <c r="G112" i="25" s="1"/>
  <c r="F111" i="25"/>
  <c r="G111" i="25" s="1"/>
  <c r="F110" i="25"/>
  <c r="G110" i="25" s="1"/>
  <c r="F109" i="25"/>
  <c r="G109" i="25" s="1"/>
  <c r="F108" i="25"/>
  <c r="G108" i="25" s="1"/>
  <c r="F107" i="25"/>
  <c r="G107" i="25" s="1"/>
  <c r="F106" i="25"/>
  <c r="G106" i="25" s="1"/>
  <c r="F105" i="25"/>
  <c r="G105" i="25" s="1"/>
  <c r="F104" i="25"/>
  <c r="G104" i="25" s="1"/>
  <c r="F103" i="25"/>
  <c r="G103" i="25" s="1"/>
  <c r="F102" i="25"/>
  <c r="G102" i="25" s="1"/>
  <c r="F101" i="25"/>
  <c r="G101" i="25" s="1"/>
  <c r="F100" i="25"/>
  <c r="G100" i="25" s="1"/>
  <c r="F99" i="25"/>
  <c r="G99" i="25" s="1"/>
  <c r="F98" i="25"/>
  <c r="G98" i="25" s="1"/>
  <c r="F97" i="25"/>
  <c r="G97" i="25" s="1"/>
  <c r="F96" i="25"/>
  <c r="G96" i="25" s="1"/>
  <c r="F95" i="25"/>
  <c r="G95" i="25" s="1"/>
  <c r="F94" i="25"/>
  <c r="G94" i="25" s="1"/>
  <c r="F93" i="25"/>
  <c r="G93" i="25" s="1"/>
  <c r="F92" i="25"/>
  <c r="G92" i="25" s="1"/>
  <c r="F91" i="25"/>
  <c r="G91" i="25" s="1"/>
  <c r="F90" i="25"/>
  <c r="G90" i="25" s="1"/>
  <c r="F89" i="25"/>
  <c r="G89" i="25" s="1"/>
  <c r="F88" i="25"/>
  <c r="G88" i="25" s="1"/>
  <c r="F87" i="25"/>
  <c r="G87" i="25" s="1"/>
  <c r="F86" i="25"/>
  <c r="G86" i="25" s="1"/>
  <c r="F85" i="25"/>
  <c r="G85" i="25" s="1"/>
  <c r="F84" i="25"/>
  <c r="G84" i="25" s="1"/>
  <c r="F83" i="25"/>
  <c r="G83" i="25" s="1"/>
  <c r="F82" i="25"/>
  <c r="G82" i="25" s="1"/>
  <c r="F81" i="25"/>
  <c r="G81" i="25" s="1"/>
  <c r="F80" i="25"/>
  <c r="G80" i="25" s="1"/>
  <c r="F79" i="25"/>
  <c r="G79" i="25" s="1"/>
  <c r="F78" i="25"/>
  <c r="G78" i="25" s="1"/>
  <c r="F77" i="25"/>
  <c r="G77" i="25" s="1"/>
  <c r="F76" i="25"/>
  <c r="G76" i="25" s="1"/>
  <c r="F75" i="25"/>
  <c r="G75" i="25" s="1"/>
  <c r="F74" i="25"/>
  <c r="G74" i="25" s="1"/>
  <c r="F73" i="25"/>
  <c r="G73" i="25" s="1"/>
  <c r="F72" i="25"/>
  <c r="G72" i="25" s="1"/>
  <c r="F71" i="25"/>
  <c r="G71" i="25" s="1"/>
  <c r="F70" i="25"/>
  <c r="G70" i="25" s="1"/>
  <c r="F69" i="25"/>
  <c r="G69" i="25" s="1"/>
  <c r="F68" i="25"/>
  <c r="G68" i="25" s="1"/>
  <c r="F67" i="25"/>
  <c r="G67" i="25" s="1"/>
  <c r="F66" i="25"/>
  <c r="G66" i="25" s="1"/>
  <c r="F65" i="25"/>
  <c r="G65" i="25" s="1"/>
  <c r="F64" i="25"/>
  <c r="G64" i="25" s="1"/>
  <c r="F63" i="25"/>
  <c r="G63" i="25" s="1"/>
  <c r="F62" i="25"/>
  <c r="G62" i="25" s="1"/>
  <c r="F61" i="25"/>
  <c r="G61" i="25" s="1"/>
  <c r="F60" i="25"/>
  <c r="G60" i="25" s="1"/>
  <c r="F59" i="25"/>
  <c r="G59" i="25" s="1"/>
  <c r="F58" i="25"/>
  <c r="G58" i="25" s="1"/>
  <c r="F57" i="25"/>
  <c r="G57" i="25" s="1"/>
  <c r="F56" i="25"/>
  <c r="G56" i="25" s="1"/>
  <c r="F55" i="25"/>
  <c r="G55" i="25" s="1"/>
  <c r="F54" i="25"/>
  <c r="G54" i="25" s="1"/>
  <c r="F53" i="25"/>
  <c r="G53" i="25" s="1"/>
  <c r="F52" i="25"/>
  <c r="G52" i="25" s="1"/>
  <c r="F51" i="25"/>
  <c r="G51" i="25" s="1"/>
  <c r="F50" i="25"/>
  <c r="G50" i="25" s="1"/>
  <c r="F49" i="25"/>
  <c r="G49" i="25" s="1"/>
  <c r="F48" i="25"/>
  <c r="G48" i="25" s="1"/>
  <c r="F47" i="25"/>
  <c r="G47" i="25" s="1"/>
  <c r="F46" i="25"/>
  <c r="G46" i="25" s="1"/>
  <c r="F45" i="25"/>
  <c r="G45" i="25" s="1"/>
  <c r="F44" i="25"/>
  <c r="G44" i="25" s="1"/>
  <c r="F43" i="25"/>
  <c r="G43" i="25" s="1"/>
  <c r="F42" i="25"/>
  <c r="G42" i="25" s="1"/>
  <c r="F41" i="25"/>
  <c r="G41" i="25" s="1"/>
  <c r="F40" i="25"/>
  <c r="G40" i="25" s="1"/>
  <c r="F39" i="25"/>
  <c r="G39" i="25" s="1"/>
  <c r="F38" i="25"/>
  <c r="G38" i="25" s="1"/>
  <c r="F37" i="25"/>
  <c r="G37" i="25" s="1"/>
  <c r="F36" i="25"/>
  <c r="G36" i="25" s="1"/>
  <c r="F35" i="25"/>
  <c r="G35" i="25" s="1"/>
  <c r="F34" i="25"/>
  <c r="G34" i="25" s="1"/>
  <c r="F33" i="25"/>
  <c r="G33" i="25" s="1"/>
  <c r="F32" i="25"/>
  <c r="G32" i="25" s="1"/>
  <c r="F31" i="25"/>
  <c r="G31" i="25" s="1"/>
  <c r="F30" i="25"/>
  <c r="G30" i="25" s="1"/>
  <c r="F29" i="25"/>
  <c r="G29" i="25" s="1"/>
  <c r="F28" i="25"/>
  <c r="G28" i="25" s="1"/>
  <c r="F27" i="25"/>
  <c r="G27" i="25" s="1"/>
  <c r="F26" i="25"/>
  <c r="G26" i="25" s="1"/>
  <c r="F25" i="25"/>
  <c r="G25" i="25" s="1"/>
  <c r="F24" i="25"/>
  <c r="G24" i="25" s="1"/>
  <c r="F23" i="25"/>
  <c r="G23" i="25" s="1"/>
  <c r="F22" i="25"/>
  <c r="G22" i="25" s="1"/>
  <c r="F21" i="25"/>
  <c r="G21" i="25" s="1"/>
  <c r="F20" i="25"/>
  <c r="G20" i="25" s="1"/>
  <c r="F19" i="25"/>
  <c r="G19" i="25" s="1"/>
  <c r="F18" i="25"/>
  <c r="G18" i="25" s="1"/>
  <c r="F17" i="25"/>
  <c r="G17" i="25" s="1"/>
  <c r="F16" i="25"/>
  <c r="G16" i="25" s="1"/>
  <c r="F15" i="25"/>
  <c r="G15" i="25" s="1"/>
  <c r="F14" i="25"/>
  <c r="G14" i="25" s="1"/>
  <c r="F13" i="25"/>
  <c r="G13" i="25" s="1"/>
  <c r="F12" i="25"/>
  <c r="G12" i="25" s="1"/>
  <c r="F11" i="25"/>
  <c r="G11" i="25" s="1"/>
  <c r="F10" i="25"/>
  <c r="G10" i="25" s="1"/>
  <c r="F9" i="25"/>
  <c r="G9" i="25" s="1"/>
  <c r="F8" i="25"/>
  <c r="G8" i="25" s="1"/>
  <c r="F7" i="25"/>
  <c r="G7" i="25" s="1"/>
  <c r="F6" i="25"/>
  <c r="G6" i="25" s="1"/>
  <c r="F5" i="25"/>
  <c r="G5" i="25" s="1"/>
  <c r="F4" i="25"/>
  <c r="G4" i="25" s="1"/>
  <c r="F3" i="25"/>
  <c r="G3" i="25" s="1"/>
  <c r="F2" i="25"/>
  <c r="G2" i="25" s="1"/>
  <c r="F5" i="3"/>
  <c r="J6" i="24"/>
  <c r="C36" i="24" s="1"/>
  <c r="G36" i="24" s="1"/>
  <c r="F36" i="24" s="1"/>
  <c r="E44" i="24"/>
  <c r="N42" i="24"/>
  <c r="M42" i="24"/>
  <c r="N41" i="24"/>
  <c r="M41" i="24"/>
  <c r="G41" i="24"/>
  <c r="F41" i="24"/>
  <c r="N40" i="24"/>
  <c r="M40" i="24"/>
  <c r="N39" i="24"/>
  <c r="M39" i="24"/>
  <c r="N38" i="24"/>
  <c r="M38" i="24"/>
  <c r="N37" i="24"/>
  <c r="M37" i="24"/>
  <c r="C37" i="24"/>
  <c r="G37" i="24" s="1"/>
  <c r="F37" i="24" s="1"/>
  <c r="N36" i="24"/>
  <c r="M36" i="24"/>
  <c r="N35" i="24"/>
  <c r="M35" i="24"/>
  <c r="N34" i="24"/>
  <c r="M34" i="24"/>
  <c r="N33" i="24"/>
  <c r="M33" i="24"/>
  <c r="N32" i="24"/>
  <c r="M32" i="24"/>
  <c r="N31" i="24"/>
  <c r="M31" i="24"/>
  <c r="C31" i="24"/>
  <c r="D44" i="24" s="1"/>
  <c r="N30" i="24"/>
  <c r="M30" i="24"/>
  <c r="N29" i="24"/>
  <c r="M29" i="24"/>
  <c r="N28" i="24"/>
  <c r="M28" i="24"/>
  <c r="N27" i="24"/>
  <c r="M27" i="24"/>
  <c r="N26" i="24"/>
  <c r="M26" i="24"/>
  <c r="N25" i="24"/>
  <c r="M25" i="24"/>
  <c r="N24" i="24"/>
  <c r="M24" i="24"/>
  <c r="N23" i="24"/>
  <c r="M23" i="24"/>
  <c r="N22" i="24"/>
  <c r="M22" i="24"/>
  <c r="N21" i="24"/>
  <c r="M21" i="24"/>
  <c r="C21" i="24"/>
  <c r="G21" i="24" s="1"/>
  <c r="F21" i="24" s="1"/>
  <c r="N20" i="24"/>
  <c r="M20" i="24"/>
  <c r="N19" i="24"/>
  <c r="M19" i="24"/>
  <c r="N18" i="24"/>
  <c r="M18" i="24"/>
  <c r="N17" i="24"/>
  <c r="M17" i="24"/>
  <c r="N16" i="24"/>
  <c r="M16" i="24"/>
  <c r="N15" i="24"/>
  <c r="M15" i="24"/>
  <c r="N14" i="24"/>
  <c r="M14" i="24"/>
  <c r="N13" i="24"/>
  <c r="M13" i="24"/>
  <c r="N12" i="24"/>
  <c r="M12" i="24"/>
  <c r="N11" i="24"/>
  <c r="M11" i="24"/>
  <c r="N10" i="24"/>
  <c r="M10" i="24"/>
  <c r="N9" i="24"/>
  <c r="M9" i="24"/>
  <c r="N8" i="24"/>
  <c r="M8" i="24"/>
  <c r="N7" i="24"/>
  <c r="M7" i="24"/>
  <c r="N6" i="24"/>
  <c r="M6" i="24"/>
  <c r="K6" i="24"/>
  <c r="N5" i="24"/>
  <c r="M5" i="24"/>
  <c r="K5" i="24"/>
  <c r="C42" i="24" s="1"/>
  <c r="G42" i="24" s="1"/>
  <c r="F42" i="24" s="1"/>
  <c r="N4" i="24"/>
  <c r="M4" i="24"/>
  <c r="N3" i="24"/>
  <c r="M3" i="24"/>
  <c r="C3" i="24"/>
  <c r="G3" i="24" s="1"/>
  <c r="F3" i="24" s="1"/>
  <c r="N2" i="24"/>
  <c r="M2" i="24"/>
  <c r="C19" i="23"/>
  <c r="C15" i="23"/>
  <c r="C11" i="23"/>
  <c r="C4" i="23"/>
  <c r="K6" i="23"/>
  <c r="K5" i="23"/>
  <c r="C31" i="23"/>
  <c r="G21" i="23"/>
  <c r="C21" i="23"/>
  <c r="C37" i="23"/>
  <c r="C3" i="23"/>
  <c r="G3" i="23"/>
  <c r="F3" i="23" s="1"/>
  <c r="G11" i="23"/>
  <c r="F11" i="23" s="1"/>
  <c r="G19" i="23"/>
  <c r="F19" i="23" s="1"/>
  <c r="G31" i="23"/>
  <c r="F31" i="23" s="1"/>
  <c r="G37" i="23"/>
  <c r="G41" i="23"/>
  <c r="F41" i="23" s="1"/>
  <c r="D44" i="23"/>
  <c r="N42" i="23"/>
  <c r="M42" i="23"/>
  <c r="N41" i="23"/>
  <c r="M41" i="23"/>
  <c r="N40" i="23"/>
  <c r="M40" i="23"/>
  <c r="N39" i="23"/>
  <c r="M39" i="23"/>
  <c r="N38" i="23"/>
  <c r="M38" i="23"/>
  <c r="N37" i="23"/>
  <c r="M37" i="23"/>
  <c r="F37" i="23"/>
  <c r="N36" i="23"/>
  <c r="M36" i="23"/>
  <c r="N35" i="23"/>
  <c r="M35" i="23"/>
  <c r="N34" i="23"/>
  <c r="M34" i="23"/>
  <c r="N33" i="23"/>
  <c r="M33" i="23"/>
  <c r="N32" i="23"/>
  <c r="M32" i="23"/>
  <c r="N31" i="23"/>
  <c r="M31" i="23"/>
  <c r="N30" i="23"/>
  <c r="M30" i="23"/>
  <c r="N29" i="23"/>
  <c r="M29" i="23"/>
  <c r="N28" i="23"/>
  <c r="M28" i="23"/>
  <c r="N27" i="23"/>
  <c r="M27" i="23"/>
  <c r="N26" i="23"/>
  <c r="M26" i="23"/>
  <c r="N25" i="23"/>
  <c r="M25" i="23"/>
  <c r="N24" i="23"/>
  <c r="M24" i="23"/>
  <c r="N23" i="23"/>
  <c r="M23" i="23"/>
  <c r="N22" i="23"/>
  <c r="M22" i="23"/>
  <c r="N21" i="23"/>
  <c r="M21" i="23"/>
  <c r="F21" i="23"/>
  <c r="N20" i="23"/>
  <c r="M20" i="23"/>
  <c r="N19" i="23"/>
  <c r="M19" i="23"/>
  <c r="N18" i="23"/>
  <c r="M18" i="23"/>
  <c r="N17" i="23"/>
  <c r="M17" i="23"/>
  <c r="N16" i="23"/>
  <c r="M16" i="23"/>
  <c r="N15" i="23"/>
  <c r="M15" i="23"/>
  <c r="N14" i="23"/>
  <c r="M14" i="23"/>
  <c r="N13" i="23"/>
  <c r="M13" i="23"/>
  <c r="N12" i="23"/>
  <c r="M12" i="23"/>
  <c r="N11" i="23"/>
  <c r="M11" i="23"/>
  <c r="N10" i="23"/>
  <c r="M10" i="23"/>
  <c r="N9" i="23"/>
  <c r="M9" i="23"/>
  <c r="N8" i="23"/>
  <c r="M8" i="23"/>
  <c r="N7" i="23"/>
  <c r="M7" i="23"/>
  <c r="N6" i="23"/>
  <c r="M6" i="23"/>
  <c r="N5" i="23"/>
  <c r="M5" i="23"/>
  <c r="N4" i="23"/>
  <c r="M4" i="23"/>
  <c r="N3" i="23"/>
  <c r="M3" i="23"/>
  <c r="N2" i="23"/>
  <c r="M2" i="23"/>
  <c r="E44" i="23"/>
  <c r="C14" i="22"/>
  <c r="G14" i="22" s="1"/>
  <c r="C13" i="22"/>
  <c r="C11" i="22"/>
  <c r="C10" i="22"/>
  <c r="C17" i="22"/>
  <c r="E17" i="22"/>
  <c r="C16" i="22"/>
  <c r="C15" i="22"/>
  <c r="C9" i="22"/>
  <c r="C8" i="22"/>
  <c r="G8" i="22"/>
  <c r="C7" i="22"/>
  <c r="G7" i="22" s="1"/>
  <c r="F7" i="22" s="1"/>
  <c r="C6" i="22"/>
  <c r="G6" i="22"/>
  <c r="F6" i="22" s="1"/>
  <c r="C5" i="22"/>
  <c r="C4" i="22"/>
  <c r="C3" i="22"/>
  <c r="C2" i="22"/>
  <c r="G16" i="22"/>
  <c r="F16" i="22" s="1"/>
  <c r="G15" i="22"/>
  <c r="G13" i="22"/>
  <c r="F13" i="22" s="1"/>
  <c r="G12" i="22"/>
  <c r="F12" i="22" s="1"/>
  <c r="G11" i="22"/>
  <c r="F11" i="22" s="1"/>
  <c r="G10" i="22"/>
  <c r="F10" i="22" s="1"/>
  <c r="G9" i="22"/>
  <c r="G5" i="22"/>
  <c r="F5" i="22" s="1"/>
  <c r="G4" i="22"/>
  <c r="F4" i="22" s="1"/>
  <c r="G3" i="22"/>
  <c r="G2" i="22"/>
  <c r="F2" i="22" s="1"/>
  <c r="F9" i="22"/>
  <c r="C40" i="24" l="1"/>
  <c r="G40" i="24" s="1"/>
  <c r="F40" i="24" s="1"/>
  <c r="C38" i="24"/>
  <c r="G38" i="24" s="1"/>
  <c r="F38" i="24" s="1"/>
  <c r="C39" i="24"/>
  <c r="G39" i="24" s="1"/>
  <c r="F39" i="24" s="1"/>
  <c r="C2" i="24"/>
  <c r="C5" i="24"/>
  <c r="G5" i="24" s="1"/>
  <c r="F5" i="24" s="1"/>
  <c r="C7" i="24"/>
  <c r="G7" i="24" s="1"/>
  <c r="F7" i="24" s="1"/>
  <c r="G2" i="24"/>
  <c r="F2" i="24" s="1"/>
  <c r="C13" i="24"/>
  <c r="G13" i="24" s="1"/>
  <c r="F13" i="24" s="1"/>
  <c r="C29" i="24"/>
  <c r="G29" i="24" s="1"/>
  <c r="F29" i="24" s="1"/>
  <c r="C10" i="24"/>
  <c r="G10" i="24" s="1"/>
  <c r="F10" i="24" s="1"/>
  <c r="C18" i="24"/>
  <c r="G18" i="24" s="1"/>
  <c r="F18" i="24" s="1"/>
  <c r="C26" i="24"/>
  <c r="G26" i="24" s="1"/>
  <c r="F26" i="24" s="1"/>
  <c r="C34" i="24"/>
  <c r="G34" i="24" s="1"/>
  <c r="F34" i="24" s="1"/>
  <c r="C15" i="24"/>
  <c r="G15" i="24" s="1"/>
  <c r="F15" i="24" s="1"/>
  <c r="C23" i="24"/>
  <c r="G23" i="24" s="1"/>
  <c r="F23" i="24" s="1"/>
  <c r="C4" i="24"/>
  <c r="G4" i="24" s="1"/>
  <c r="F4" i="24" s="1"/>
  <c r="C12" i="24"/>
  <c r="G12" i="24" s="1"/>
  <c r="F12" i="24" s="1"/>
  <c r="C28" i="24"/>
  <c r="G28" i="24" s="1"/>
  <c r="F28" i="24" s="1"/>
  <c r="C9" i="24"/>
  <c r="G9" i="24" s="1"/>
  <c r="F9" i="24" s="1"/>
  <c r="C17" i="24"/>
  <c r="G17" i="24" s="1"/>
  <c r="F17" i="24" s="1"/>
  <c r="C25" i="24"/>
  <c r="G25" i="24" s="1"/>
  <c r="F25" i="24" s="1"/>
  <c r="G31" i="24"/>
  <c r="F31" i="24" s="1"/>
  <c r="C33" i="24"/>
  <c r="G33" i="24" s="1"/>
  <c r="F33" i="24" s="1"/>
  <c r="C6" i="24"/>
  <c r="G6" i="24" s="1"/>
  <c r="F6" i="24" s="1"/>
  <c r="C14" i="24"/>
  <c r="G14" i="24" s="1"/>
  <c r="F14" i="24" s="1"/>
  <c r="C30" i="24"/>
  <c r="G30" i="24" s="1"/>
  <c r="F30" i="24" s="1"/>
  <c r="C11" i="24"/>
  <c r="G11" i="24" s="1"/>
  <c r="F11" i="24" s="1"/>
  <c r="C19" i="24"/>
  <c r="G19" i="24" s="1"/>
  <c r="F19" i="24" s="1"/>
  <c r="C27" i="24"/>
  <c r="G27" i="24" s="1"/>
  <c r="F27" i="24" s="1"/>
  <c r="C35" i="24"/>
  <c r="G35" i="24" s="1"/>
  <c r="F35" i="24" s="1"/>
  <c r="C20" i="24"/>
  <c r="G20" i="24" s="1"/>
  <c r="F20" i="24" s="1"/>
  <c r="C22" i="24"/>
  <c r="G22" i="24" s="1"/>
  <c r="F22" i="24" s="1"/>
  <c r="C8" i="24"/>
  <c r="G8" i="24" s="1"/>
  <c r="F8" i="24" s="1"/>
  <c r="C16" i="24"/>
  <c r="G16" i="24" s="1"/>
  <c r="F16" i="24" s="1"/>
  <c r="C24" i="24"/>
  <c r="G24" i="24" s="1"/>
  <c r="F24" i="24" s="1"/>
  <c r="C32" i="24"/>
  <c r="G32" i="24" s="1"/>
  <c r="F32" i="24" s="1"/>
  <c r="G15" i="23"/>
  <c r="F15" i="23" s="1"/>
  <c r="G17" i="22"/>
  <c r="F17" i="22" s="1"/>
  <c r="F3" i="22"/>
  <c r="F8" i="22"/>
  <c r="F15" i="22"/>
  <c r="F14" i="22"/>
  <c r="G2" i="6"/>
  <c r="G2" i="19"/>
  <c r="F2" i="19" s="1"/>
  <c r="G3" i="19"/>
  <c r="F3" i="19" s="1"/>
  <c r="G10" i="19"/>
  <c r="G12" i="19"/>
  <c r="G15" i="19"/>
  <c r="E4" i="19"/>
  <c r="G2" i="14"/>
  <c r="T18" i="18"/>
  <c r="F3" i="18"/>
  <c r="R18" i="18"/>
  <c r="C21" i="19"/>
  <c r="G21" i="19" s="1"/>
  <c r="F21" i="19" s="1"/>
  <c r="C13" i="19"/>
  <c r="G13" i="19" s="1"/>
  <c r="C9" i="19"/>
  <c r="G9" i="19" s="1"/>
  <c r="C11" i="19"/>
  <c r="G11" i="19" s="1"/>
  <c r="D11" i="19"/>
  <c r="E11" i="19"/>
  <c r="C20" i="19"/>
  <c r="G20" i="19" s="1"/>
  <c r="C19" i="19"/>
  <c r="G19" i="19" s="1"/>
  <c r="C18" i="19"/>
  <c r="G18" i="19" s="1"/>
  <c r="C17" i="19"/>
  <c r="G17" i="19" s="1"/>
  <c r="C16" i="19"/>
  <c r="G16" i="19" s="1"/>
  <c r="F16" i="19" s="1"/>
  <c r="C8" i="19"/>
  <c r="G8" i="19" s="1"/>
  <c r="F8" i="19" s="1"/>
  <c r="C22" i="19"/>
  <c r="G22" i="19" s="1"/>
  <c r="C14" i="19"/>
  <c r="G14" i="19" s="1"/>
  <c r="C7" i="19"/>
  <c r="G7" i="19" s="1"/>
  <c r="C6" i="19"/>
  <c r="G6" i="19" s="1"/>
  <c r="C4" i="19"/>
  <c r="G4" i="19" s="1"/>
  <c r="C5" i="19"/>
  <c r="G5" i="19" s="1"/>
  <c r="C3" i="19"/>
  <c r="E22" i="19"/>
  <c r="E21" i="19"/>
  <c r="E20" i="19"/>
  <c r="E19" i="19"/>
  <c r="E18" i="19"/>
  <c r="E17" i="19"/>
  <c r="E16" i="19"/>
  <c r="E15" i="19"/>
  <c r="F15" i="19" s="1"/>
  <c r="E14" i="19"/>
  <c r="E13" i="19"/>
  <c r="E12" i="19"/>
  <c r="E10" i="19"/>
  <c r="F10" i="19" s="1"/>
  <c r="E9" i="19"/>
  <c r="E8" i="19"/>
  <c r="E7" i="19"/>
  <c r="E6" i="19"/>
  <c r="E5" i="19"/>
  <c r="E3" i="19"/>
  <c r="E2" i="19"/>
  <c r="F42" i="18"/>
  <c r="F41" i="18"/>
  <c r="F40" i="18"/>
  <c r="K40" i="18" s="1"/>
  <c r="F39" i="18"/>
  <c r="K39" i="18" s="1"/>
  <c r="F38" i="18"/>
  <c r="K38" i="18" s="1"/>
  <c r="F37" i="18"/>
  <c r="F36" i="18"/>
  <c r="K36" i="18" s="1"/>
  <c r="F35" i="18"/>
  <c r="K35" i="18" s="1"/>
  <c r="F34" i="18"/>
  <c r="K34" i="18" s="1"/>
  <c r="H34" i="18" s="1"/>
  <c r="F33" i="18"/>
  <c r="K33" i="18" s="1"/>
  <c r="H33" i="18" s="1"/>
  <c r="F32" i="18"/>
  <c r="F31" i="18"/>
  <c r="F30" i="18"/>
  <c r="F29" i="18"/>
  <c r="F28" i="18"/>
  <c r="K28" i="18" s="1"/>
  <c r="F27" i="18"/>
  <c r="K27" i="18" s="1"/>
  <c r="F26" i="18"/>
  <c r="F25" i="18"/>
  <c r="K25" i="18" s="1"/>
  <c r="F24" i="18"/>
  <c r="K24" i="18" s="1"/>
  <c r="F23" i="18"/>
  <c r="F22" i="18"/>
  <c r="F21" i="18"/>
  <c r="F20" i="18"/>
  <c r="K20" i="18" s="1"/>
  <c r="H20" i="18" s="1"/>
  <c r="F19" i="18"/>
  <c r="F18" i="18"/>
  <c r="F17" i="18"/>
  <c r="F16" i="18"/>
  <c r="K16" i="18" s="1"/>
  <c r="F15" i="18"/>
  <c r="K15" i="18" s="1"/>
  <c r="F14" i="18"/>
  <c r="K14" i="18" s="1"/>
  <c r="F13" i="18"/>
  <c r="K13" i="18" s="1"/>
  <c r="F12" i="18"/>
  <c r="K12" i="18" s="1"/>
  <c r="F11" i="18"/>
  <c r="F10" i="18"/>
  <c r="K10" i="18" s="1"/>
  <c r="F9" i="18"/>
  <c r="F8" i="18"/>
  <c r="K8" i="18" s="1"/>
  <c r="F7" i="18"/>
  <c r="K7" i="18" s="1"/>
  <c r="F6" i="18"/>
  <c r="K6" i="18" s="1"/>
  <c r="F5" i="18"/>
  <c r="F4" i="18"/>
  <c r="K4" i="18" s="1"/>
  <c r="H4" i="18" s="1"/>
  <c r="F2" i="18"/>
  <c r="G27" i="18" s="1"/>
  <c r="K31" i="18" s="1"/>
  <c r="G12" i="1"/>
  <c r="G19" i="17"/>
  <c r="I19" i="17" s="1"/>
  <c r="H19" i="17" s="1"/>
  <c r="F19" i="17"/>
  <c r="E19" i="17"/>
  <c r="O18" i="17"/>
  <c r="N18" i="17"/>
  <c r="F18" i="17"/>
  <c r="G18" i="17" s="1"/>
  <c r="I18" i="17" s="1"/>
  <c r="H18" i="17" s="1"/>
  <c r="E18" i="17"/>
  <c r="O17" i="17"/>
  <c r="N17" i="17"/>
  <c r="F17" i="17"/>
  <c r="G17" i="17" s="1"/>
  <c r="I17" i="17" s="1"/>
  <c r="H17" i="17" s="1"/>
  <c r="E17" i="17"/>
  <c r="O16" i="17"/>
  <c r="N16" i="17"/>
  <c r="F16" i="17"/>
  <c r="G16" i="17" s="1"/>
  <c r="I16" i="17" s="1"/>
  <c r="H16" i="17" s="1"/>
  <c r="E16" i="17"/>
  <c r="O15" i="17"/>
  <c r="N15" i="17"/>
  <c r="G15" i="17"/>
  <c r="I15" i="17" s="1"/>
  <c r="H15" i="17" s="1"/>
  <c r="F15" i="17"/>
  <c r="E15" i="17"/>
  <c r="O14" i="17"/>
  <c r="N14" i="17"/>
  <c r="F14" i="17"/>
  <c r="G14" i="17" s="1"/>
  <c r="I14" i="17" s="1"/>
  <c r="H14" i="17" s="1"/>
  <c r="E14" i="17"/>
  <c r="O13" i="17"/>
  <c r="N13" i="17"/>
  <c r="F13" i="17"/>
  <c r="G13" i="17" s="1"/>
  <c r="I13" i="17" s="1"/>
  <c r="H13" i="17" s="1"/>
  <c r="E13" i="17"/>
  <c r="O12" i="17"/>
  <c r="N12" i="17"/>
  <c r="G12" i="17"/>
  <c r="I12" i="17" s="1"/>
  <c r="H12" i="17" s="1"/>
  <c r="F12" i="17"/>
  <c r="E12" i="17"/>
  <c r="O11" i="17"/>
  <c r="N11" i="17"/>
  <c r="F11" i="17"/>
  <c r="G11" i="17" s="1"/>
  <c r="I11" i="17" s="1"/>
  <c r="H11" i="17" s="1"/>
  <c r="E11" i="17"/>
  <c r="O10" i="17"/>
  <c r="N10" i="17"/>
  <c r="F10" i="17"/>
  <c r="G10" i="17" s="1"/>
  <c r="I10" i="17" s="1"/>
  <c r="H10" i="17" s="1"/>
  <c r="E10" i="17"/>
  <c r="O9" i="17"/>
  <c r="N9" i="17"/>
  <c r="F9" i="17"/>
  <c r="G9" i="17" s="1"/>
  <c r="I9" i="17" s="1"/>
  <c r="H9" i="17" s="1"/>
  <c r="E9" i="17"/>
  <c r="O8" i="17"/>
  <c r="N8" i="17"/>
  <c r="F8" i="17"/>
  <c r="G8" i="17" s="1"/>
  <c r="I8" i="17" s="1"/>
  <c r="H8" i="17" s="1"/>
  <c r="E8" i="17"/>
  <c r="O7" i="17"/>
  <c r="N7" i="17"/>
  <c r="F7" i="17"/>
  <c r="G7" i="17" s="1"/>
  <c r="I7" i="17" s="1"/>
  <c r="H7" i="17" s="1"/>
  <c r="E7" i="17"/>
  <c r="O6" i="17"/>
  <c r="N6" i="17"/>
  <c r="F6" i="17"/>
  <c r="G6" i="17" s="1"/>
  <c r="I6" i="17" s="1"/>
  <c r="H6" i="17" s="1"/>
  <c r="E6" i="17"/>
  <c r="O5" i="17"/>
  <c r="N5" i="17"/>
  <c r="F5" i="17"/>
  <c r="G5" i="17" s="1"/>
  <c r="I5" i="17" s="1"/>
  <c r="H5" i="17" s="1"/>
  <c r="E5" i="17"/>
  <c r="O4" i="17"/>
  <c r="N4" i="17"/>
  <c r="F4" i="17"/>
  <c r="G4" i="17" s="1"/>
  <c r="I4" i="17" s="1"/>
  <c r="H4" i="17" s="1"/>
  <c r="E4" i="17"/>
  <c r="O3" i="17"/>
  <c r="N3" i="17"/>
  <c r="F3" i="17"/>
  <c r="G3" i="17" s="1"/>
  <c r="I3" i="17" s="1"/>
  <c r="H3" i="17" s="1"/>
  <c r="E3" i="17"/>
  <c r="O2" i="17"/>
  <c r="N2" i="17"/>
  <c r="F2" i="17"/>
  <c r="G2" i="17" s="1"/>
  <c r="I2" i="17" s="1"/>
  <c r="H2" i="17" s="1"/>
  <c r="E2" i="17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" i="15"/>
  <c r="C44" i="24" l="1"/>
  <c r="C45" i="24" s="1"/>
  <c r="F12" i="19"/>
  <c r="F7" i="19"/>
  <c r="F4" i="19"/>
  <c r="F17" i="19"/>
  <c r="F18" i="19"/>
  <c r="F9" i="19"/>
  <c r="F5" i="19"/>
  <c r="F20" i="19"/>
  <c r="F6" i="19"/>
  <c r="F22" i="19"/>
  <c r="F19" i="19"/>
  <c r="H26" i="18"/>
  <c r="K26" i="18"/>
  <c r="H12" i="18"/>
  <c r="K17" i="18"/>
  <c r="H17" i="18" s="1"/>
  <c r="H13" i="18"/>
  <c r="K23" i="18"/>
  <c r="H23" i="18" s="1"/>
  <c r="K22" i="18"/>
  <c r="H22" i="18" s="1"/>
  <c r="K9" i="18"/>
  <c r="H9" i="18" s="1"/>
  <c r="K18" i="18"/>
  <c r="H18" i="18" s="1"/>
  <c r="K41" i="18"/>
  <c r="H41" i="18" s="1"/>
  <c r="K30" i="18"/>
  <c r="H30" i="18" s="1"/>
  <c r="K42" i="18"/>
  <c r="H42" i="18" s="1"/>
  <c r="H10" i="18"/>
  <c r="H25" i="18"/>
  <c r="K32" i="18"/>
  <c r="H32" i="18" s="1"/>
  <c r="F11" i="19"/>
  <c r="F13" i="19"/>
  <c r="F14" i="19"/>
  <c r="H31" i="18"/>
  <c r="K37" i="18"/>
  <c r="H37" i="18" s="1"/>
  <c r="H40" i="18"/>
  <c r="K29" i="18"/>
  <c r="H29" i="18" s="1"/>
  <c r="K3" i="18"/>
  <c r="H3" i="18" s="1"/>
  <c r="H6" i="18"/>
  <c r="K11" i="18"/>
  <c r="H11" i="18" s="1"/>
  <c r="H14" i="18"/>
  <c r="K19" i="18"/>
  <c r="H19" i="18" s="1"/>
  <c r="H27" i="18"/>
  <c r="H35" i="18"/>
  <c r="H38" i="18"/>
  <c r="K5" i="18"/>
  <c r="H8" i="18"/>
  <c r="H16" i="18"/>
  <c r="K21" i="18"/>
  <c r="H21" i="18" s="1"/>
  <c r="H24" i="18"/>
  <c r="H7" i="18"/>
  <c r="H15" i="18"/>
  <c r="H28" i="18"/>
  <c r="H36" i="18"/>
  <c r="H39" i="18"/>
  <c r="K2" i="18"/>
  <c r="H2" i="18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" i="15"/>
  <c r="G3" i="1"/>
  <c r="G4" i="1"/>
  <c r="G5" i="1"/>
  <c r="G6" i="1"/>
  <c r="G7" i="1"/>
  <c r="G8" i="1"/>
  <c r="G9" i="1"/>
  <c r="G10" i="1"/>
  <c r="G11" i="1"/>
  <c r="G13" i="1"/>
  <c r="G14" i="1"/>
  <c r="G2" i="1"/>
  <c r="I2" i="1" s="1"/>
  <c r="F38" i="8"/>
  <c r="G38" i="8" s="1"/>
  <c r="H44" i="18" l="1"/>
  <c r="D28" i="18" s="1"/>
  <c r="J28" i="18" s="1"/>
  <c r="C28" i="21" s="1"/>
  <c r="D28" i="21" s="1"/>
  <c r="H45" i="18"/>
  <c r="C5" i="18" s="1"/>
  <c r="I5" i="18" s="1"/>
  <c r="C5" i="20" s="1"/>
  <c r="D5" i="20" s="1"/>
  <c r="F5" i="20" s="1"/>
  <c r="F2" i="6"/>
  <c r="F3" i="6"/>
  <c r="F4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G2" i="3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3" i="11"/>
  <c r="E2" i="16"/>
  <c r="G2" i="16"/>
  <c r="E3" i="16"/>
  <c r="G3" i="16"/>
  <c r="E4" i="16"/>
  <c r="G4" i="16"/>
  <c r="E5" i="16"/>
  <c r="G5" i="16"/>
  <c r="E6" i="16"/>
  <c r="G6" i="16"/>
  <c r="E7" i="16"/>
  <c r="G7" i="16"/>
  <c r="E8" i="16"/>
  <c r="G8" i="16"/>
  <c r="E9" i="16"/>
  <c r="G9" i="16"/>
  <c r="E10" i="16"/>
  <c r="G10" i="16"/>
  <c r="E11" i="16"/>
  <c r="G11" i="16"/>
  <c r="E12" i="16"/>
  <c r="G12" i="16"/>
  <c r="E13" i="16"/>
  <c r="G13" i="16"/>
  <c r="E14" i="16"/>
  <c r="G14" i="16"/>
  <c r="E15" i="16"/>
  <c r="G15" i="16"/>
  <c r="E9" i="12"/>
  <c r="G9" i="12"/>
  <c r="E9" i="11"/>
  <c r="G9" i="11"/>
  <c r="F9" i="11" s="1"/>
  <c r="G215" i="16"/>
  <c r="E215" i="16"/>
  <c r="G214" i="16"/>
  <c r="E214" i="16"/>
  <c r="G213" i="16"/>
  <c r="E213" i="16"/>
  <c r="G212" i="16"/>
  <c r="E212" i="16"/>
  <c r="G211" i="16"/>
  <c r="E211" i="16"/>
  <c r="G210" i="16"/>
  <c r="E210" i="16"/>
  <c r="G209" i="16"/>
  <c r="E209" i="16"/>
  <c r="G208" i="16"/>
  <c r="E208" i="16"/>
  <c r="G207" i="16"/>
  <c r="E207" i="16"/>
  <c r="G206" i="16"/>
  <c r="E206" i="16"/>
  <c r="G205" i="16"/>
  <c r="E205" i="16"/>
  <c r="G204" i="16"/>
  <c r="E204" i="16"/>
  <c r="G203" i="16"/>
  <c r="E203" i="16"/>
  <c r="G202" i="16"/>
  <c r="E202" i="16"/>
  <c r="G201" i="16"/>
  <c r="E201" i="16"/>
  <c r="G200" i="16"/>
  <c r="E200" i="16"/>
  <c r="G199" i="16"/>
  <c r="E199" i="16"/>
  <c r="G198" i="16"/>
  <c r="E198" i="16"/>
  <c r="G197" i="16"/>
  <c r="E197" i="16"/>
  <c r="G196" i="16"/>
  <c r="E196" i="16"/>
  <c r="G195" i="16"/>
  <c r="E195" i="16"/>
  <c r="G194" i="16"/>
  <c r="E194" i="16"/>
  <c r="G193" i="16"/>
  <c r="E193" i="16"/>
  <c r="G192" i="16"/>
  <c r="E192" i="16"/>
  <c r="G191" i="16"/>
  <c r="E191" i="16"/>
  <c r="G190" i="16"/>
  <c r="E190" i="16"/>
  <c r="G189" i="16"/>
  <c r="E189" i="16"/>
  <c r="G188" i="16"/>
  <c r="E188" i="16"/>
  <c r="G187" i="16"/>
  <c r="E187" i="16"/>
  <c r="G186" i="16"/>
  <c r="E186" i="16"/>
  <c r="G185" i="16"/>
  <c r="E185" i="16"/>
  <c r="G184" i="16"/>
  <c r="E184" i="16"/>
  <c r="G183" i="16"/>
  <c r="E183" i="16"/>
  <c r="G182" i="16"/>
  <c r="E182" i="16"/>
  <c r="G181" i="16"/>
  <c r="E181" i="16"/>
  <c r="G180" i="16"/>
  <c r="E180" i="16"/>
  <c r="G179" i="16"/>
  <c r="E179" i="16"/>
  <c r="G178" i="16"/>
  <c r="E178" i="16"/>
  <c r="G177" i="16"/>
  <c r="E177" i="16"/>
  <c r="G176" i="16"/>
  <c r="E176" i="16"/>
  <c r="G175" i="16"/>
  <c r="E175" i="16"/>
  <c r="G174" i="16"/>
  <c r="E174" i="16"/>
  <c r="G173" i="16"/>
  <c r="E173" i="16"/>
  <c r="G172" i="16"/>
  <c r="E172" i="16"/>
  <c r="G171" i="16"/>
  <c r="E171" i="16"/>
  <c r="G170" i="16"/>
  <c r="E170" i="16"/>
  <c r="G169" i="16"/>
  <c r="E169" i="16"/>
  <c r="G168" i="16"/>
  <c r="E168" i="16"/>
  <c r="G167" i="16"/>
  <c r="E167" i="16"/>
  <c r="G166" i="16"/>
  <c r="E166" i="16"/>
  <c r="G165" i="16"/>
  <c r="E165" i="16"/>
  <c r="G164" i="16"/>
  <c r="E164" i="16"/>
  <c r="G163" i="16"/>
  <c r="E163" i="16"/>
  <c r="G162" i="16"/>
  <c r="E162" i="16"/>
  <c r="G161" i="16"/>
  <c r="E161" i="16"/>
  <c r="G160" i="16"/>
  <c r="E160" i="16"/>
  <c r="G159" i="16"/>
  <c r="E159" i="16"/>
  <c r="G158" i="16"/>
  <c r="E158" i="16"/>
  <c r="G157" i="16"/>
  <c r="E157" i="16"/>
  <c r="G156" i="16"/>
  <c r="E156" i="16"/>
  <c r="G155" i="16"/>
  <c r="E155" i="16"/>
  <c r="G154" i="16"/>
  <c r="E154" i="16"/>
  <c r="G153" i="16"/>
  <c r="E153" i="16"/>
  <c r="G152" i="16"/>
  <c r="E152" i="16"/>
  <c r="G151" i="16"/>
  <c r="E151" i="16"/>
  <c r="G150" i="16"/>
  <c r="E150" i="16"/>
  <c r="G149" i="16"/>
  <c r="E149" i="16"/>
  <c r="G148" i="16"/>
  <c r="E148" i="16"/>
  <c r="G147" i="16"/>
  <c r="E147" i="16"/>
  <c r="G146" i="16"/>
  <c r="E146" i="16"/>
  <c r="G145" i="16"/>
  <c r="E145" i="16"/>
  <c r="G144" i="16"/>
  <c r="E144" i="16"/>
  <c r="G143" i="16"/>
  <c r="E143" i="16"/>
  <c r="G142" i="16"/>
  <c r="E142" i="16"/>
  <c r="G141" i="16"/>
  <c r="E141" i="16"/>
  <c r="G140" i="16"/>
  <c r="E140" i="16"/>
  <c r="G139" i="16"/>
  <c r="E139" i="16"/>
  <c r="G138" i="16"/>
  <c r="E138" i="16"/>
  <c r="G137" i="16"/>
  <c r="E137" i="16"/>
  <c r="G136" i="16"/>
  <c r="E136" i="16"/>
  <c r="G135" i="16"/>
  <c r="E135" i="16"/>
  <c r="G134" i="16"/>
  <c r="E134" i="16"/>
  <c r="G133" i="16"/>
  <c r="E133" i="16"/>
  <c r="G132" i="16"/>
  <c r="E132" i="16"/>
  <c r="G131" i="16"/>
  <c r="E131" i="16"/>
  <c r="G130" i="16"/>
  <c r="E130" i="16"/>
  <c r="G129" i="16"/>
  <c r="E129" i="16"/>
  <c r="G128" i="16"/>
  <c r="E128" i="16"/>
  <c r="G127" i="16"/>
  <c r="E127" i="16"/>
  <c r="G126" i="16"/>
  <c r="E126" i="16"/>
  <c r="G125" i="16"/>
  <c r="E125" i="16"/>
  <c r="G124" i="16"/>
  <c r="E124" i="16"/>
  <c r="G123" i="16"/>
  <c r="E123" i="16"/>
  <c r="G122" i="16"/>
  <c r="E122" i="16"/>
  <c r="G121" i="16"/>
  <c r="E121" i="16"/>
  <c r="G120" i="16"/>
  <c r="E120" i="16"/>
  <c r="G119" i="16"/>
  <c r="E119" i="16"/>
  <c r="G118" i="16"/>
  <c r="E118" i="16"/>
  <c r="G117" i="16"/>
  <c r="E117" i="16"/>
  <c r="G116" i="16"/>
  <c r="E116" i="16"/>
  <c r="G115" i="16"/>
  <c r="E115" i="16"/>
  <c r="G114" i="16"/>
  <c r="E114" i="16"/>
  <c r="G113" i="16"/>
  <c r="E113" i="16"/>
  <c r="G112" i="16"/>
  <c r="E112" i="16"/>
  <c r="G111" i="16"/>
  <c r="E111" i="16"/>
  <c r="G110" i="16"/>
  <c r="E110" i="16"/>
  <c r="G109" i="16"/>
  <c r="E109" i="16"/>
  <c r="G108" i="16"/>
  <c r="E108" i="16"/>
  <c r="G107" i="16"/>
  <c r="E107" i="16"/>
  <c r="G106" i="16"/>
  <c r="E106" i="16"/>
  <c r="G105" i="16"/>
  <c r="E105" i="16"/>
  <c r="G104" i="16"/>
  <c r="E104" i="16"/>
  <c r="G103" i="16"/>
  <c r="E103" i="16"/>
  <c r="G102" i="16"/>
  <c r="E102" i="16"/>
  <c r="G101" i="16"/>
  <c r="E101" i="16"/>
  <c r="G100" i="16"/>
  <c r="E100" i="16"/>
  <c r="G99" i="16"/>
  <c r="E99" i="16"/>
  <c r="G98" i="16"/>
  <c r="E98" i="16"/>
  <c r="G97" i="16"/>
  <c r="E97" i="16"/>
  <c r="G96" i="16"/>
  <c r="E96" i="16"/>
  <c r="G95" i="16"/>
  <c r="E95" i="16"/>
  <c r="G94" i="16"/>
  <c r="E94" i="16"/>
  <c r="G93" i="16"/>
  <c r="E93" i="16"/>
  <c r="G92" i="16"/>
  <c r="E92" i="16"/>
  <c r="G91" i="16"/>
  <c r="E91" i="16"/>
  <c r="G90" i="16"/>
  <c r="E90" i="16"/>
  <c r="G89" i="16"/>
  <c r="E89" i="16"/>
  <c r="G88" i="16"/>
  <c r="E88" i="16"/>
  <c r="G87" i="16"/>
  <c r="E87" i="16"/>
  <c r="G86" i="16"/>
  <c r="E86" i="16"/>
  <c r="G85" i="16"/>
  <c r="E85" i="16"/>
  <c r="G84" i="16"/>
  <c r="E84" i="16"/>
  <c r="G83" i="16"/>
  <c r="E83" i="16"/>
  <c r="G82" i="16"/>
  <c r="E82" i="16"/>
  <c r="G81" i="16"/>
  <c r="E81" i="16"/>
  <c r="G80" i="16"/>
  <c r="E80" i="16"/>
  <c r="G79" i="16"/>
  <c r="E79" i="16"/>
  <c r="G78" i="16"/>
  <c r="E78" i="16"/>
  <c r="G77" i="16"/>
  <c r="E77" i="16"/>
  <c r="G76" i="16"/>
  <c r="E76" i="16"/>
  <c r="G75" i="16"/>
  <c r="E75" i="16"/>
  <c r="G74" i="16"/>
  <c r="E74" i="16"/>
  <c r="G73" i="16"/>
  <c r="E73" i="16"/>
  <c r="G72" i="16"/>
  <c r="E72" i="16"/>
  <c r="G71" i="16"/>
  <c r="E71" i="16"/>
  <c r="G70" i="16"/>
  <c r="E70" i="16"/>
  <c r="G69" i="16"/>
  <c r="E69" i="16"/>
  <c r="G68" i="16"/>
  <c r="E68" i="16"/>
  <c r="G67" i="16"/>
  <c r="E67" i="16"/>
  <c r="G66" i="16"/>
  <c r="E66" i="16"/>
  <c r="G65" i="16"/>
  <c r="E65" i="16"/>
  <c r="G64" i="16"/>
  <c r="E64" i="16"/>
  <c r="G63" i="16"/>
  <c r="E63" i="16"/>
  <c r="G62" i="16"/>
  <c r="E62" i="16"/>
  <c r="G61" i="16"/>
  <c r="E61" i="16"/>
  <c r="G60" i="16"/>
  <c r="E60" i="16"/>
  <c r="G59" i="16"/>
  <c r="E59" i="16"/>
  <c r="G58" i="16"/>
  <c r="E58" i="16"/>
  <c r="G57" i="16"/>
  <c r="E57" i="16"/>
  <c r="G56" i="16"/>
  <c r="E56" i="16"/>
  <c r="G55" i="16"/>
  <c r="E55" i="16"/>
  <c r="G54" i="16"/>
  <c r="E54" i="16"/>
  <c r="G53" i="16"/>
  <c r="E53" i="16"/>
  <c r="G52" i="16"/>
  <c r="E52" i="16"/>
  <c r="G51" i="16"/>
  <c r="E51" i="16"/>
  <c r="G50" i="16"/>
  <c r="E50" i="16"/>
  <c r="G49" i="16"/>
  <c r="E49" i="16"/>
  <c r="G48" i="16"/>
  <c r="E48" i="16"/>
  <c r="G47" i="16"/>
  <c r="E47" i="16"/>
  <c r="G46" i="16"/>
  <c r="E46" i="16"/>
  <c r="G45" i="16"/>
  <c r="E45" i="16"/>
  <c r="G44" i="16"/>
  <c r="E44" i="16"/>
  <c r="G43" i="16"/>
  <c r="E43" i="16"/>
  <c r="G42" i="16"/>
  <c r="E42" i="16"/>
  <c r="G41" i="16"/>
  <c r="E41" i="16"/>
  <c r="G40" i="16"/>
  <c r="E40" i="16"/>
  <c r="G39" i="16"/>
  <c r="E39" i="16"/>
  <c r="G38" i="16"/>
  <c r="E38" i="16"/>
  <c r="G37" i="16"/>
  <c r="E37" i="16"/>
  <c r="G36" i="16"/>
  <c r="E36" i="16"/>
  <c r="G35" i="16"/>
  <c r="E35" i="16"/>
  <c r="G34" i="16"/>
  <c r="E34" i="16"/>
  <c r="G33" i="16"/>
  <c r="E33" i="16"/>
  <c r="G32" i="16"/>
  <c r="E32" i="16"/>
  <c r="G31" i="16"/>
  <c r="E31" i="16"/>
  <c r="G30" i="16"/>
  <c r="E30" i="16"/>
  <c r="G29" i="16"/>
  <c r="E29" i="16"/>
  <c r="G28" i="16"/>
  <c r="E28" i="16"/>
  <c r="G27" i="16"/>
  <c r="E27" i="16"/>
  <c r="G26" i="16"/>
  <c r="E26" i="16"/>
  <c r="G25" i="16"/>
  <c r="E25" i="16"/>
  <c r="G24" i="16"/>
  <c r="E24" i="16"/>
  <c r="G23" i="16"/>
  <c r="E23" i="16"/>
  <c r="G22" i="16"/>
  <c r="E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H2" i="1"/>
  <c r="F63" i="4"/>
  <c r="G63" i="4" s="1"/>
  <c r="D106" i="4"/>
  <c r="F114" i="8"/>
  <c r="F45" i="8"/>
  <c r="O18" i="15"/>
  <c r="N18" i="15"/>
  <c r="I18" i="15"/>
  <c r="H18" i="15" s="1"/>
  <c r="E18" i="15"/>
  <c r="O17" i="15"/>
  <c r="N17" i="15"/>
  <c r="I17" i="15"/>
  <c r="H17" i="15" s="1"/>
  <c r="E17" i="15"/>
  <c r="O16" i="15"/>
  <c r="N16" i="15"/>
  <c r="I16" i="15"/>
  <c r="H16" i="15" s="1"/>
  <c r="E16" i="15"/>
  <c r="O15" i="15"/>
  <c r="N15" i="15"/>
  <c r="I15" i="15"/>
  <c r="H15" i="15" s="1"/>
  <c r="E15" i="15"/>
  <c r="O14" i="15"/>
  <c r="N14" i="15"/>
  <c r="I14" i="15"/>
  <c r="H14" i="15" s="1"/>
  <c r="E14" i="15"/>
  <c r="I19" i="15"/>
  <c r="H19" i="15" s="1"/>
  <c r="E19" i="15"/>
  <c r="O13" i="15"/>
  <c r="N13" i="15"/>
  <c r="I13" i="15"/>
  <c r="H13" i="15" s="1"/>
  <c r="E13" i="15"/>
  <c r="O12" i="15"/>
  <c r="N12" i="15"/>
  <c r="I12" i="15"/>
  <c r="H12" i="15" s="1"/>
  <c r="E12" i="15"/>
  <c r="O11" i="15"/>
  <c r="N11" i="15"/>
  <c r="I11" i="15"/>
  <c r="H11" i="15" s="1"/>
  <c r="E11" i="15"/>
  <c r="O10" i="15"/>
  <c r="N10" i="15"/>
  <c r="I10" i="15"/>
  <c r="H10" i="15" s="1"/>
  <c r="E10" i="15"/>
  <c r="O9" i="15"/>
  <c r="N9" i="15"/>
  <c r="I9" i="15"/>
  <c r="H9" i="15" s="1"/>
  <c r="E9" i="15"/>
  <c r="O8" i="15"/>
  <c r="N8" i="15"/>
  <c r="I8" i="15"/>
  <c r="H8" i="15" s="1"/>
  <c r="E8" i="15"/>
  <c r="O7" i="15"/>
  <c r="N7" i="15"/>
  <c r="I7" i="15"/>
  <c r="H7" i="15" s="1"/>
  <c r="E7" i="15"/>
  <c r="O6" i="15"/>
  <c r="N6" i="15"/>
  <c r="I6" i="15"/>
  <c r="H6" i="15" s="1"/>
  <c r="E6" i="15"/>
  <c r="O5" i="15"/>
  <c r="N5" i="15"/>
  <c r="I5" i="15"/>
  <c r="H5" i="15" s="1"/>
  <c r="E5" i="15"/>
  <c r="O4" i="15"/>
  <c r="N4" i="15"/>
  <c r="I4" i="15"/>
  <c r="H4" i="15" s="1"/>
  <c r="E4" i="15"/>
  <c r="O3" i="15"/>
  <c r="N3" i="15"/>
  <c r="I3" i="15"/>
  <c r="H3" i="15" s="1"/>
  <c r="E3" i="15"/>
  <c r="O2" i="15"/>
  <c r="N2" i="15"/>
  <c r="I2" i="15"/>
  <c r="H2" i="15" s="1"/>
  <c r="E2" i="15"/>
  <c r="G6" i="10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G3" i="3"/>
  <c r="G4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E2" i="14"/>
  <c r="C3" i="14"/>
  <c r="G3" i="14" s="1"/>
  <c r="E3" i="14"/>
  <c r="C4" i="14"/>
  <c r="E4" i="14"/>
  <c r="G4" i="14"/>
  <c r="E5" i="14"/>
  <c r="G5" i="14"/>
  <c r="C6" i="14"/>
  <c r="G6" i="14" s="1"/>
  <c r="E6" i="14"/>
  <c r="E7" i="14"/>
  <c r="G7" i="14"/>
  <c r="C8" i="14"/>
  <c r="G8" i="14" s="1"/>
  <c r="E8" i="14"/>
  <c r="E9" i="14"/>
  <c r="G9" i="14"/>
  <c r="C10" i="14"/>
  <c r="E10" i="14"/>
  <c r="G10" i="14"/>
  <c r="C11" i="14"/>
  <c r="G11" i="14" s="1"/>
  <c r="E11" i="14"/>
  <c r="E12" i="14"/>
  <c r="G12" i="14"/>
  <c r="E13" i="14"/>
  <c r="C14" i="14"/>
  <c r="G14" i="14" s="1"/>
  <c r="E14" i="14"/>
  <c r="E15" i="14"/>
  <c r="G15" i="14"/>
  <c r="E16" i="14"/>
  <c r="G16" i="14"/>
  <c r="E17" i="14"/>
  <c r="G17" i="14"/>
  <c r="E18" i="14"/>
  <c r="G18" i="14"/>
  <c r="E19" i="14"/>
  <c r="G19" i="14"/>
  <c r="E20" i="14"/>
  <c r="G20" i="14"/>
  <c r="C21" i="14"/>
  <c r="G21" i="14" s="1"/>
  <c r="E21" i="14"/>
  <c r="E22" i="14"/>
  <c r="G22" i="14"/>
  <c r="E2" i="13"/>
  <c r="G2" i="13"/>
  <c r="C3" i="13"/>
  <c r="E3" i="13"/>
  <c r="G3" i="13"/>
  <c r="C4" i="13"/>
  <c r="E4" i="13"/>
  <c r="G4" i="13"/>
  <c r="C5" i="13"/>
  <c r="G5" i="13" s="1"/>
  <c r="E5" i="13"/>
  <c r="C6" i="13"/>
  <c r="E6" i="13"/>
  <c r="G6" i="13"/>
  <c r="E7" i="13"/>
  <c r="G7" i="13"/>
  <c r="C8" i="13"/>
  <c r="G8" i="13" s="1"/>
  <c r="E8" i="13"/>
  <c r="E9" i="13"/>
  <c r="G9" i="13"/>
  <c r="E10" i="13"/>
  <c r="G10" i="13"/>
  <c r="C11" i="13"/>
  <c r="G11" i="13" s="1"/>
  <c r="E11" i="13"/>
  <c r="E12" i="13"/>
  <c r="G12" i="13"/>
  <c r="E13" i="13"/>
  <c r="C14" i="13"/>
  <c r="G14" i="13" s="1"/>
  <c r="E14" i="13"/>
  <c r="E15" i="13"/>
  <c r="G15" i="13"/>
  <c r="E16" i="13"/>
  <c r="G16" i="13"/>
  <c r="E17" i="13"/>
  <c r="G17" i="13"/>
  <c r="E18" i="13"/>
  <c r="G18" i="13"/>
  <c r="E19" i="13"/>
  <c r="G19" i="13"/>
  <c r="E20" i="13"/>
  <c r="G20" i="13"/>
  <c r="C21" i="13"/>
  <c r="E21" i="13"/>
  <c r="G21" i="13"/>
  <c r="E22" i="13"/>
  <c r="G22" i="13"/>
  <c r="E2" i="12"/>
  <c r="G2" i="12"/>
  <c r="C3" i="12"/>
  <c r="E3" i="12"/>
  <c r="G3" i="12"/>
  <c r="C4" i="12"/>
  <c r="G4" i="12" s="1"/>
  <c r="E4" i="12"/>
  <c r="E5" i="12"/>
  <c r="G5" i="12"/>
  <c r="C6" i="12"/>
  <c r="E6" i="12"/>
  <c r="G6" i="12"/>
  <c r="E7" i="12"/>
  <c r="G7" i="12"/>
  <c r="C8" i="12"/>
  <c r="G8" i="12" s="1"/>
  <c r="E8" i="12"/>
  <c r="E10" i="12"/>
  <c r="G10" i="12"/>
  <c r="E11" i="12"/>
  <c r="G11" i="12"/>
  <c r="E12" i="12"/>
  <c r="G12" i="12"/>
  <c r="E13" i="12"/>
  <c r="G13" i="12"/>
  <c r="E14" i="12"/>
  <c r="C15" i="12"/>
  <c r="E15" i="12"/>
  <c r="G15" i="12"/>
  <c r="E16" i="12"/>
  <c r="G16" i="12"/>
  <c r="C17" i="12"/>
  <c r="C14" i="12" s="1"/>
  <c r="G14" i="12" s="1"/>
  <c r="E17" i="12"/>
  <c r="F11" i="11"/>
  <c r="F12" i="11"/>
  <c r="F13" i="1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E2" i="11"/>
  <c r="G2" i="11"/>
  <c r="F2" i="11" s="1"/>
  <c r="C3" i="11"/>
  <c r="G3" i="11" s="1"/>
  <c r="E3" i="11"/>
  <c r="C4" i="11"/>
  <c r="G4" i="11" s="1"/>
  <c r="F4" i="11" s="1"/>
  <c r="E4" i="11"/>
  <c r="E5" i="11"/>
  <c r="G5" i="11"/>
  <c r="F5" i="11" s="1"/>
  <c r="C6" i="11"/>
  <c r="G6" i="11" s="1"/>
  <c r="F6" i="11" s="1"/>
  <c r="E6" i="11"/>
  <c r="E7" i="11"/>
  <c r="G7" i="11"/>
  <c r="F7" i="11" s="1"/>
  <c r="C8" i="11"/>
  <c r="G8" i="11" s="1"/>
  <c r="F8" i="11" s="1"/>
  <c r="E8" i="11"/>
  <c r="E10" i="11"/>
  <c r="G10" i="11"/>
  <c r="F10" i="11" s="1"/>
  <c r="E11" i="11"/>
  <c r="G11" i="11"/>
  <c r="E12" i="11"/>
  <c r="G12" i="11"/>
  <c r="E13" i="11"/>
  <c r="G13" i="11"/>
  <c r="E14" i="11"/>
  <c r="C15" i="11"/>
  <c r="G15" i="11" s="1"/>
  <c r="F15" i="11" s="1"/>
  <c r="E15" i="11"/>
  <c r="E16" i="11"/>
  <c r="G16" i="11"/>
  <c r="F16" i="11" s="1"/>
  <c r="C17" i="11"/>
  <c r="C14" i="11" s="1"/>
  <c r="G14" i="11" s="1"/>
  <c r="F14" i="11" s="1"/>
  <c r="E17" i="11"/>
  <c r="C10" i="10"/>
  <c r="D10" i="10" s="1"/>
  <c r="E10" i="10" s="1"/>
  <c r="C4" i="10"/>
  <c r="D4" i="10"/>
  <c r="E4" i="10" s="1"/>
  <c r="C8" i="10"/>
  <c r="C3" i="10"/>
  <c r="D3" i="10" s="1"/>
  <c r="E3" i="10" s="1"/>
  <c r="D2" i="10"/>
  <c r="E2" i="10" s="1"/>
  <c r="D5" i="10"/>
  <c r="D6" i="10"/>
  <c r="E6" i="10" s="1"/>
  <c r="D7" i="10"/>
  <c r="E7" i="10" s="1"/>
  <c r="D8" i="10"/>
  <c r="E8" i="10" s="1"/>
  <c r="D9" i="10"/>
  <c r="E9" i="10" s="1"/>
  <c r="D11" i="10"/>
  <c r="E11" i="10" s="1"/>
  <c r="D12" i="10"/>
  <c r="E12" i="10" s="1"/>
  <c r="D13" i="10"/>
  <c r="E13" i="10" s="1"/>
  <c r="G3" i="2"/>
  <c r="G12" i="10"/>
  <c r="G11" i="10"/>
  <c r="E5" i="10"/>
  <c r="G5" i="10"/>
  <c r="G49" i="9"/>
  <c r="G164" i="9"/>
  <c r="G170" i="9"/>
  <c r="E163" i="9"/>
  <c r="E160" i="9"/>
  <c r="E161" i="9"/>
  <c r="E162" i="9"/>
  <c r="E164" i="9"/>
  <c r="E165" i="9"/>
  <c r="E166" i="9"/>
  <c r="E167" i="9"/>
  <c r="E168" i="9"/>
  <c r="E169" i="9"/>
  <c r="E170" i="9"/>
  <c r="G160" i="9"/>
  <c r="G161" i="9"/>
  <c r="G162" i="9"/>
  <c r="G163" i="9"/>
  <c r="G165" i="9"/>
  <c r="G166" i="9"/>
  <c r="G167" i="9"/>
  <c r="G168" i="9"/>
  <c r="G169" i="9"/>
  <c r="E159" i="9"/>
  <c r="G159" i="9"/>
  <c r="E149" i="9"/>
  <c r="E151" i="9"/>
  <c r="E152" i="9"/>
  <c r="E155" i="9"/>
  <c r="E148" i="9"/>
  <c r="E150" i="9"/>
  <c r="E153" i="9"/>
  <c r="E154" i="9"/>
  <c r="E156" i="9"/>
  <c r="E157" i="9"/>
  <c r="E158" i="9"/>
  <c r="G148" i="9"/>
  <c r="G149" i="9"/>
  <c r="G150" i="9"/>
  <c r="G151" i="9"/>
  <c r="G152" i="9"/>
  <c r="G153" i="9"/>
  <c r="G154" i="9"/>
  <c r="G155" i="9"/>
  <c r="G156" i="9"/>
  <c r="G157" i="9"/>
  <c r="G158" i="9"/>
  <c r="E147" i="9"/>
  <c r="G147" i="9"/>
  <c r="G46" i="9"/>
  <c r="G45" i="9"/>
  <c r="G44" i="9"/>
  <c r="G43" i="9"/>
  <c r="E137" i="9"/>
  <c r="E139" i="9"/>
  <c r="E140" i="9"/>
  <c r="E143" i="9"/>
  <c r="E136" i="9"/>
  <c r="E138" i="9"/>
  <c r="E141" i="9"/>
  <c r="E142" i="9"/>
  <c r="E144" i="9"/>
  <c r="E145" i="9"/>
  <c r="E146" i="9"/>
  <c r="G136" i="9"/>
  <c r="G137" i="9"/>
  <c r="G138" i="9"/>
  <c r="G139" i="9"/>
  <c r="G140" i="9"/>
  <c r="G141" i="9"/>
  <c r="G142" i="9"/>
  <c r="G143" i="9"/>
  <c r="G144" i="9"/>
  <c r="G145" i="9"/>
  <c r="G146" i="9"/>
  <c r="E135" i="9"/>
  <c r="G135" i="9"/>
  <c r="E127" i="9"/>
  <c r="E131" i="9"/>
  <c r="E124" i="9"/>
  <c r="E125" i="9"/>
  <c r="E126" i="9"/>
  <c r="E128" i="9"/>
  <c r="E129" i="9"/>
  <c r="E130" i="9"/>
  <c r="E132" i="9"/>
  <c r="E133" i="9"/>
  <c r="E134" i="9"/>
  <c r="G124" i="9"/>
  <c r="G125" i="9"/>
  <c r="G126" i="9"/>
  <c r="G127" i="9"/>
  <c r="G128" i="9"/>
  <c r="G129" i="9"/>
  <c r="G130" i="9"/>
  <c r="G131" i="9"/>
  <c r="G132" i="9"/>
  <c r="G133" i="9"/>
  <c r="G134" i="9"/>
  <c r="E123" i="9"/>
  <c r="G123" i="9"/>
  <c r="G114" i="9"/>
  <c r="E118" i="9"/>
  <c r="E111" i="9"/>
  <c r="E112" i="9"/>
  <c r="E113" i="9"/>
  <c r="E114" i="9"/>
  <c r="E115" i="9"/>
  <c r="E116" i="9"/>
  <c r="E117" i="9"/>
  <c r="E119" i="9"/>
  <c r="E120" i="9"/>
  <c r="E121" i="9"/>
  <c r="E122" i="9"/>
  <c r="G111" i="9"/>
  <c r="G112" i="9"/>
  <c r="G113" i="9"/>
  <c r="G115" i="9"/>
  <c r="G116" i="9"/>
  <c r="G117" i="9"/>
  <c r="G118" i="9"/>
  <c r="G119" i="9"/>
  <c r="G120" i="9"/>
  <c r="G121" i="9"/>
  <c r="G122" i="9"/>
  <c r="E105" i="9"/>
  <c r="E106" i="9"/>
  <c r="E107" i="9"/>
  <c r="E100" i="9"/>
  <c r="E101" i="9"/>
  <c r="E102" i="9"/>
  <c r="E103" i="9"/>
  <c r="E104" i="9"/>
  <c r="E108" i="9"/>
  <c r="E109" i="9"/>
  <c r="E110" i="9"/>
  <c r="G100" i="9"/>
  <c r="G101" i="9"/>
  <c r="G102" i="9"/>
  <c r="G103" i="9"/>
  <c r="G104" i="9"/>
  <c r="G105" i="9"/>
  <c r="G106" i="9"/>
  <c r="G107" i="9"/>
  <c r="G108" i="9"/>
  <c r="G109" i="9"/>
  <c r="G110" i="9"/>
  <c r="E99" i="9"/>
  <c r="G99" i="9"/>
  <c r="E89" i="9"/>
  <c r="E91" i="9"/>
  <c r="E92" i="9"/>
  <c r="E95" i="9"/>
  <c r="E88" i="9"/>
  <c r="E90" i="9"/>
  <c r="E93" i="9"/>
  <c r="E94" i="9"/>
  <c r="E96" i="9"/>
  <c r="E97" i="9"/>
  <c r="E98" i="9"/>
  <c r="G88" i="9"/>
  <c r="G89" i="9"/>
  <c r="G90" i="9"/>
  <c r="G91" i="9"/>
  <c r="G92" i="9"/>
  <c r="G93" i="9"/>
  <c r="G94" i="9"/>
  <c r="G95" i="9"/>
  <c r="G96" i="9"/>
  <c r="G97" i="9"/>
  <c r="G98" i="9"/>
  <c r="E87" i="9"/>
  <c r="G87" i="9"/>
  <c r="E77" i="9"/>
  <c r="E79" i="9"/>
  <c r="E80" i="9"/>
  <c r="E81" i="9"/>
  <c r="E83" i="9"/>
  <c r="E76" i="9"/>
  <c r="E78" i="9"/>
  <c r="E82" i="9"/>
  <c r="E84" i="9"/>
  <c r="E85" i="9"/>
  <c r="E86" i="9"/>
  <c r="G76" i="9"/>
  <c r="G77" i="9"/>
  <c r="G78" i="9"/>
  <c r="G79" i="9"/>
  <c r="G80" i="9"/>
  <c r="G81" i="9"/>
  <c r="G82" i="9"/>
  <c r="G83" i="9"/>
  <c r="G84" i="9"/>
  <c r="G85" i="9"/>
  <c r="G86" i="9"/>
  <c r="E75" i="9"/>
  <c r="G75" i="9"/>
  <c r="E66" i="9"/>
  <c r="E70" i="9"/>
  <c r="E71" i="9"/>
  <c r="E64" i="9"/>
  <c r="E65" i="9"/>
  <c r="E67" i="9"/>
  <c r="E68" i="9"/>
  <c r="E69" i="9"/>
  <c r="E72" i="9"/>
  <c r="E73" i="9"/>
  <c r="E74" i="9"/>
  <c r="G64" i="9"/>
  <c r="G65" i="9"/>
  <c r="G66" i="9"/>
  <c r="G67" i="9"/>
  <c r="G68" i="9"/>
  <c r="G69" i="9"/>
  <c r="G70" i="9"/>
  <c r="G71" i="9"/>
  <c r="G72" i="9"/>
  <c r="G73" i="9"/>
  <c r="G74" i="9"/>
  <c r="E63" i="9"/>
  <c r="G63" i="9"/>
  <c r="G25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56" i="9"/>
  <c r="G57" i="9"/>
  <c r="G58" i="9"/>
  <c r="G59" i="9"/>
  <c r="G47" i="9"/>
  <c r="G48" i="9"/>
  <c r="G50" i="9"/>
  <c r="G51" i="9"/>
  <c r="G52" i="9"/>
  <c r="G53" i="9"/>
  <c r="G54" i="9"/>
  <c r="G55" i="9"/>
  <c r="G60" i="9"/>
  <c r="G61" i="9"/>
  <c r="G62" i="9"/>
  <c r="C44" i="3"/>
  <c r="E57" i="9"/>
  <c r="E60" i="9"/>
  <c r="E61" i="9"/>
  <c r="E62" i="9"/>
  <c r="E58" i="9"/>
  <c r="E59" i="9"/>
  <c r="E51" i="9"/>
  <c r="E52" i="9"/>
  <c r="E53" i="9"/>
  <c r="E56" i="9"/>
  <c r="E54" i="9"/>
  <c r="E55" i="9"/>
  <c r="E50" i="9"/>
  <c r="E44" i="9"/>
  <c r="E46" i="9"/>
  <c r="E45" i="9"/>
  <c r="E47" i="9"/>
  <c r="E48" i="9"/>
  <c r="E49" i="9"/>
  <c r="E43" i="9"/>
  <c r="E41" i="9"/>
  <c r="E37" i="9"/>
  <c r="E38" i="9"/>
  <c r="E39" i="9"/>
  <c r="E40" i="9"/>
  <c r="E42" i="9"/>
  <c r="E36" i="9"/>
  <c r="E31" i="9"/>
  <c r="E35" i="9"/>
  <c r="E32" i="9"/>
  <c r="E33" i="9"/>
  <c r="E34" i="9"/>
  <c r="E30" i="9"/>
  <c r="E24" i="9"/>
  <c r="E25" i="9"/>
  <c r="E26" i="9"/>
  <c r="E27" i="9"/>
  <c r="E28" i="9"/>
  <c r="E29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F84" i="8"/>
  <c r="G84" i="8" s="1"/>
  <c r="F64" i="8"/>
  <c r="G64" i="8" s="1"/>
  <c r="F104" i="8"/>
  <c r="G104" i="8" s="1"/>
  <c r="F37" i="8"/>
  <c r="G37" i="8" s="1"/>
  <c r="F83" i="8"/>
  <c r="G83" i="8" s="1"/>
  <c r="F52" i="8"/>
  <c r="G52" i="8" s="1"/>
  <c r="G28" i="21" l="1"/>
  <c r="F28" i="21"/>
  <c r="G5" i="20"/>
  <c r="D35" i="18"/>
  <c r="J35" i="18" s="1"/>
  <c r="C35" i="21" s="1"/>
  <c r="D35" i="21" s="1"/>
  <c r="C12" i="18"/>
  <c r="I12" i="18" s="1"/>
  <c r="C12" i="20" s="1"/>
  <c r="D12" i="20" s="1"/>
  <c r="D34" i="18"/>
  <c r="J34" i="18" s="1"/>
  <c r="C34" i="21" s="1"/>
  <c r="D34" i="21" s="1"/>
  <c r="D4" i="18"/>
  <c r="J4" i="18" s="1"/>
  <c r="C4" i="21" s="1"/>
  <c r="D4" i="21" s="1"/>
  <c r="D20" i="18"/>
  <c r="J20" i="18" s="1"/>
  <c r="C20" i="21" s="1"/>
  <c r="D20" i="21" s="1"/>
  <c r="D33" i="18"/>
  <c r="J33" i="18" s="1"/>
  <c r="C33" i="21" s="1"/>
  <c r="D33" i="21" s="1"/>
  <c r="D27" i="18"/>
  <c r="J27" i="18" s="1"/>
  <c r="C27" i="21" s="1"/>
  <c r="D27" i="21" s="1"/>
  <c r="D15" i="18"/>
  <c r="J15" i="18" s="1"/>
  <c r="C15" i="21" s="1"/>
  <c r="D15" i="21" s="1"/>
  <c r="D36" i="18"/>
  <c r="J36" i="18" s="1"/>
  <c r="C36" i="21" s="1"/>
  <c r="D36" i="21" s="1"/>
  <c r="D21" i="18"/>
  <c r="J21" i="18" s="1"/>
  <c r="C21" i="21" s="1"/>
  <c r="D21" i="21" s="1"/>
  <c r="D37" i="18"/>
  <c r="J37" i="18" s="1"/>
  <c r="C37" i="21" s="1"/>
  <c r="D37" i="21" s="1"/>
  <c r="D17" i="18"/>
  <c r="J17" i="18" s="1"/>
  <c r="C17" i="21" s="1"/>
  <c r="D17" i="21" s="1"/>
  <c r="D7" i="18"/>
  <c r="J7" i="18" s="1"/>
  <c r="C7" i="21" s="1"/>
  <c r="D7" i="21" s="1"/>
  <c r="D3" i="18"/>
  <c r="J3" i="18" s="1"/>
  <c r="C3" i="21" s="1"/>
  <c r="D3" i="21" s="1"/>
  <c r="D18" i="18"/>
  <c r="J18" i="18" s="1"/>
  <c r="C18" i="21" s="1"/>
  <c r="D18" i="21" s="1"/>
  <c r="D19" i="18"/>
  <c r="J19" i="18" s="1"/>
  <c r="C19" i="21" s="1"/>
  <c r="D19" i="21" s="1"/>
  <c r="D42" i="18"/>
  <c r="J42" i="18" s="1"/>
  <c r="C42" i="21" s="1"/>
  <c r="D42" i="21" s="1"/>
  <c r="D5" i="18"/>
  <c r="J5" i="18" s="1"/>
  <c r="C5" i="21" s="1"/>
  <c r="D5" i="21" s="1"/>
  <c r="D26" i="18"/>
  <c r="J26" i="18" s="1"/>
  <c r="C26" i="21" s="1"/>
  <c r="D26" i="21" s="1"/>
  <c r="D9" i="18"/>
  <c r="J9" i="18" s="1"/>
  <c r="C9" i="21" s="1"/>
  <c r="D9" i="21" s="1"/>
  <c r="D12" i="18"/>
  <c r="J12" i="18" s="1"/>
  <c r="C12" i="21" s="1"/>
  <c r="D12" i="21" s="1"/>
  <c r="D39" i="18"/>
  <c r="J39" i="18" s="1"/>
  <c r="C39" i="21" s="1"/>
  <c r="D39" i="21" s="1"/>
  <c r="D6" i="18"/>
  <c r="J6" i="18" s="1"/>
  <c r="C6" i="21" s="1"/>
  <c r="D6" i="21" s="1"/>
  <c r="D22" i="18"/>
  <c r="J22" i="18" s="1"/>
  <c r="C22" i="21" s="1"/>
  <c r="D22" i="21" s="1"/>
  <c r="D8" i="18"/>
  <c r="J8" i="18" s="1"/>
  <c r="C8" i="21" s="1"/>
  <c r="D8" i="21" s="1"/>
  <c r="D30" i="18"/>
  <c r="J30" i="18" s="1"/>
  <c r="C30" i="21" s="1"/>
  <c r="D30" i="21" s="1"/>
  <c r="D2" i="18"/>
  <c r="J2" i="18" s="1"/>
  <c r="C2" i="21" s="1"/>
  <c r="D2" i="21" s="1"/>
  <c r="C2" i="18"/>
  <c r="I2" i="18" s="1"/>
  <c r="C2" i="20" s="1"/>
  <c r="D2" i="20" s="1"/>
  <c r="D23" i="18"/>
  <c r="J23" i="18" s="1"/>
  <c r="C23" i="21" s="1"/>
  <c r="D23" i="21" s="1"/>
  <c r="D32" i="18"/>
  <c r="J32" i="18" s="1"/>
  <c r="C32" i="21" s="1"/>
  <c r="D32" i="21" s="1"/>
  <c r="D41" i="18"/>
  <c r="J41" i="18" s="1"/>
  <c r="C41" i="21" s="1"/>
  <c r="D41" i="21" s="1"/>
  <c r="D14" i="18"/>
  <c r="J14" i="18" s="1"/>
  <c r="C14" i="21" s="1"/>
  <c r="D14" i="21" s="1"/>
  <c r="D13" i="18"/>
  <c r="J13" i="18" s="1"/>
  <c r="C13" i="21" s="1"/>
  <c r="D13" i="21" s="1"/>
  <c r="D25" i="18"/>
  <c r="J25" i="18" s="1"/>
  <c r="C25" i="21" s="1"/>
  <c r="D25" i="21" s="1"/>
  <c r="D29" i="18"/>
  <c r="J29" i="18" s="1"/>
  <c r="C29" i="21" s="1"/>
  <c r="D29" i="21" s="1"/>
  <c r="D11" i="18"/>
  <c r="J11" i="18" s="1"/>
  <c r="C11" i="21" s="1"/>
  <c r="D11" i="21" s="1"/>
  <c r="D31" i="18"/>
  <c r="J31" i="18" s="1"/>
  <c r="C31" i="21" s="1"/>
  <c r="D31" i="21" s="1"/>
  <c r="F31" i="21" s="1"/>
  <c r="D10" i="18"/>
  <c r="J10" i="18" s="1"/>
  <c r="C10" i="21" s="1"/>
  <c r="D10" i="21" s="1"/>
  <c r="D40" i="18"/>
  <c r="J40" i="18" s="1"/>
  <c r="C40" i="21" s="1"/>
  <c r="D40" i="21" s="1"/>
  <c r="D38" i="18"/>
  <c r="J38" i="18" s="1"/>
  <c r="C38" i="21" s="1"/>
  <c r="D38" i="21" s="1"/>
  <c r="D16" i="18"/>
  <c r="J16" i="18" s="1"/>
  <c r="C16" i="21" s="1"/>
  <c r="D16" i="21" s="1"/>
  <c r="D24" i="18"/>
  <c r="J24" i="18" s="1"/>
  <c r="C24" i="21" s="1"/>
  <c r="D24" i="21" s="1"/>
  <c r="C16" i="18"/>
  <c r="I16" i="18" s="1"/>
  <c r="C16" i="20" s="1"/>
  <c r="D16" i="20" s="1"/>
  <c r="C32" i="18"/>
  <c r="I32" i="18" s="1"/>
  <c r="C32" i="20" s="1"/>
  <c r="D32" i="20" s="1"/>
  <c r="C35" i="18"/>
  <c r="I35" i="18" s="1"/>
  <c r="C35" i="20" s="1"/>
  <c r="D35" i="20" s="1"/>
  <c r="C36" i="18"/>
  <c r="I36" i="18" s="1"/>
  <c r="C36" i="20" s="1"/>
  <c r="D36" i="20" s="1"/>
  <c r="C19" i="18"/>
  <c r="I19" i="18" s="1"/>
  <c r="C19" i="20" s="1"/>
  <c r="D19" i="20" s="1"/>
  <c r="C21" i="18"/>
  <c r="I21" i="18" s="1"/>
  <c r="C21" i="20" s="1"/>
  <c r="D21" i="20" s="1"/>
  <c r="C13" i="18"/>
  <c r="I13" i="18" s="1"/>
  <c r="C13" i="20" s="1"/>
  <c r="D13" i="20" s="1"/>
  <c r="C39" i="18"/>
  <c r="I39" i="18" s="1"/>
  <c r="C39" i="20" s="1"/>
  <c r="D39" i="20" s="1"/>
  <c r="C10" i="18"/>
  <c r="I10" i="18" s="1"/>
  <c r="C10" i="20" s="1"/>
  <c r="D10" i="20" s="1"/>
  <c r="C26" i="18"/>
  <c r="I26" i="18" s="1"/>
  <c r="C26" i="20" s="1"/>
  <c r="D26" i="20" s="1"/>
  <c r="C22" i="18"/>
  <c r="I22" i="18" s="1"/>
  <c r="C22" i="20" s="1"/>
  <c r="D22" i="20" s="1"/>
  <c r="C40" i="18"/>
  <c r="I40" i="18" s="1"/>
  <c r="C40" i="20" s="1"/>
  <c r="D40" i="20" s="1"/>
  <c r="C41" i="18"/>
  <c r="I41" i="18" s="1"/>
  <c r="C41" i="20" s="1"/>
  <c r="D41" i="20" s="1"/>
  <c r="C29" i="18"/>
  <c r="I29" i="18" s="1"/>
  <c r="C29" i="20" s="1"/>
  <c r="D29" i="20" s="1"/>
  <c r="C9" i="18"/>
  <c r="I9" i="18" s="1"/>
  <c r="C9" i="20" s="1"/>
  <c r="D9" i="20" s="1"/>
  <c r="C25" i="18"/>
  <c r="I25" i="18" s="1"/>
  <c r="C25" i="20" s="1"/>
  <c r="D25" i="20" s="1"/>
  <c r="C4" i="18"/>
  <c r="I4" i="18" s="1"/>
  <c r="C4" i="20" s="1"/>
  <c r="D4" i="20" s="1"/>
  <c r="C33" i="18"/>
  <c r="I33" i="18" s="1"/>
  <c r="C33" i="20" s="1"/>
  <c r="D33" i="20" s="1"/>
  <c r="C34" i="18"/>
  <c r="I34" i="18" s="1"/>
  <c r="C34" i="20" s="1"/>
  <c r="D34" i="20" s="1"/>
  <c r="C20" i="18"/>
  <c r="I20" i="18" s="1"/>
  <c r="C20" i="20" s="1"/>
  <c r="D20" i="20" s="1"/>
  <c r="F20" i="20" s="1"/>
  <c r="C24" i="18"/>
  <c r="I24" i="18" s="1"/>
  <c r="C24" i="20" s="1"/>
  <c r="D24" i="20" s="1"/>
  <c r="C30" i="18"/>
  <c r="I30" i="18" s="1"/>
  <c r="C30" i="20" s="1"/>
  <c r="D30" i="20" s="1"/>
  <c r="C23" i="18"/>
  <c r="I23" i="18" s="1"/>
  <c r="C23" i="20" s="1"/>
  <c r="D23" i="20" s="1"/>
  <c r="C7" i="18"/>
  <c r="I7" i="18" s="1"/>
  <c r="C7" i="20" s="1"/>
  <c r="D7" i="20" s="1"/>
  <c r="C3" i="18"/>
  <c r="I3" i="18" s="1"/>
  <c r="C3" i="20" s="1"/>
  <c r="D3" i="20" s="1"/>
  <c r="C18" i="18"/>
  <c r="I18" i="18" s="1"/>
  <c r="C18" i="20" s="1"/>
  <c r="D18" i="20" s="1"/>
  <c r="C14" i="18"/>
  <c r="I14" i="18" s="1"/>
  <c r="C14" i="20" s="1"/>
  <c r="D14" i="20" s="1"/>
  <c r="C42" i="18"/>
  <c r="I42" i="18" s="1"/>
  <c r="C42" i="20" s="1"/>
  <c r="D42" i="20" s="1"/>
  <c r="C11" i="18"/>
  <c r="I11" i="18" s="1"/>
  <c r="C11" i="20" s="1"/>
  <c r="D11" i="20" s="1"/>
  <c r="C38" i="18"/>
  <c r="I38" i="18" s="1"/>
  <c r="C38" i="20" s="1"/>
  <c r="D38" i="20" s="1"/>
  <c r="C6" i="18"/>
  <c r="I6" i="18" s="1"/>
  <c r="C6" i="20" s="1"/>
  <c r="D6" i="20" s="1"/>
  <c r="C8" i="18"/>
  <c r="I8" i="18" s="1"/>
  <c r="C8" i="20" s="1"/>
  <c r="D8" i="20" s="1"/>
  <c r="C27" i="18"/>
  <c r="I27" i="18" s="1"/>
  <c r="C27" i="20" s="1"/>
  <c r="D27" i="20" s="1"/>
  <c r="C17" i="18"/>
  <c r="I17" i="18" s="1"/>
  <c r="C17" i="20" s="1"/>
  <c r="D17" i="20" s="1"/>
  <c r="C15" i="18"/>
  <c r="I15" i="18" s="1"/>
  <c r="C15" i="20" s="1"/>
  <c r="D15" i="20" s="1"/>
  <c r="C28" i="18"/>
  <c r="I28" i="18" s="1"/>
  <c r="C28" i="20" s="1"/>
  <c r="D28" i="20" s="1"/>
  <c r="C31" i="18"/>
  <c r="I31" i="18" s="1"/>
  <c r="C31" i="20" s="1"/>
  <c r="D31" i="20" s="1"/>
  <c r="C37" i="18"/>
  <c r="I37" i="18" s="1"/>
  <c r="C37" i="20" s="1"/>
  <c r="D37" i="20" s="1"/>
  <c r="G17" i="12"/>
  <c r="C13" i="14"/>
  <c r="G13" i="14" s="1"/>
  <c r="C13" i="13"/>
  <c r="G13" i="13" s="1"/>
  <c r="G17" i="11"/>
  <c r="F17" i="11" s="1"/>
  <c r="F76" i="8"/>
  <c r="G76" i="8" s="1"/>
  <c r="F81" i="8"/>
  <c r="G81" i="8" s="1"/>
  <c r="F12" i="8"/>
  <c r="G12" i="8" s="1"/>
  <c r="F20" i="8"/>
  <c r="G20" i="8" s="1"/>
  <c r="F73" i="8"/>
  <c r="G73" i="8" s="1"/>
  <c r="F98" i="8"/>
  <c r="G98" i="8" s="1"/>
  <c r="F89" i="8"/>
  <c r="G89" i="8" s="1"/>
  <c r="F105" i="8"/>
  <c r="G105" i="8" s="1"/>
  <c r="F97" i="8"/>
  <c r="G97" i="8" s="1"/>
  <c r="F17" i="8"/>
  <c r="G17" i="8" s="1"/>
  <c r="F42" i="8"/>
  <c r="G42" i="8" s="1"/>
  <c r="F113" i="8"/>
  <c r="G113" i="8" s="1"/>
  <c r="F59" i="8"/>
  <c r="G59" i="8" s="1"/>
  <c r="F26" i="8"/>
  <c r="G26" i="8" s="1"/>
  <c r="F7" i="8"/>
  <c r="G7" i="8" s="1"/>
  <c r="F55" i="8"/>
  <c r="G55" i="8" s="1"/>
  <c r="F62" i="8"/>
  <c r="G62" i="8" s="1"/>
  <c r="F6" i="8"/>
  <c r="G6" i="8" s="1"/>
  <c r="F39" i="8"/>
  <c r="G39" i="8" s="1"/>
  <c r="F69" i="8"/>
  <c r="G69" i="8" s="1"/>
  <c r="F65" i="8"/>
  <c r="G65" i="8" s="1"/>
  <c r="F16" i="8"/>
  <c r="G16" i="8" s="1"/>
  <c r="F58" i="8"/>
  <c r="G58" i="8" s="1"/>
  <c r="F72" i="8"/>
  <c r="G72" i="8" s="1"/>
  <c r="F112" i="8"/>
  <c r="G112" i="8" s="1"/>
  <c r="F15" i="8"/>
  <c r="G15" i="8" s="1"/>
  <c r="F57" i="8"/>
  <c r="G57" i="8" s="1"/>
  <c r="F48" i="8"/>
  <c r="G48" i="8" s="1"/>
  <c r="F19" i="8"/>
  <c r="G19" i="8" s="1"/>
  <c r="F111" i="8"/>
  <c r="G111" i="8" s="1"/>
  <c r="F25" i="8"/>
  <c r="G25" i="8" s="1"/>
  <c r="F35" i="8"/>
  <c r="G35" i="8" s="1"/>
  <c r="F116" i="8"/>
  <c r="G116" i="8" s="1"/>
  <c r="F80" i="8"/>
  <c r="G80" i="8" s="1"/>
  <c r="F34" i="8"/>
  <c r="G34" i="8" s="1"/>
  <c r="F11" i="8"/>
  <c r="G11" i="8" s="1"/>
  <c r="F14" i="8"/>
  <c r="G14" i="8" s="1"/>
  <c r="F110" i="8"/>
  <c r="G110" i="8" s="1"/>
  <c r="F88" i="8"/>
  <c r="G88" i="8" s="1"/>
  <c r="F41" i="8"/>
  <c r="G41" i="8" s="1"/>
  <c r="F44" i="8"/>
  <c r="G44" i="8" s="1"/>
  <c r="F96" i="8"/>
  <c r="G96" i="8" s="1"/>
  <c r="F63" i="8"/>
  <c r="G63" i="8" s="1"/>
  <c r="F10" i="8"/>
  <c r="G10" i="8" s="1"/>
  <c r="F33" i="8"/>
  <c r="G33" i="8" s="1"/>
  <c r="F18" i="8"/>
  <c r="G18" i="8" s="1"/>
  <c r="F68" i="8"/>
  <c r="G68" i="8" s="1"/>
  <c r="F70" i="8"/>
  <c r="G70" i="8" s="1"/>
  <c r="F106" i="8"/>
  <c r="G106" i="8" s="1"/>
  <c r="F2" i="8"/>
  <c r="G2" i="8" s="1"/>
  <c r="F100" i="8"/>
  <c r="G100" i="8" s="1"/>
  <c r="F23" i="8"/>
  <c r="G23" i="8" s="1"/>
  <c r="F5" i="8"/>
  <c r="G5" i="8" s="1"/>
  <c r="F115" i="8"/>
  <c r="G115" i="8" s="1"/>
  <c r="F92" i="8"/>
  <c r="G92" i="8" s="1"/>
  <c r="F109" i="8"/>
  <c r="G109" i="8" s="1"/>
  <c r="F87" i="8"/>
  <c r="G87" i="8" s="1"/>
  <c r="F103" i="8"/>
  <c r="G103" i="8" s="1"/>
  <c r="F54" i="8"/>
  <c r="G54" i="8" s="1"/>
  <c r="F4" i="8"/>
  <c r="G4" i="8" s="1"/>
  <c r="F56" i="8"/>
  <c r="G56" i="8" s="1"/>
  <c r="F99" i="8"/>
  <c r="G99" i="8" s="1"/>
  <c r="F108" i="8"/>
  <c r="G108" i="8" s="1"/>
  <c r="F13" i="8"/>
  <c r="G13" i="8" s="1"/>
  <c r="F79" i="8"/>
  <c r="G79" i="8" s="1"/>
  <c r="F47" i="8"/>
  <c r="G47" i="8" s="1"/>
  <c r="F22" i="8"/>
  <c r="G22" i="8" s="1"/>
  <c r="F32" i="8"/>
  <c r="G32" i="8" s="1"/>
  <c r="F9" i="8"/>
  <c r="G9" i="8" s="1"/>
  <c r="F43" i="8"/>
  <c r="G43" i="8" s="1"/>
  <c r="F95" i="8"/>
  <c r="G95" i="8" s="1"/>
  <c r="F40" i="8"/>
  <c r="G40" i="8" s="1"/>
  <c r="F71" i="8"/>
  <c r="G71" i="8" s="1"/>
  <c r="F85" i="8"/>
  <c r="G85" i="8" s="1"/>
  <c r="F53" i="8"/>
  <c r="G53" i="8" s="1"/>
  <c r="F49" i="8"/>
  <c r="G49" i="8" s="1"/>
  <c r="F67" i="8"/>
  <c r="G67" i="8" s="1"/>
  <c r="F31" i="8"/>
  <c r="G31" i="8" s="1"/>
  <c r="F78" i="8"/>
  <c r="G78" i="8" s="1"/>
  <c r="F94" i="8"/>
  <c r="G94" i="8" s="1"/>
  <c r="F24" i="8"/>
  <c r="G24" i="8" s="1"/>
  <c r="F82" i="8"/>
  <c r="G82" i="8" s="1"/>
  <c r="F36" i="8"/>
  <c r="G36" i="8" s="1"/>
  <c r="F21" i="8"/>
  <c r="G21" i="8" s="1"/>
  <c r="F3" i="8"/>
  <c r="G3" i="8" s="1"/>
  <c r="F75" i="8"/>
  <c r="G75" i="8" s="1"/>
  <c r="F8" i="8"/>
  <c r="G8" i="8" s="1"/>
  <c r="F102" i="8"/>
  <c r="G102" i="8" s="1"/>
  <c r="F30" i="8"/>
  <c r="G30" i="8" s="1"/>
  <c r="F51" i="8"/>
  <c r="G51" i="8" s="1"/>
  <c r="F61" i="8"/>
  <c r="G61" i="8" s="1"/>
  <c r="F29" i="8"/>
  <c r="G29" i="8" s="1"/>
  <c r="F93" i="8"/>
  <c r="G93" i="8" s="1"/>
  <c r="F107" i="8"/>
  <c r="G107" i="8" s="1"/>
  <c r="F86" i="8"/>
  <c r="G86" i="8" s="1"/>
  <c r="F46" i="8"/>
  <c r="G46" i="8" s="1"/>
  <c r="F91" i="8"/>
  <c r="G91" i="8" s="1"/>
  <c r="F66" i="8"/>
  <c r="G66" i="8" s="1"/>
  <c r="F77" i="8"/>
  <c r="G77" i="8" s="1"/>
  <c r="F50" i="8"/>
  <c r="G50" i="8" s="1"/>
  <c r="F28" i="8"/>
  <c r="G28" i="8" s="1"/>
  <c r="F74" i="8"/>
  <c r="G74" i="8" s="1"/>
  <c r="G114" i="8"/>
  <c r="F90" i="8"/>
  <c r="G90" i="8" s="1"/>
  <c r="F101" i="8"/>
  <c r="G101" i="8" s="1"/>
  <c r="F60" i="8"/>
  <c r="G60" i="8" s="1"/>
  <c r="F27" i="8"/>
  <c r="G27" i="8" s="1"/>
  <c r="G45" i="8"/>
  <c r="F40" i="4"/>
  <c r="G40" i="4" s="1"/>
  <c r="F37" i="4"/>
  <c r="G37" i="4" s="1"/>
  <c r="F76" i="4"/>
  <c r="G76" i="4" s="1"/>
  <c r="F39" i="4"/>
  <c r="G39" i="4" s="1"/>
  <c r="F86" i="4"/>
  <c r="G86" i="4" s="1"/>
  <c r="F67" i="4"/>
  <c r="G67" i="4" s="1"/>
  <c r="F87" i="4"/>
  <c r="G87" i="4" s="1"/>
  <c r="F84" i="4"/>
  <c r="G84" i="4" s="1"/>
  <c r="F43" i="4"/>
  <c r="G43" i="4" s="1"/>
  <c r="F92" i="4"/>
  <c r="G92" i="4" s="1"/>
  <c r="F103" i="4"/>
  <c r="G103" i="4" s="1"/>
  <c r="F69" i="4"/>
  <c r="G69" i="4" s="1"/>
  <c r="F20" i="4"/>
  <c r="G20" i="4" s="1"/>
  <c r="F47" i="4"/>
  <c r="G47" i="4" s="1"/>
  <c r="F41" i="4"/>
  <c r="G41" i="4" s="1"/>
  <c r="F10" i="4"/>
  <c r="G10" i="4" s="1"/>
  <c r="F62" i="4"/>
  <c r="G62" i="4" s="1"/>
  <c r="F91" i="4"/>
  <c r="G91" i="4" s="1"/>
  <c r="G23" i="21" l="1"/>
  <c r="F23" i="21"/>
  <c r="F32" i="20"/>
  <c r="G32" i="20"/>
  <c r="G4" i="21"/>
  <c r="F4" i="21"/>
  <c r="F3" i="20"/>
  <c r="G3" i="20"/>
  <c r="F4" i="20"/>
  <c r="G4" i="20"/>
  <c r="F10" i="20"/>
  <c r="G10" i="20"/>
  <c r="F16" i="20"/>
  <c r="G16" i="20"/>
  <c r="F29" i="21"/>
  <c r="G29" i="21"/>
  <c r="G2" i="21"/>
  <c r="E27" i="21"/>
  <c r="G31" i="21" s="1"/>
  <c r="F2" i="21"/>
  <c r="G26" i="21"/>
  <c r="F26" i="21"/>
  <c r="F37" i="21"/>
  <c r="G37" i="21"/>
  <c r="G34" i="21"/>
  <c r="F34" i="21"/>
  <c r="F14" i="20"/>
  <c r="G14" i="20"/>
  <c r="F35" i="20"/>
  <c r="G35" i="20"/>
  <c r="F17" i="20"/>
  <c r="G17" i="20"/>
  <c r="F33" i="20"/>
  <c r="G33" i="20"/>
  <c r="G17" i="21"/>
  <c r="F17" i="21"/>
  <c r="F27" i="20"/>
  <c r="G27" i="20"/>
  <c r="F8" i="20"/>
  <c r="G8" i="20"/>
  <c r="F7" i="20"/>
  <c r="G7" i="20"/>
  <c r="F25" i="20"/>
  <c r="G25" i="20"/>
  <c r="F39" i="20"/>
  <c r="G39" i="20"/>
  <c r="G24" i="21"/>
  <c r="F24" i="21"/>
  <c r="G25" i="21"/>
  <c r="F25" i="21"/>
  <c r="G30" i="21"/>
  <c r="F30" i="21"/>
  <c r="G5" i="21"/>
  <c r="F5" i="21"/>
  <c r="G21" i="21"/>
  <c r="F21" i="21"/>
  <c r="F12" i="20"/>
  <c r="G12" i="20"/>
  <c r="F22" i="20"/>
  <c r="G22" i="20"/>
  <c r="F12" i="21"/>
  <c r="G12" i="21"/>
  <c r="F2" i="20"/>
  <c r="E27" i="20"/>
  <c r="G20" i="20" s="1"/>
  <c r="G2" i="20"/>
  <c r="F23" i="20"/>
  <c r="G23" i="20"/>
  <c r="F13" i="20"/>
  <c r="G13" i="20"/>
  <c r="F16" i="21"/>
  <c r="G16" i="21"/>
  <c r="G13" i="21"/>
  <c r="F13" i="21"/>
  <c r="F8" i="21"/>
  <c r="G8" i="21"/>
  <c r="G42" i="21"/>
  <c r="F42" i="21"/>
  <c r="G36" i="21"/>
  <c r="F36" i="21"/>
  <c r="F35" i="21"/>
  <c r="G35" i="21"/>
  <c r="F15" i="20"/>
  <c r="G15" i="20"/>
  <c r="F20" i="21"/>
  <c r="G20" i="21"/>
  <c r="F26" i="20"/>
  <c r="G26" i="20"/>
  <c r="F6" i="20"/>
  <c r="G6" i="20"/>
  <c r="F38" i="20"/>
  <c r="G38" i="20"/>
  <c r="F30" i="20"/>
  <c r="G30" i="20"/>
  <c r="F29" i="20"/>
  <c r="G29" i="20"/>
  <c r="F21" i="20"/>
  <c r="G21" i="20"/>
  <c r="G38" i="21"/>
  <c r="F38" i="21"/>
  <c r="G14" i="21"/>
  <c r="F14" i="21"/>
  <c r="G22" i="21"/>
  <c r="F22" i="21"/>
  <c r="G19" i="21"/>
  <c r="F19" i="21"/>
  <c r="G15" i="21"/>
  <c r="F15" i="21"/>
  <c r="G7" i="21"/>
  <c r="F7" i="21"/>
  <c r="G9" i="21"/>
  <c r="F9" i="21"/>
  <c r="F37" i="20"/>
  <c r="G37" i="20"/>
  <c r="F31" i="20"/>
  <c r="F11" i="20"/>
  <c r="G11" i="20"/>
  <c r="F24" i="20"/>
  <c r="G24" i="20"/>
  <c r="F41" i="20"/>
  <c r="G41" i="20"/>
  <c r="F19" i="20"/>
  <c r="G19" i="20"/>
  <c r="G40" i="21"/>
  <c r="F40" i="21"/>
  <c r="G41" i="21"/>
  <c r="F41" i="21"/>
  <c r="G6" i="21"/>
  <c r="F6" i="21"/>
  <c r="G18" i="21"/>
  <c r="F18" i="21"/>
  <c r="F27" i="21"/>
  <c r="G27" i="21"/>
  <c r="F34" i="20"/>
  <c r="G34" i="20"/>
  <c r="F18" i="20"/>
  <c r="G18" i="20"/>
  <c r="G11" i="21"/>
  <c r="F11" i="21"/>
  <c r="F9" i="20"/>
  <c r="G9" i="20"/>
  <c r="F28" i="20"/>
  <c r="G28" i="20"/>
  <c r="F42" i="20"/>
  <c r="G42" i="20"/>
  <c r="F40" i="20"/>
  <c r="G40" i="20"/>
  <c r="F36" i="20"/>
  <c r="G36" i="20"/>
  <c r="G10" i="21"/>
  <c r="F10" i="21"/>
  <c r="F32" i="21"/>
  <c r="G32" i="21"/>
  <c r="F39" i="21"/>
  <c r="G39" i="21"/>
  <c r="G3" i="21"/>
  <c r="F3" i="21"/>
  <c r="G33" i="21"/>
  <c r="F33" i="21"/>
  <c r="F109" i="4"/>
  <c r="G109" i="4" s="1"/>
  <c r="F72" i="4"/>
  <c r="G72" i="4" s="1"/>
  <c r="F27" i="4"/>
  <c r="G27" i="4" s="1"/>
  <c r="F57" i="4"/>
  <c r="G57" i="4" s="1"/>
  <c r="F95" i="4"/>
  <c r="G95" i="4" s="1"/>
  <c r="F107" i="4"/>
  <c r="G107" i="4" s="1"/>
  <c r="F70" i="4"/>
  <c r="G70" i="4" s="1"/>
  <c r="F28" i="4"/>
  <c r="G28" i="4" s="1"/>
  <c r="F48" i="4"/>
  <c r="G48" i="4" s="1"/>
  <c r="F73" i="4"/>
  <c r="G73" i="4" s="1"/>
  <c r="F85" i="4"/>
  <c r="G85" i="4" s="1"/>
  <c r="F44" i="4"/>
  <c r="G44" i="4" s="1"/>
  <c r="F80" i="4"/>
  <c r="G80" i="4" s="1"/>
  <c r="F100" i="4"/>
  <c r="G100" i="4" s="1"/>
  <c r="F29" i="4"/>
  <c r="G29" i="4" s="1"/>
  <c r="F58" i="4"/>
  <c r="G58" i="4" s="1"/>
  <c r="F49" i="4"/>
  <c r="G49" i="4" s="1"/>
  <c r="F30" i="4"/>
  <c r="G30" i="4" s="1"/>
  <c r="F96" i="4"/>
  <c r="G96" i="4" s="1"/>
  <c r="F8" i="4"/>
  <c r="G8" i="4" s="1"/>
  <c r="F71" i="4"/>
  <c r="G71" i="4" s="1"/>
  <c r="F3" i="4"/>
  <c r="G3" i="4" s="1"/>
  <c r="F21" i="4"/>
  <c r="G21" i="4" s="1"/>
  <c r="F36" i="4"/>
  <c r="G36" i="4" s="1"/>
  <c r="F78" i="4"/>
  <c r="G78" i="4" s="1"/>
  <c r="F24" i="4"/>
  <c r="G24" i="4" s="1"/>
  <c r="F88" i="4"/>
  <c r="G88" i="4" s="1"/>
  <c r="F74" i="4"/>
  <c r="G74" i="4" s="1"/>
  <c r="F31" i="4"/>
  <c r="G31" i="4" s="1"/>
  <c r="F50" i="4"/>
  <c r="G50" i="4" s="1"/>
  <c r="F79" i="4"/>
  <c r="G79" i="4" s="1"/>
  <c r="F38" i="4"/>
  <c r="G38" i="4" s="1"/>
  <c r="F89" i="4"/>
  <c r="G89" i="4" s="1"/>
  <c r="F9" i="4"/>
  <c r="G9" i="4" s="1"/>
  <c r="F32" i="4"/>
  <c r="G32" i="4" s="1"/>
  <c r="F22" i="4"/>
  <c r="G22" i="4" s="1"/>
  <c r="F45" i="4"/>
  <c r="G45" i="4" s="1"/>
  <c r="F75" i="4"/>
  <c r="G75" i="4" s="1"/>
  <c r="F13" i="4"/>
  <c r="G13" i="4" s="1"/>
  <c r="F101" i="4"/>
  <c r="G101" i="4" s="1"/>
  <c r="F93" i="4"/>
  <c r="G93" i="4" s="1"/>
  <c r="F53" i="4"/>
  <c r="G53" i="4" s="1"/>
  <c r="F4" i="4"/>
  <c r="G4" i="4" s="1"/>
  <c r="F51" i="4"/>
  <c r="G51" i="4" s="1"/>
  <c r="F97" i="4"/>
  <c r="G97" i="4" s="1"/>
  <c r="F81" i="4"/>
  <c r="G81" i="4" s="1"/>
  <c r="F102" i="4"/>
  <c r="G102" i="4" s="1"/>
  <c r="F108" i="4"/>
  <c r="G108" i="4" s="1"/>
  <c r="F5" i="4"/>
  <c r="G5" i="4" s="1"/>
  <c r="F23" i="4"/>
  <c r="G23" i="4" s="1"/>
  <c r="F94" i="4"/>
  <c r="G94" i="4" s="1"/>
  <c r="F2" i="4"/>
  <c r="G2" i="4" s="1"/>
  <c r="F99" i="4"/>
  <c r="G99" i="4" s="1"/>
  <c r="F66" i="4"/>
  <c r="G66" i="4" s="1"/>
  <c r="F64" i="4"/>
  <c r="G64" i="4" s="1"/>
  <c r="F18" i="4"/>
  <c r="G18" i="4" s="1"/>
  <c r="F33" i="4"/>
  <c r="G33" i="4" s="1"/>
  <c r="F60" i="4"/>
  <c r="G60" i="4" s="1"/>
  <c r="F90" i="4"/>
  <c r="G90" i="4" s="1"/>
  <c r="F82" i="4"/>
  <c r="G82" i="4" s="1"/>
  <c r="F14" i="4"/>
  <c r="G14" i="4" s="1"/>
  <c r="F11" i="4"/>
  <c r="G11" i="4" s="1"/>
  <c r="F34" i="4"/>
  <c r="G34" i="4" s="1"/>
  <c r="F35" i="4"/>
  <c r="G35" i="4" s="1"/>
  <c r="F25" i="4"/>
  <c r="G25" i="4" s="1"/>
  <c r="F104" i="4"/>
  <c r="G104" i="4" s="1"/>
  <c r="F19" i="4"/>
  <c r="G19" i="4" s="1"/>
  <c r="F46" i="4"/>
  <c r="G46" i="4" s="1"/>
  <c r="F54" i="4"/>
  <c r="G54" i="4" s="1"/>
  <c r="F15" i="4"/>
  <c r="G15" i="4" s="1"/>
  <c r="F105" i="4"/>
  <c r="G105" i="4" s="1"/>
  <c r="F68" i="4"/>
  <c r="G68" i="4" s="1"/>
  <c r="F55" i="4"/>
  <c r="G55" i="4" s="1"/>
  <c r="F16" i="4"/>
  <c r="G16" i="4" s="1"/>
  <c r="F61" i="4"/>
  <c r="G61" i="4" s="1"/>
  <c r="F65" i="4"/>
  <c r="G65" i="4" s="1"/>
  <c r="F6" i="4"/>
  <c r="G6" i="4" s="1"/>
  <c r="F59" i="4"/>
  <c r="G59" i="4" s="1"/>
  <c r="F52" i="4"/>
  <c r="G52" i="4" s="1"/>
  <c r="F7" i="4"/>
  <c r="G7" i="4" s="1"/>
  <c r="F26" i="4"/>
  <c r="G26" i="4" s="1"/>
  <c r="F56" i="4"/>
  <c r="G56" i="4" s="1"/>
  <c r="F106" i="4"/>
  <c r="G106" i="4" s="1"/>
  <c r="F17" i="4"/>
  <c r="G17" i="4" s="1"/>
  <c r="F98" i="4"/>
  <c r="G98" i="4" s="1"/>
  <c r="F83" i="4"/>
  <c r="G83" i="4" s="1"/>
  <c r="F12" i="4"/>
  <c r="G12" i="4" s="1"/>
  <c r="F77" i="4"/>
  <c r="G77" i="4" s="1"/>
  <c r="F42" i="4"/>
  <c r="G42" i="4" s="1"/>
  <c r="D44" i="7"/>
  <c r="C44" i="7"/>
  <c r="N42" i="7"/>
  <c r="M42" i="7"/>
  <c r="E42" i="7"/>
  <c r="G42" i="7" s="1"/>
  <c r="N41" i="7"/>
  <c r="M41" i="7"/>
  <c r="G41" i="7"/>
  <c r="E41" i="7"/>
  <c r="N40" i="7"/>
  <c r="M40" i="7"/>
  <c r="E40" i="7"/>
  <c r="G40" i="7" s="1"/>
  <c r="N39" i="7"/>
  <c r="M39" i="7"/>
  <c r="G39" i="7"/>
  <c r="E39" i="7"/>
  <c r="N38" i="7"/>
  <c r="M38" i="7"/>
  <c r="E38" i="7"/>
  <c r="G38" i="7" s="1"/>
  <c r="N37" i="7"/>
  <c r="M37" i="7"/>
  <c r="G37" i="7"/>
  <c r="E37" i="7"/>
  <c r="N36" i="7"/>
  <c r="M36" i="7"/>
  <c r="G36" i="7"/>
  <c r="E36" i="7"/>
  <c r="N35" i="7"/>
  <c r="M35" i="7"/>
  <c r="G35" i="7"/>
  <c r="E35" i="7"/>
  <c r="N34" i="7"/>
  <c r="M34" i="7"/>
  <c r="N33" i="7"/>
  <c r="M33" i="7"/>
  <c r="G33" i="7"/>
  <c r="E33" i="7"/>
  <c r="N32" i="7"/>
  <c r="M32" i="7"/>
  <c r="G32" i="7"/>
  <c r="E32" i="7"/>
  <c r="N31" i="7"/>
  <c r="M31" i="7"/>
  <c r="G31" i="7"/>
  <c r="E31" i="7"/>
  <c r="N30" i="7"/>
  <c r="M30" i="7"/>
  <c r="E30" i="7"/>
  <c r="G30" i="7" s="1"/>
  <c r="N29" i="7"/>
  <c r="M29" i="7"/>
  <c r="G29" i="7"/>
  <c r="E29" i="7"/>
  <c r="N28" i="7"/>
  <c r="M28" i="7"/>
  <c r="G28" i="7"/>
  <c r="E28" i="7"/>
  <c r="N27" i="7"/>
  <c r="M27" i="7"/>
  <c r="E27" i="7"/>
  <c r="G27" i="7" s="1"/>
  <c r="N26" i="7"/>
  <c r="M26" i="7"/>
  <c r="G26" i="7"/>
  <c r="E26" i="7"/>
  <c r="N25" i="7"/>
  <c r="M25" i="7"/>
  <c r="E25" i="7"/>
  <c r="G25" i="7" s="1"/>
  <c r="N24" i="7"/>
  <c r="M24" i="7"/>
  <c r="G24" i="7"/>
  <c r="E24" i="7"/>
  <c r="N23" i="7"/>
  <c r="M23" i="7"/>
  <c r="G23" i="7"/>
  <c r="E23" i="7"/>
  <c r="N22" i="7"/>
  <c r="M22" i="7"/>
  <c r="G22" i="7"/>
  <c r="E22" i="7"/>
  <c r="N21" i="7"/>
  <c r="M21" i="7"/>
  <c r="G21" i="7"/>
  <c r="E21" i="7"/>
  <c r="N20" i="7"/>
  <c r="M20" i="7"/>
  <c r="G20" i="7"/>
  <c r="E20" i="7"/>
  <c r="N19" i="7"/>
  <c r="M19" i="7"/>
  <c r="E19" i="7"/>
  <c r="G19" i="7" s="1"/>
  <c r="N18" i="7"/>
  <c r="M18" i="7"/>
  <c r="E18" i="7"/>
  <c r="G18" i="7" s="1"/>
  <c r="N17" i="7"/>
  <c r="M17" i="7"/>
  <c r="E17" i="7"/>
  <c r="G17" i="7" s="1"/>
  <c r="N16" i="7"/>
  <c r="M16" i="7"/>
  <c r="N15" i="7"/>
  <c r="M15" i="7"/>
  <c r="G15" i="7"/>
  <c r="E15" i="7"/>
  <c r="N14" i="7"/>
  <c r="M14" i="7"/>
  <c r="E14" i="7"/>
  <c r="G14" i="7" s="1"/>
  <c r="N13" i="7"/>
  <c r="M13" i="7"/>
  <c r="G13" i="7"/>
  <c r="E13" i="7"/>
  <c r="N12" i="7"/>
  <c r="M12" i="7"/>
  <c r="G12" i="7"/>
  <c r="E12" i="7"/>
  <c r="N11" i="7"/>
  <c r="M11" i="7"/>
  <c r="E11" i="7"/>
  <c r="G11" i="7" s="1"/>
  <c r="N10" i="7"/>
  <c r="M10" i="7"/>
  <c r="E10" i="7"/>
  <c r="G10" i="7" s="1"/>
  <c r="N9" i="7"/>
  <c r="M9" i="7"/>
  <c r="E9" i="7"/>
  <c r="G9" i="7" s="1"/>
  <c r="N8" i="7"/>
  <c r="M8" i="7"/>
  <c r="E8" i="7"/>
  <c r="G8" i="7" s="1"/>
  <c r="N7" i="7"/>
  <c r="M7" i="7"/>
  <c r="G7" i="7"/>
  <c r="E7" i="7"/>
  <c r="N6" i="7"/>
  <c r="M6" i="7"/>
  <c r="E6" i="7"/>
  <c r="G6" i="7" s="1"/>
  <c r="N5" i="7"/>
  <c r="M5" i="7"/>
  <c r="G5" i="7"/>
  <c r="E5" i="7"/>
  <c r="N4" i="7"/>
  <c r="M4" i="7"/>
  <c r="E4" i="7"/>
  <c r="G4" i="7" s="1"/>
  <c r="N3" i="7"/>
  <c r="M3" i="7"/>
  <c r="G3" i="7"/>
  <c r="E3" i="7"/>
  <c r="N2" i="7"/>
  <c r="M2" i="7"/>
  <c r="E2" i="7"/>
  <c r="G2" i="7" s="1"/>
  <c r="E2" i="2"/>
  <c r="G2" i="2" s="1"/>
  <c r="E40" i="2"/>
  <c r="G40" i="2" s="1"/>
  <c r="G18" i="6"/>
  <c r="G34" i="6"/>
  <c r="F17" i="3"/>
  <c r="D42" i="6"/>
  <c r="D41" i="6"/>
  <c r="D40" i="6"/>
  <c r="G40" i="6" s="1"/>
  <c r="D39" i="6"/>
  <c r="G39" i="6" s="1"/>
  <c r="D38" i="6"/>
  <c r="G38" i="6" s="1"/>
  <c r="D37" i="6"/>
  <c r="G37" i="6" s="1"/>
  <c r="D36" i="6"/>
  <c r="G36" i="6" s="1"/>
  <c r="D35" i="6"/>
  <c r="G35" i="6" s="1"/>
  <c r="D34" i="6"/>
  <c r="D33" i="6"/>
  <c r="G33" i="6" s="1"/>
  <c r="D32" i="6"/>
  <c r="D31" i="6"/>
  <c r="D30" i="6"/>
  <c r="G30" i="6" s="1"/>
  <c r="D29" i="6"/>
  <c r="G29" i="6" s="1"/>
  <c r="D28" i="6"/>
  <c r="G28" i="6" s="1"/>
  <c r="D27" i="6"/>
  <c r="G27" i="6" s="1"/>
  <c r="D26" i="6"/>
  <c r="G26" i="6" s="1"/>
  <c r="D25" i="6"/>
  <c r="G25" i="6" s="1"/>
  <c r="D24" i="6"/>
  <c r="G24" i="6" s="1"/>
  <c r="D23" i="6"/>
  <c r="D22" i="6"/>
  <c r="D21" i="6"/>
  <c r="D20" i="6"/>
  <c r="G20" i="6" s="1"/>
  <c r="D19" i="6"/>
  <c r="G19" i="6" s="1"/>
  <c r="D18" i="6"/>
  <c r="D17" i="6"/>
  <c r="G17" i="6" s="1"/>
  <c r="D16" i="6"/>
  <c r="G16" i="6" s="1"/>
  <c r="D15" i="6"/>
  <c r="G15" i="6" s="1"/>
  <c r="D14" i="6"/>
  <c r="G14" i="6" s="1"/>
  <c r="D13" i="6"/>
  <c r="G13" i="6" s="1"/>
  <c r="D12" i="6"/>
  <c r="G12" i="6" s="1"/>
  <c r="D11" i="6"/>
  <c r="G11" i="6" s="1"/>
  <c r="D10" i="6"/>
  <c r="G10" i="6" s="1"/>
  <c r="D9" i="6"/>
  <c r="G9" i="6" s="1"/>
  <c r="D8" i="6"/>
  <c r="G8" i="6" s="1"/>
  <c r="D7" i="6"/>
  <c r="G7" i="6" s="1"/>
  <c r="D6" i="6"/>
  <c r="G6" i="6" s="1"/>
  <c r="D5" i="6"/>
  <c r="D4" i="6"/>
  <c r="G4" i="6" s="1"/>
  <c r="D3" i="6"/>
  <c r="G3" i="6" s="1"/>
  <c r="D2" i="6"/>
  <c r="I14" i="1"/>
  <c r="H14" i="1" s="1"/>
  <c r="I9" i="1"/>
  <c r="H9" i="1" s="1"/>
  <c r="I8" i="1"/>
  <c r="H8" i="1" s="1"/>
  <c r="I5" i="1"/>
  <c r="H5" i="1" s="1"/>
  <c r="I4" i="1"/>
  <c r="H4" i="1" s="1"/>
  <c r="I3" i="1"/>
  <c r="H3" i="1" s="1"/>
  <c r="I6" i="1"/>
  <c r="H6" i="1" s="1"/>
  <c r="E34" i="5"/>
  <c r="D34" i="5"/>
  <c r="E33" i="5"/>
  <c r="D33" i="5"/>
  <c r="D30" i="5"/>
  <c r="E30" i="5" s="1"/>
  <c r="D29" i="5"/>
  <c r="E29" i="5" s="1"/>
  <c r="D26" i="5"/>
  <c r="E26" i="5" s="1"/>
  <c r="D27" i="5"/>
  <c r="E27" i="5" s="1"/>
  <c r="C28" i="5"/>
  <c r="D28" i="5" s="1"/>
  <c r="E28" i="5" s="1"/>
  <c r="D25" i="5"/>
  <c r="E25" i="5" s="1"/>
  <c r="N41" i="2"/>
  <c r="N42" i="2"/>
  <c r="M41" i="2"/>
  <c r="M42" i="2"/>
  <c r="G5" i="2"/>
  <c r="G7" i="2"/>
  <c r="G12" i="2"/>
  <c r="G13" i="2"/>
  <c r="G20" i="2"/>
  <c r="G21" i="2"/>
  <c r="G22" i="2"/>
  <c r="G23" i="2"/>
  <c r="G24" i="2"/>
  <c r="G26" i="2"/>
  <c r="G29" i="2"/>
  <c r="G31" i="2"/>
  <c r="G32" i="2"/>
  <c r="G36" i="2"/>
  <c r="G37" i="2"/>
  <c r="G41" i="2"/>
  <c r="D44" i="2"/>
  <c r="C44" i="2"/>
  <c r="E3" i="2"/>
  <c r="E4" i="2"/>
  <c r="G4" i="2" s="1"/>
  <c r="E5" i="2"/>
  <c r="E6" i="2"/>
  <c r="G6" i="2" s="1"/>
  <c r="E7" i="2"/>
  <c r="E8" i="2"/>
  <c r="G8" i="2" s="1"/>
  <c r="E9" i="2"/>
  <c r="G9" i="2" s="1"/>
  <c r="E10" i="2"/>
  <c r="G10" i="2" s="1"/>
  <c r="E11" i="2"/>
  <c r="G11" i="2" s="1"/>
  <c r="E12" i="2"/>
  <c r="E13" i="2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E21" i="2"/>
  <c r="E22" i="2"/>
  <c r="E23" i="2"/>
  <c r="E24" i="2"/>
  <c r="E25" i="2"/>
  <c r="G25" i="2" s="1"/>
  <c r="E26" i="2"/>
  <c r="E27" i="2"/>
  <c r="G27" i="2" s="1"/>
  <c r="E28" i="2"/>
  <c r="G28" i="2" s="1"/>
  <c r="E29" i="2"/>
  <c r="E30" i="2"/>
  <c r="G30" i="2" s="1"/>
  <c r="E31" i="2"/>
  <c r="E32" i="2"/>
  <c r="E33" i="2"/>
  <c r="G33" i="2" s="1"/>
  <c r="E34" i="2"/>
  <c r="E35" i="2"/>
  <c r="G35" i="2" s="1"/>
  <c r="E36" i="2"/>
  <c r="E37" i="2"/>
  <c r="E38" i="2"/>
  <c r="G38" i="2" s="1"/>
  <c r="E39" i="2"/>
  <c r="G39" i="2" s="1"/>
  <c r="E41" i="2"/>
  <c r="E42" i="2"/>
  <c r="G42" i="2" s="1"/>
  <c r="D42" i="3"/>
  <c r="D23" i="3"/>
  <c r="D21" i="3"/>
  <c r="D41" i="3"/>
  <c r="D3" i="5"/>
  <c r="E3" i="5" s="1"/>
  <c r="D4" i="5"/>
  <c r="E4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" i="5"/>
  <c r="E2" i="5" s="1"/>
  <c r="D2" i="3"/>
  <c r="E27" i="3" s="1"/>
  <c r="F31" i="3" s="1"/>
  <c r="D3" i="3"/>
  <c r="F3" i="3" s="1"/>
  <c r="D4" i="3"/>
  <c r="F4" i="3" s="1"/>
  <c r="D5" i="3"/>
  <c r="D6" i="3"/>
  <c r="F6" i="3" s="1"/>
  <c r="D7" i="3"/>
  <c r="F7" i="3" s="1"/>
  <c r="D8" i="3"/>
  <c r="F8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D18" i="3"/>
  <c r="F18" i="3" s="1"/>
  <c r="D19" i="3"/>
  <c r="F19" i="3" s="1"/>
  <c r="D20" i="3"/>
  <c r="F20" i="3" s="1"/>
  <c r="D22" i="3"/>
  <c r="D24" i="3"/>
  <c r="F24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D32" i="3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D40" i="3"/>
  <c r="F40" i="3" s="1"/>
  <c r="I12" i="1"/>
  <c r="H12" i="1" s="1"/>
  <c r="I7" i="1"/>
  <c r="H7" i="1" s="1"/>
  <c r="I10" i="1"/>
  <c r="H10" i="1" s="1"/>
  <c r="I11" i="1"/>
  <c r="H11" i="1" s="1"/>
  <c r="I13" i="1"/>
  <c r="H13" i="1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2" i="2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C5" i="5"/>
  <c r="D5" i="5" s="1"/>
  <c r="E5" i="5" s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G31" i="20" l="1"/>
  <c r="E44" i="2"/>
  <c r="G34" i="2"/>
  <c r="E34" i="7"/>
  <c r="G34" i="7" s="1"/>
  <c r="E16" i="7"/>
  <c r="E44" i="7"/>
  <c r="G16" i="7"/>
  <c r="E27" i="6"/>
  <c r="F32" i="3"/>
  <c r="F23" i="3"/>
  <c r="F42" i="3"/>
  <c r="F41" i="3"/>
  <c r="F22" i="3"/>
  <c r="F21" i="3"/>
  <c r="F2" i="3"/>
  <c r="G22" i="6" l="1"/>
  <c r="G42" i="6"/>
  <c r="G23" i="6"/>
  <c r="G21" i="6"/>
  <c r="G31" i="6"/>
  <c r="G5" i="6"/>
  <c r="G41" i="6"/>
  <c r="G32" i="6"/>
  <c r="G13" i="23"/>
  <c r="F13" i="23" s="1"/>
  <c r="C13" i="23"/>
  <c r="C8" i="23"/>
  <c r="G8" i="23" s="1"/>
  <c r="F8" i="23" s="1"/>
  <c r="G14" i="23"/>
  <c r="F14" i="23" s="1"/>
  <c r="C14" i="23"/>
  <c r="C34" i="23"/>
  <c r="G34" i="23" s="1"/>
  <c r="F34" i="23" s="1"/>
  <c r="C36" i="23"/>
  <c r="G36" i="23" s="1"/>
  <c r="F36" i="23" s="1"/>
  <c r="C23" i="23"/>
  <c r="G23" i="23" s="1"/>
  <c r="F23" i="23" s="1"/>
  <c r="C6" i="23"/>
  <c r="G6" i="23" s="1"/>
  <c r="F6" i="23" s="1"/>
  <c r="C20" i="23"/>
  <c r="G20" i="23" s="1"/>
  <c r="F20" i="23" s="1"/>
  <c r="G17" i="23"/>
  <c r="F17" i="23" s="1"/>
  <c r="C17" i="23"/>
  <c r="C16" i="23"/>
  <c r="G16" i="23" s="1"/>
  <c r="F16" i="23" s="1"/>
  <c r="C28" i="23"/>
  <c r="G28" i="23" s="1"/>
  <c r="F28" i="23" s="1"/>
  <c r="C25" i="23"/>
  <c r="G25" i="23" s="1"/>
  <c r="F25" i="23" s="1"/>
  <c r="C18" i="23"/>
  <c r="G18" i="23" s="1"/>
  <c r="F18" i="23" s="1"/>
  <c r="C42" i="23"/>
  <c r="G42" i="23" s="1"/>
  <c r="F42" i="23" s="1"/>
  <c r="G12" i="23"/>
  <c r="F12" i="23" s="1"/>
  <c r="C12" i="23"/>
  <c r="C35" i="23"/>
  <c r="G35" i="23" s="1"/>
  <c r="F35" i="23" s="1"/>
  <c r="C29" i="23"/>
  <c r="G29" i="23"/>
  <c r="F29" i="23" s="1"/>
  <c r="C30" i="23"/>
  <c r="G30" i="23" s="1"/>
  <c r="F30" i="23" s="1"/>
  <c r="C9" i="23"/>
  <c r="G9" i="23" s="1"/>
  <c r="F9" i="23" s="1"/>
  <c r="C24" i="23"/>
  <c r="G24" i="23" s="1"/>
  <c r="F24" i="23" s="1"/>
  <c r="C10" i="23"/>
  <c r="G10" i="23" s="1"/>
  <c r="F10" i="23" s="1"/>
  <c r="C22" i="23"/>
  <c r="G22" i="23"/>
  <c r="F22" i="23"/>
  <c r="G4" i="23"/>
  <c r="F4" i="23" s="1"/>
  <c r="J6" i="23"/>
  <c r="C5" i="23" s="1"/>
  <c r="G5" i="23" s="1"/>
  <c r="F5" i="23" s="1"/>
  <c r="C33" i="23" l="1"/>
  <c r="G33" i="23" s="1"/>
  <c r="F33" i="23" s="1"/>
  <c r="C7" i="23"/>
  <c r="G7" i="23" s="1"/>
  <c r="F7" i="23" s="1"/>
  <c r="C32" i="23"/>
  <c r="G32" i="23" s="1"/>
  <c r="F32" i="23" s="1"/>
  <c r="C38" i="23"/>
  <c r="G38" i="23" s="1"/>
  <c r="F38" i="23" s="1"/>
  <c r="C39" i="23"/>
  <c r="G39" i="23" s="1"/>
  <c r="F39" i="23" s="1"/>
  <c r="C2" i="23"/>
  <c r="C27" i="23"/>
  <c r="G27" i="23" s="1"/>
  <c r="F27" i="23" s="1"/>
  <c r="C26" i="23"/>
  <c r="G26" i="23" s="1"/>
  <c r="F26" i="23" s="1"/>
  <c r="C40" i="23"/>
  <c r="G40" i="23" s="1"/>
  <c r="F40" i="23" s="1"/>
  <c r="C44" i="23" l="1"/>
  <c r="C45" i="23" s="1"/>
  <c r="G2" i="23"/>
  <c r="F2" i="23" s="1"/>
</calcChain>
</file>

<file path=xl/sharedStrings.xml><?xml version="1.0" encoding="utf-8"?>
<sst xmlns="http://schemas.openxmlformats.org/spreadsheetml/2006/main" count="4417" uniqueCount="311">
  <si>
    <t>Belgium</t>
  </si>
  <si>
    <t>Portugal</t>
  </si>
  <si>
    <t>France</t>
  </si>
  <si>
    <t>Greece</t>
  </si>
  <si>
    <t>Italy</t>
  </si>
  <si>
    <t>Croatia</t>
  </si>
  <si>
    <t>Lithuania</t>
  </si>
  <si>
    <t>Netherlands</t>
  </si>
  <si>
    <t>Poland</t>
  </si>
  <si>
    <t>Spain</t>
  </si>
  <si>
    <t>Türkiye</t>
  </si>
  <si>
    <t>UK</t>
  </si>
  <si>
    <t>LNG</t>
  </si>
  <si>
    <t>Share [2020]</t>
  </si>
  <si>
    <t>Capacity after grid connection [2020]</t>
  </si>
  <si>
    <t>LNG Capacity Mrd m3 [2020]</t>
  </si>
  <si>
    <t>Country</t>
  </si>
  <si>
    <t>BE</t>
  </si>
  <si>
    <t>NL</t>
  </si>
  <si>
    <t>DE</t>
  </si>
  <si>
    <t>AT</t>
  </si>
  <si>
    <t>IT</t>
  </si>
  <si>
    <t>CH</t>
  </si>
  <si>
    <t>SI</t>
  </si>
  <si>
    <t>HR</t>
  </si>
  <si>
    <t>FR</t>
  </si>
  <si>
    <t>DK</t>
  </si>
  <si>
    <t>PL</t>
  </si>
  <si>
    <t>CZ</t>
  </si>
  <si>
    <t>SK</t>
  </si>
  <si>
    <t>HU</t>
  </si>
  <si>
    <t>RS</t>
  </si>
  <si>
    <t>BG</t>
  </si>
  <si>
    <t>RO</t>
  </si>
  <si>
    <t>LT</t>
  </si>
  <si>
    <t>LV</t>
  </si>
  <si>
    <t>ES</t>
  </si>
  <si>
    <t>PT</t>
  </si>
  <si>
    <t>UA</t>
  </si>
  <si>
    <t>MD</t>
  </si>
  <si>
    <t>RU</t>
  </si>
  <si>
    <t>AL</t>
  </si>
  <si>
    <t>LU</t>
  </si>
  <si>
    <t>IE</t>
  </si>
  <si>
    <t>BA</t>
  </si>
  <si>
    <t>MK</t>
  </si>
  <si>
    <t>TR</t>
  </si>
  <si>
    <t>SM</t>
  </si>
  <si>
    <t>NO</t>
  </si>
  <si>
    <t>DZ</t>
  </si>
  <si>
    <t>TN</t>
  </si>
  <si>
    <t>LY</t>
  </si>
  <si>
    <t>BY</t>
  </si>
  <si>
    <t>EE</t>
  </si>
  <si>
    <t>FI</t>
  </si>
  <si>
    <t>Long_name</t>
  </si>
  <si>
    <t>Germany</t>
  </si>
  <si>
    <t>Austria</t>
  </si>
  <si>
    <t>Switzerland</t>
  </si>
  <si>
    <t>Slovenia</t>
  </si>
  <si>
    <t>Denmark</t>
  </si>
  <si>
    <t>Czech Republic</t>
  </si>
  <si>
    <t>Slovakia</t>
  </si>
  <si>
    <t>Hungary</t>
  </si>
  <si>
    <t>Bulgaria</t>
  </si>
  <si>
    <t>Latvia</t>
  </si>
  <si>
    <t>Estonia</t>
  </si>
  <si>
    <t>Ukraine</t>
  </si>
  <si>
    <t>Moldova</t>
  </si>
  <si>
    <t>Russia</t>
  </si>
  <si>
    <t>Luxemburg</t>
  </si>
  <si>
    <t>Norway</t>
  </si>
  <si>
    <t>Serbia</t>
  </si>
  <si>
    <t>Albania</t>
  </si>
  <si>
    <t>Irland</t>
  </si>
  <si>
    <t>Bosnia and Herzegovina</t>
  </si>
  <si>
    <t>North Macedonia</t>
  </si>
  <si>
    <t>San Marino</t>
  </si>
  <si>
    <t>Algeria</t>
  </si>
  <si>
    <t>Tunisia</t>
  </si>
  <si>
    <t>Libya</t>
  </si>
  <si>
    <t>Belarus</t>
  </si>
  <si>
    <t>SE</t>
  </si>
  <si>
    <t>Sweden</t>
  </si>
  <si>
    <t>Mrd m3 [2020]</t>
  </si>
  <si>
    <t>Finland</t>
  </si>
  <si>
    <t>Romania</t>
  </si>
  <si>
    <t>OE</t>
  </si>
  <si>
    <t>Other Europe</t>
  </si>
  <si>
    <t>https://www.ins.tn/sites/default/files/publication/pdf/bms%20octobre%202022.pdf</t>
  </si>
  <si>
    <t>Imports [2020]</t>
  </si>
  <si>
    <t>Malta</t>
  </si>
  <si>
    <t>From</t>
  </si>
  <si>
    <t>To</t>
  </si>
  <si>
    <t>GWh/d</t>
  </si>
  <si>
    <t>https://gasdashboard.entsog.eu/</t>
  </si>
  <si>
    <t>MA</t>
  </si>
  <si>
    <t>IR</t>
  </si>
  <si>
    <t>additional</t>
  </si>
  <si>
    <t>-</t>
  </si>
  <si>
    <t>_LNG</t>
  </si>
  <si>
    <t>_Prod</t>
  </si>
  <si>
    <t>Limitation</t>
  </si>
  <si>
    <t>Limitation in TWh</t>
  </si>
  <si>
    <t>TWh [2020]</t>
  </si>
  <si>
    <t>GWh/a</t>
  </si>
  <si>
    <t>TWh/a</t>
  </si>
  <si>
    <t>Population 2020 [Tsd]</t>
  </si>
  <si>
    <t>ZY</t>
  </si>
  <si>
    <t>Zyprus</t>
  </si>
  <si>
    <t>MT</t>
  </si>
  <si>
    <t>Montenegro</t>
  </si>
  <si>
    <t>https://ec.europa.eu/eurostat/documents/2995521/11081093/3-10072020-AP-EN.pdf/d2f799bf-4412-05cc-a357-7b49b93615f1</t>
  </si>
  <si>
    <t>https://ec.europa.eu/eurostat/statistics-explained/index.php?title=File:WBT23_Population,_2011-2022_(thousands).png</t>
  </si>
  <si>
    <t>for Bosnia</t>
  </si>
  <si>
    <t>https://ec.europa.eu/eurostat/statistics-explained/index.php?title=European_Neighbourhood_Policy_-_East_-_population_statistics#Number_of_inhabitants</t>
  </si>
  <si>
    <t>Ukraine, Moldova</t>
  </si>
  <si>
    <t>Kosovo</t>
  </si>
  <si>
    <t>TWh by share</t>
  </si>
  <si>
    <t>Mil m3 EU [2020]</t>
  </si>
  <si>
    <t>https://ec.europa.eu/eurostat/databrowser/view/nrg_cb_gasm__custom_10421303/default/table?lang=en</t>
  </si>
  <si>
    <t>Mrd m3 EU [2020]</t>
  </si>
  <si>
    <t>for all Europe</t>
  </si>
  <si>
    <t>same as MA to ES</t>
  </si>
  <si>
    <t>same as TN to IT</t>
  </si>
  <si>
    <t>assumption</t>
  </si>
  <si>
    <t>same as BY to PL</t>
  </si>
  <si>
    <t>Finland Planned</t>
  </si>
  <si>
    <t>Estonia Planned</t>
  </si>
  <si>
    <t>Germany Planned</t>
  </si>
  <si>
    <t>Ireland Planned</t>
  </si>
  <si>
    <t>Latvia Planned</t>
  </si>
  <si>
    <t>https://www.energyinst.org/statistical-review</t>
  </si>
  <si>
    <t>TWh [2023]</t>
  </si>
  <si>
    <t>Mrd m3 [2023]</t>
  </si>
  <si>
    <t>Ireland</t>
  </si>
  <si>
    <t>https://www.ins.tn/sites/default/files-ftp3/files/publication/pdf/bms%20Aout%202024.pdf</t>
  </si>
  <si>
    <t>average</t>
  </si>
  <si>
    <t>GWh/d [capacity map]</t>
  </si>
  <si>
    <t>GWh/d [gasdashboard]</t>
  </si>
  <si>
    <t>GWh/d [transparency map]</t>
  </si>
  <si>
    <t>other source</t>
  </si>
  <si>
    <t>Comment</t>
  </si>
  <si>
    <t>same as AL to IT</t>
  </si>
  <si>
    <t>Assumption, same as TN to IT</t>
  </si>
  <si>
    <t>Assumption, as SE is supplied by DK, must be high enough</t>
  </si>
  <si>
    <t>Assumption, same as MA to ES</t>
  </si>
  <si>
    <t>in entsog capacity as DZ to italy</t>
  </si>
  <si>
    <t>not in entsog capacity anymore</t>
  </si>
  <si>
    <t>USA</t>
  </si>
  <si>
    <t>SA</t>
  </si>
  <si>
    <t>TT</t>
  </si>
  <si>
    <t>ME</t>
  </si>
  <si>
    <t>QA</t>
  </si>
  <si>
    <t>AF</t>
  </si>
  <si>
    <t>AU</t>
  </si>
  <si>
    <t>CN</t>
  </si>
  <si>
    <t>JS</t>
  </si>
  <si>
    <t>IN</t>
  </si>
  <si>
    <t>AS</t>
  </si>
  <si>
    <t>North America</t>
  </si>
  <si>
    <t>South America</t>
  </si>
  <si>
    <t>Trinidad &amp; Tobago</t>
  </si>
  <si>
    <t>Middle East</t>
  </si>
  <si>
    <t>Africa</t>
  </si>
  <si>
    <t>Australia</t>
  </si>
  <si>
    <t>China</t>
  </si>
  <si>
    <t>Japan &amp; South Korea</t>
  </si>
  <si>
    <t>India</t>
  </si>
  <si>
    <t>Asia</t>
  </si>
  <si>
    <t>Mil m3 [2020]</t>
  </si>
  <si>
    <t>Mrd m3 [2020]2</t>
  </si>
  <si>
    <t>CR</t>
  </si>
  <si>
    <t>Caspian Region</t>
  </si>
  <si>
    <t>Qatar</t>
  </si>
  <si>
    <t>Morroco</t>
  </si>
  <si>
    <t>https://www.gecf.org/_resources/files/events/release-of-the-gecf-annual-statistical-bulletin-2023/gecf-asb-2023.pdf</t>
  </si>
  <si>
    <t>EG</t>
  </si>
  <si>
    <t>Egypt</t>
  </si>
  <si>
    <t>USA_LNG</t>
  </si>
  <si>
    <t>GWh/d [capacity]</t>
  </si>
  <si>
    <t>TT_LNG</t>
  </si>
  <si>
    <t>ME_LNG</t>
  </si>
  <si>
    <t>QA_LNG</t>
  </si>
  <si>
    <t>AF_LNG</t>
  </si>
  <si>
    <t>AU_LNG</t>
  </si>
  <si>
    <t>SA_LNG</t>
  </si>
  <si>
    <t>CN_LNG</t>
  </si>
  <si>
    <t>JS_LNG</t>
  </si>
  <si>
    <t>IN_LNG</t>
  </si>
  <si>
    <t>AS_LNG</t>
  </si>
  <si>
    <t>EG_LNG</t>
  </si>
  <si>
    <t>IM</t>
  </si>
  <si>
    <t>RU_LNG</t>
  </si>
  <si>
    <t>IM_LNG</t>
  </si>
  <si>
    <t>Indonesia &amp; Malaysia</t>
  </si>
  <si>
    <t>CM</t>
  </si>
  <si>
    <t>Distance [km]</t>
  </si>
  <si>
    <t>Distance [miles]</t>
  </si>
  <si>
    <t>distance from https://sea-distances.org/advanced</t>
  </si>
  <si>
    <t>BE_LNG</t>
  </si>
  <si>
    <t>FR_LNG</t>
  </si>
  <si>
    <t>IT_LNG</t>
  </si>
  <si>
    <t>HR_LNG</t>
  </si>
  <si>
    <t>LT_LNG</t>
  </si>
  <si>
    <t>NL_LNG</t>
  </si>
  <si>
    <t>PL_LNG</t>
  </si>
  <si>
    <t>PT_LNG</t>
  </si>
  <si>
    <t>ES_LNG</t>
  </si>
  <si>
    <t>TR_LNG</t>
  </si>
  <si>
    <t>UK_LNG</t>
  </si>
  <si>
    <t>Suez or Panama</t>
  </si>
  <si>
    <t>Suez</t>
  </si>
  <si>
    <t>Fos</t>
  </si>
  <si>
    <t>Megara</t>
  </si>
  <si>
    <t>La Spezia</t>
  </si>
  <si>
    <t>Omisalj</t>
  </si>
  <si>
    <t>Klaipeda</t>
  </si>
  <si>
    <t>Rotterdam</t>
  </si>
  <si>
    <t>Swinoujscie</t>
  </si>
  <si>
    <t>Setubal</t>
  </si>
  <si>
    <t>Barcelona</t>
  </si>
  <si>
    <t>Izmir</t>
  </si>
  <si>
    <t>EE_LNG</t>
  </si>
  <si>
    <t>FI_LNG</t>
  </si>
  <si>
    <t>DE_LNG</t>
  </si>
  <si>
    <t>IE_LNG</t>
  </si>
  <si>
    <t>LV_LNG</t>
  </si>
  <si>
    <t>Talinn</t>
  </si>
  <si>
    <t>Inkoo</t>
  </si>
  <si>
    <t>Wilhelmshaven</t>
  </si>
  <si>
    <t>Cork</t>
  </si>
  <si>
    <t>Riga</t>
  </si>
  <si>
    <t>Zeebrugge</t>
  </si>
  <si>
    <t>Qatar from Doha</t>
  </si>
  <si>
    <t>USA from Houston</t>
  </si>
  <si>
    <t>Bilbao</t>
  </si>
  <si>
    <t>Milford</t>
  </si>
  <si>
    <t>Rio</t>
  </si>
  <si>
    <t>Port Harcourt</t>
  </si>
  <si>
    <t>Panama</t>
  </si>
  <si>
    <t>Dalian</t>
  </si>
  <si>
    <t>Tokyo</t>
  </si>
  <si>
    <t>Okha</t>
  </si>
  <si>
    <t>Bangkok</t>
  </si>
  <si>
    <t>Trinidad from Point Fortin</t>
  </si>
  <si>
    <t>ME from Das Island (UAE)</t>
  </si>
  <si>
    <t>Huelva</t>
  </si>
  <si>
    <t>AU from Darwin</t>
  </si>
  <si>
    <t>Quintero (Chile)</t>
  </si>
  <si>
    <t xml:space="preserve">IM from Balikpapan (bestguess  in the middle) </t>
  </si>
  <si>
    <t>Dunkirk</t>
  </si>
  <si>
    <t>comment</t>
  </si>
  <si>
    <t>bcm/a  [capacity]</t>
  </si>
  <si>
    <t>Data from: https://globalenergymonitor.org/projects/global-gas-infrastructure-tracker/tracker/</t>
  </si>
  <si>
    <t>https://www.gem.wiki/Sino-Myanmar_Gas_Pipeline</t>
  </si>
  <si>
    <t>additional source</t>
  </si>
  <si>
    <t>https://www.gem.wiki/Dolphin_Qatar%E2%80%93UAE_Natural_Gas_Pipeline</t>
  </si>
  <si>
    <t>https://www.gem.wiki/Arab_Gas_Pipeline</t>
  </si>
  <si>
    <t>https://www.gem.wiki/West-East_Gas_Pipeline_3</t>
  </si>
  <si>
    <t>https://www.gem.wiki/Central_Asia%E2%80%93Center_Gas_Pipeline, https://www.gem.wiki/Bukhara-Ural_Gas_Pipeline</t>
  </si>
  <si>
    <t>assumption of both to be on the safe side</t>
  </si>
  <si>
    <t>https://www.reuters.com/business/energy/china-completes-full-pipeline-power-of-siberia-gas-2024-12-02/</t>
  </si>
  <si>
    <t>https://www.gem.wiki/Korpeje-Kordkuy_Gas_Pipeline</t>
  </si>
  <si>
    <t>EL</t>
  </si>
  <si>
    <t>TWh [2020]2</t>
  </si>
  <si>
    <t>GWh [2020]</t>
  </si>
  <si>
    <t>EL_LNG</t>
  </si>
  <si>
    <t>assumption for distance</t>
  </si>
  <si>
    <t>https://www.gem.wiki/Torzhok-Minsk-Ivatsevichy_Gas_Pipeline</t>
  </si>
  <si>
    <t>distance [km]</t>
  </si>
  <si>
    <t>distance [miles]</t>
  </si>
  <si>
    <t>https://www.statista.com/statistics/1538667/natural-gas-production-in-morocco-by-field/</t>
  </si>
  <si>
    <t>for Morroco</t>
  </si>
  <si>
    <t>Tianjin</t>
  </si>
  <si>
    <t>Livorno</t>
  </si>
  <si>
    <t>Hong Kong</t>
  </si>
  <si>
    <t>Wadi Feiran</t>
  </si>
  <si>
    <t>Montoir</t>
  </si>
  <si>
    <t>Istanbul</t>
  </si>
  <si>
    <t>Isle of Grain</t>
  </si>
  <si>
    <t>AF from Bonny Inshore Terminal (Nigeria)</t>
  </si>
  <si>
    <t>Cartagena</t>
  </si>
  <si>
    <t>EG from Port Said and Alexandria</t>
  </si>
  <si>
    <t>Shanghai</t>
  </si>
  <si>
    <t>Kavala</t>
  </si>
  <si>
    <t>Venice</t>
  </si>
  <si>
    <t xml:space="preserve">RU from Sabetta (Murmansk plus 1200 mi to west, minus 1200 mi to east as Murmansk is the closest port) except for JS, there it's from Vladivostok </t>
  </si>
  <si>
    <t>same as DK to PL</t>
  </si>
  <si>
    <t xml:space="preserve">Europe </t>
  </si>
  <si>
    <t>bcm</t>
  </si>
  <si>
    <t>Stated Policies</t>
  </si>
  <si>
    <t>Anounced Pledges</t>
  </si>
  <si>
    <t>values 2024</t>
  </si>
  <si>
    <t>EU</t>
  </si>
  <si>
    <t>2035 values</t>
  </si>
  <si>
    <t>https://iea.blob.core.windows.net/assets/140a0470-5b90-4922-a0e9-838b3ac6918c/WorldEnergyOutlook2024.pdf</t>
  </si>
  <si>
    <t>Mrd m3 [2035]</t>
  </si>
  <si>
    <t>Sum EU</t>
  </si>
  <si>
    <t>Sum not EU</t>
  </si>
  <si>
    <t>Mrd m3 [2035] AP</t>
  </si>
  <si>
    <t>GWh [2035] AP</t>
  </si>
  <si>
    <t>GWh [2035] SP</t>
  </si>
  <si>
    <t>Mrd m3 [2035] SP</t>
  </si>
  <si>
    <t>Mil m3 [2024]</t>
  </si>
  <si>
    <t>Mil m3 EU [2024]</t>
  </si>
  <si>
    <t>Stated Policy</t>
  </si>
  <si>
    <t>non EU</t>
  </si>
  <si>
    <t>NO_LNG</t>
  </si>
  <si>
    <t>Alexandria</t>
  </si>
  <si>
    <t>NO from Hammerfest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</si>
</sst>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u/>
      <sz val="8"/>
      <color indexed="12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sz val="10"/>
      <name val="Geneva"/>
    </font>
    <font>
      <sz val="10"/>
      <name val="Arial"/>
      <family val="2"/>
    </font>
    <font>
      <u/>
      <sz val="8"/>
      <color theme="10"/>
      <name val="Arial"/>
      <family val="2"/>
    </font>
    <font>
      <sz val="14"/>
      <color indexed="50"/>
      <name val="Arial"/>
      <family val="2"/>
    </font>
    <font>
      <sz val="6"/>
      <name val="Arial"/>
      <family val="2"/>
    </font>
    <font>
      <b/>
      <sz val="8.5"/>
      <color indexed="50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1"/>
      <color indexed="8"/>
      <name val="Calibri"/>
      <family val="2"/>
    </font>
    <font>
      <sz val="9"/>
      <name val="Geneva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5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9BC2E6"/>
      </bottom>
      <diagonal/>
    </border>
    <border>
      <left/>
      <right style="thin">
        <color theme="4" tint="0.39997558519241921"/>
      </right>
      <top/>
      <bottom style="thin">
        <color rgb="FF9BC2E6"/>
      </bottom>
      <diagonal/>
    </border>
  </borders>
  <cellStyleXfs count="41">
    <xf numFmtId="0" fontId="0" fillId="0" borderId="0"/>
    <xf numFmtId="0" fontId="3" fillId="0" borderId="0" applyFill="0" applyBorder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1" fillId="0" borderId="0"/>
    <xf numFmtId="0" fontId="3" fillId="0" borderId="0" applyFill="0" applyBorder="0"/>
    <xf numFmtId="0" fontId="3" fillId="0" borderId="0" applyFill="0" applyBorder="0"/>
    <xf numFmtId="0" fontId="7" fillId="0" borderId="0"/>
    <xf numFmtId="0" fontId="1" fillId="0" borderId="0"/>
    <xf numFmtId="0" fontId="9" fillId="0" borderId="0"/>
    <xf numFmtId="0" fontId="3" fillId="0" borderId="0" applyFill="0" applyBorder="0"/>
    <xf numFmtId="0" fontId="8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>
      <alignment horizontal="right"/>
    </xf>
    <xf numFmtId="0" fontId="13" fillId="0" borderId="0"/>
    <xf numFmtId="0" fontId="5" fillId="0" borderId="0" applyAlignment="0">
      <alignment horizontal="left"/>
    </xf>
    <xf numFmtId="0" fontId="14" fillId="0" borderId="1" applyNumberFormat="0" applyAlignment="0"/>
    <xf numFmtId="0" fontId="15" fillId="0" borderId="0"/>
    <xf numFmtId="0" fontId="1" fillId="0" borderId="0"/>
    <xf numFmtId="0" fontId="11" fillId="0" borderId="0"/>
    <xf numFmtId="0" fontId="3" fillId="0" borderId="0" applyFill="0" applyBorder="0"/>
    <xf numFmtId="0" fontId="5" fillId="0" borderId="0">
      <alignment horizontal="right"/>
    </xf>
    <xf numFmtId="0" fontId="3" fillId="0" borderId="0" applyFill="0" applyBorder="0"/>
    <xf numFmtId="0" fontId="6" fillId="0" borderId="0"/>
    <xf numFmtId="0" fontId="3" fillId="0" borderId="0" applyFill="0" applyBorder="0"/>
    <xf numFmtId="9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3" fillId="0" borderId="0" applyFill="0" applyBorder="0"/>
    <xf numFmtId="165" fontId="5" fillId="0" borderId="0">
      <alignment horizontal="right"/>
    </xf>
    <xf numFmtId="16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6" fillId="0" borderId="0"/>
  </cellStyleXfs>
  <cellXfs count="17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21" fillId="0" borderId="0" xfId="0" applyFont="1"/>
    <xf numFmtId="0" fontId="0" fillId="4" borderId="2" xfId="0" applyFill="1" applyBorder="1"/>
    <xf numFmtId="164" fontId="0" fillId="4" borderId="2" xfId="0" applyNumberFormat="1" applyFill="1" applyBorder="1"/>
    <xf numFmtId="0" fontId="22" fillId="3" borderId="3" xfId="0" applyFont="1" applyFill="1" applyBorder="1"/>
    <xf numFmtId="0" fontId="22" fillId="3" borderId="4" xfId="0" applyFont="1" applyFill="1" applyBorder="1"/>
    <xf numFmtId="0" fontId="22" fillId="3" borderId="5" xfId="0" applyFont="1" applyFill="1" applyBorder="1"/>
    <xf numFmtId="0" fontId="0" fillId="4" borderId="6" xfId="0" applyFill="1" applyBorder="1"/>
    <xf numFmtId="0" fontId="22" fillId="3" borderId="7" xfId="0" applyFont="1" applyFill="1" applyBorder="1"/>
    <xf numFmtId="0" fontId="22" fillId="3" borderId="8" xfId="0" applyFont="1" applyFill="1" applyBorder="1"/>
    <xf numFmtId="164" fontId="0" fillId="4" borderId="0" xfId="0" applyNumberFormat="1" applyFill="1"/>
    <xf numFmtId="0" fontId="0" fillId="0" borderId="2" xfId="0" applyBorder="1"/>
    <xf numFmtId="0" fontId="0" fillId="0" borderId="0" xfId="0" applyNumberFormat="1"/>
  </cellXfs>
  <cellStyles count="41">
    <cellStyle name="C01_Main head" xfId="22" xr:uid="{3FF1BF2F-769C-4CF6-BB03-FA58B69C5545}"/>
    <cellStyle name="C02_Column heads" xfId="16" xr:uid="{6AA76714-52DD-4B3B-9F1F-E7ED06188786}"/>
    <cellStyle name="C03_Sub head bold" xfId="17" xr:uid="{71BDF15F-8FAB-4B9D-BF56-0C82A383AA8E}"/>
    <cellStyle name="C04_Total text white bold" xfId="20" xr:uid="{287E28E8-DA9A-4DA7-94AD-5AF1C537F15F}"/>
    <cellStyle name="C04a_Total text black with rule" xfId="19" xr:uid="{16CE27B2-E630-4389-8700-BC6F07A207BB}"/>
    <cellStyle name="C05_Main text" xfId="18" xr:uid="{19A3C003-4A4D-4B53-B889-86660BE2F4A7}"/>
    <cellStyle name="C06_Figs" xfId="24" xr:uid="{6EF7291D-EE46-4629-B94D-1ECDF30BDA6F}"/>
    <cellStyle name="C07_Figs 1 dec percent" xfId="32" xr:uid="{47221C8E-FC37-465A-9665-18759B74A6CE}"/>
    <cellStyle name="C09_Notes" xfId="7" xr:uid="{9085F154-117F-416B-8D81-36A9DB81FB8C}"/>
    <cellStyle name="Comma 2" xfId="14" xr:uid="{C220F88A-4F55-4623-B6C1-AD23C8E74659}"/>
    <cellStyle name="Comma 5" xfId="29" xr:uid="{0067ED6D-11E5-44AC-9D53-C45880789330}"/>
    <cellStyle name="Hyperlink 2" xfId="2" xr:uid="{BA9329EA-B184-49A9-9DC3-748FF9EBB7D9}"/>
    <cellStyle name="Hyperlink 2 2" xfId="3" xr:uid="{F9103865-4F21-4889-8B72-20BE8654C338}"/>
    <cellStyle name="Hyperlink 2 2 2" xfId="12" xr:uid="{5BCD4CE7-6B2C-456F-8FB9-324AD7E49CAD}"/>
    <cellStyle name="Hyperlink 3" xfId="13" xr:uid="{94940656-2676-4A09-B05D-BC18288B254C}"/>
    <cellStyle name="Normal" xfId="0" builtinId="0"/>
    <cellStyle name="Normal 18" xfId="30" xr:uid="{E7EAE102-3B70-42A2-97BE-6613C6991711}"/>
    <cellStyle name="Normal 2" xfId="1" xr:uid="{190F2216-BF41-4842-8670-90BCBED25C1F}"/>
    <cellStyle name="Normal 2 2" xfId="8" xr:uid="{BBA1F6BA-F8D2-45BD-89F2-5F79E7C1C329}"/>
    <cellStyle name="Normal 2 2 2" xfId="26" xr:uid="{AD51099B-D49D-45FE-80D3-1F4120CAB713}"/>
    <cellStyle name="Normal 2 2 3" xfId="31" xr:uid="{685F2931-69F1-4742-862E-8D36BACD9F1A}"/>
    <cellStyle name="Normal 2 2 9 2" xfId="37" xr:uid="{1D997E3D-2769-4905-B0EB-950CAA58DB0A}"/>
    <cellStyle name="Normal 2 3" xfId="40" xr:uid="{1A02E014-9D0A-45BD-84AD-CEF3659D5A24}"/>
    <cellStyle name="Normal 2 5" xfId="27" xr:uid="{BA56A082-19D7-4317-9FF5-DEC1FFBEF23C}"/>
    <cellStyle name="Normal 2 6" xfId="9" xr:uid="{A9C605D1-161F-4025-811E-28DABC062934}"/>
    <cellStyle name="Normal 20" xfId="21" xr:uid="{648D11FF-279B-4F0E-B09D-8C1EC6061892}"/>
    <cellStyle name="Normal 3" xfId="10" xr:uid="{C48EB3F3-1975-4918-BAB7-BE900719A5F7}"/>
    <cellStyle name="Normal 33" xfId="5" xr:uid="{5CD1E707-8667-45EC-ABF6-B60F6E9E59D3}"/>
    <cellStyle name="Normal 4" xfId="39" xr:uid="{6FD259F4-48D1-4A86-985F-41950DBD9149}"/>
    <cellStyle name="Normal 4 2 2" xfId="4" xr:uid="{919221B1-42A4-4700-9239-2DAFE893779F}"/>
    <cellStyle name="Normal 5" xfId="36" xr:uid="{7566378D-1084-4857-A4BB-1DAAB3764B14}"/>
    <cellStyle name="Normal 5 8 2" xfId="38" xr:uid="{AEB2F650-B345-44F9-857E-1FF7EFC5D55E}"/>
    <cellStyle name="Normal 6" xfId="11" xr:uid="{D03254E9-8E42-4BF4-8A58-7DE6DA4A8303}"/>
    <cellStyle name="Normal 8" xfId="6" xr:uid="{90F0E83A-EA1A-48E1-A5EE-D67EB082C60D}"/>
    <cellStyle name="Normal 8 2" xfId="23" xr:uid="{A358C3D2-DBD8-459F-9B06-BAA976C32485}"/>
    <cellStyle name="Normal 8 7" xfId="25" xr:uid="{76B13E51-C838-4F8D-AADA-E10D7E632F63}"/>
    <cellStyle name="Percent 2" xfId="15" xr:uid="{8FA158A0-20DC-4018-9CF3-EDDF9FADF72C}"/>
    <cellStyle name="Percent 2 2" xfId="28" xr:uid="{0AA4CE3F-8960-4102-9CAE-7448A8126969}"/>
    <cellStyle name="Percent 3" xfId="34" xr:uid="{8AB380C1-64CC-421C-8275-BF15C8D4F870}"/>
    <cellStyle name="Percent 4" xfId="35" xr:uid="{FBC58B8C-7B58-4A54-9EE4-7950F3EA222E}"/>
    <cellStyle name="Percent 8" xfId="33" xr:uid="{304ED844-55A0-412B-ADC5-6D43390D8D63}"/>
  </cellStyles>
  <dxfs count="104">
    <dxf>
      <numFmt numFmtId="0" formatCode="General"/>
    </dxf>
    <dxf>
      <numFmt numFmtId="0" formatCode="General"/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"/>
    </dxf>
    <dxf>
      <numFmt numFmtId="164" formatCode="0.0"/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164" formatCode="0.0"/>
    </dxf>
    <dxf>
      <numFmt numFmtId="164" formatCode="0.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A1D17-871E-4E66-A144-F2ADD46C5E00}" name="Table2" displayName="Table2" ref="A1:G42" totalsRowShown="0">
  <autoFilter ref="A1:G42" xr:uid="{D12A1D17-871E-4E66-A144-F2ADD46C5E00}"/>
  <sortState xmlns:xlrd2="http://schemas.microsoft.com/office/spreadsheetml/2017/richdata2" ref="A2:C40">
    <sortCondition ref="B1:B40"/>
  </sortState>
  <tableColumns count="7">
    <tableColumn id="1" xr3:uid="{D3465064-BCEE-4D04-A8E6-DEAE11BBDA92}" name="Country"/>
    <tableColumn id="2" xr3:uid="{D66D54B4-4DED-47C6-BE50-755A236428ED}" name="Long_name"/>
    <tableColumn id="3" xr3:uid="{DB34E8EE-2DCE-45DC-955E-A0569FED64E5}" name="Mrd m3 [2020]" dataDxfId="103"/>
    <tableColumn id="5" xr3:uid="{4278F9D8-E46F-44B9-A622-727B8E2C8EF1}" name="Mil m3 EU [2020]" dataDxfId="102"/>
    <tableColumn id="6" xr3:uid="{F2BDB73C-713D-4BC7-B762-048AA072F297}" name="Mrd m3 EU [2020]" dataDxfId="101">
      <calculatedColumnFormula>Table2[[#This Row],[Mil m3 EU '[2020']]]/1000</calculatedColumnFormula>
    </tableColumn>
    <tableColumn id="7" xr3:uid="{337F5DC2-FD6B-445B-A2F7-5464B34B589E}" name="GWh [2020]" dataDxfId="100">
      <calculatedColumnFormula>Table2[[#This Row],[TWh '[2020']2]]*1000</calculatedColumnFormula>
    </tableColumn>
    <tableColumn id="4" xr3:uid="{5BB2DA97-8C23-44BC-9268-BDBE2BCDBBC8}" name="TWh [2020]2" dataDxfId="99">
      <calculatedColumnFormula>IF(Table2[[#This Row],[Mil m3 EU '[2020']]]&gt;0,Table2[[#This Row],[Mrd m3 EU '[2020']]],Table2[[#This Row],[Mrd m3 '[2020']]])*9.77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071428-9756-478B-B239-1474A97B9EF4}" name="Table7" displayName="Table7" ref="A1:G17" totalsRowShown="0" headerRowDxfId="98" headerRowBorderDxfId="97" tableBorderDxfId="96">
  <autoFilter ref="A1:G17" xr:uid="{E6071428-9756-478B-B239-1474A97B9EF4}"/>
  <tableColumns count="7">
    <tableColumn id="1" xr3:uid="{3F684FB4-9656-4C92-BAF4-456019B2B924}" name="Country"/>
    <tableColumn id="2" xr3:uid="{082B059D-405D-407D-8F97-297DCD23D3B2}" name="Long_name"/>
    <tableColumn id="3" xr3:uid="{388F462C-127F-4CB7-B46A-1DD19D06D0E8}" name="Mrd m3 [2020]"/>
    <tableColumn id="4" xr3:uid="{ACDF4345-6201-4524-A8D7-A0CE31D137A6}" name="Mil m3 [2020]"/>
    <tableColumn id="5" xr3:uid="{7B596C1D-5C84-4EE8-9BEB-2A91E37A640C}" name="Mrd m3 [2020]2" dataDxfId="95">
      <calculatedColumnFormula>Table7[[#This Row],[Mil m3 '[2020']]]/1000</calculatedColumnFormula>
    </tableColumn>
    <tableColumn id="7" xr3:uid="{4A1E0E2A-2ECC-45EB-9D63-EC01B197BAA8}" name="GWh [2020]" dataDxfId="94">
      <calculatedColumnFormula>Table7[[#This Row],[TWh '[2020']2]]*1000</calculatedColumnFormula>
    </tableColumn>
    <tableColumn id="6" xr3:uid="{ECFA587C-DE79-4510-9945-328AB8DBC35F}" name="TWh [2020]2" dataDxfId="93">
      <calculatedColumnFormula>IF(Table7[[#This Row],[Mil m3 '[2020']]]&gt;0,Table7[[#This Row],[Mrd m3 '[2020']2]],Table7[[#This Row],[Mrd m3 '[2020']]])*9.77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49C479-1393-40B9-97BF-B292D48CAD19}" name="Table26" displayName="Table26" ref="A1:G42" totalsRowShown="0">
  <autoFilter ref="A1:G42" xr:uid="{D12A1D17-871E-4E66-A144-F2ADD46C5E00}"/>
  <sortState xmlns:xlrd2="http://schemas.microsoft.com/office/spreadsheetml/2017/richdata2" ref="A2:C40">
    <sortCondition ref="B1:B40"/>
  </sortState>
  <tableColumns count="7">
    <tableColumn id="1" xr3:uid="{0D4D6418-D624-47ED-891A-572FBFD244A5}" name="Country"/>
    <tableColumn id="2" xr3:uid="{41AC793D-EB9C-4A09-A496-420AADE8645A}" name="Long_name"/>
    <tableColumn id="3" xr3:uid="{07045358-68F1-4DE8-BDB8-9DFBCD592DF5}" name="Mrd m3 [2020]" dataDxfId="92"/>
    <tableColumn id="5" xr3:uid="{42F1A333-D727-4655-B618-A9AB5617745F}" name="Mil m3 EU [2020]" dataDxfId="91"/>
    <tableColumn id="6" xr3:uid="{326B3A9A-70B2-4D34-8E01-54CBBD0565E6}" name="Mrd m3 EU [2020]" dataDxfId="90">
      <calculatedColumnFormula>Table26[[#This Row],[Mil m3 EU '[2020']]]/1000</calculatedColumnFormula>
    </tableColumn>
    <tableColumn id="7" xr3:uid="{7EF7045A-D72E-40AA-A523-1A389D57AAF5}" name="GWh [2020]" dataDxfId="89">
      <calculatedColumnFormula>Table26[[#This Row],[TWh '[2020']]]*1000</calculatedColumnFormula>
    </tableColumn>
    <tableColumn id="4" xr3:uid="{DC1916A1-B3CC-4586-AE6D-12CF46A9C0F0}" name="TWh [2020]" dataDxfId="88">
      <calculatedColumnFormula>IF(Table26[[#This Row],[Mil m3 EU '[2020']]]&gt;0,Table26[[#This Row],[Mrd m3 EU '[2020']]],Table26[[#This Row],[Mrd m3 '[2020']]])*9.77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14358E-0A26-44DE-ADCA-3F13E2A3D0D9}" name="Table79" displayName="Table79" ref="A1:G17" totalsRowShown="0" headerRowDxfId="87" headerRowBorderDxfId="86" tableBorderDxfId="85">
  <autoFilter ref="A1:G17" xr:uid="{FA14358E-0A26-44DE-ADCA-3F13E2A3D0D9}"/>
  <tableColumns count="7">
    <tableColumn id="1" xr3:uid="{3A97CAD5-3E8B-4CBA-A265-7CE9E55AACD4}" name="Country"/>
    <tableColumn id="2" xr3:uid="{0BE0E24B-4D76-4AFC-B5E9-84E609FF4FC0}" name="Long_name"/>
    <tableColumn id="3" xr3:uid="{02819FD0-F6B6-484E-B4DA-8262AECE7052}" name="Mrd m3 [2020]"/>
    <tableColumn id="4" xr3:uid="{A15C284E-E91C-44C6-B3BB-CC2DD205DA84}" name="Mil m3 [2020]"/>
    <tableColumn id="5" xr3:uid="{27836BC3-6815-42AC-A9E2-8AADB6115B0F}" name="Mrd m3 [2020]2" dataDxfId="84">
      <calculatedColumnFormula>Table79[[#This Row],[Mil m3 '[2020']]]/1000</calculatedColumnFormula>
    </tableColumn>
    <tableColumn id="7" xr3:uid="{A1AF1224-2FA6-47E0-9ECD-AB8B46DF628B}" name="GWh [2020]" dataDxfId="83">
      <calculatedColumnFormula>Table79[[#This Row],[TWh '[2020']]]*1000</calculatedColumnFormula>
    </tableColumn>
    <tableColumn id="6" xr3:uid="{0CF67BB6-4E02-4893-BB83-4858F32AB909}" name="TWh [2020]" dataDxfId="82">
      <calculatedColumnFormula>IF(Table79[[#This Row],[Mil m3 '[2020']]]&gt;0,Table79[[#This Row],[Mrd m3 '[2020']2]],Table79[[#This Row],[Mrd m3 '[2020']]])*9.77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D9E5571-1845-4A9F-9E7C-B667F6A8C670}" name="Table2620" displayName="Table2620" ref="A1:G42" totalsRowShown="0">
  <autoFilter ref="A1:G42" xr:uid="{D12A1D17-871E-4E66-A144-F2ADD46C5E00}"/>
  <sortState xmlns:xlrd2="http://schemas.microsoft.com/office/spreadsheetml/2017/richdata2" ref="A2:C40">
    <sortCondition ref="B1:B40"/>
  </sortState>
  <tableColumns count="7">
    <tableColumn id="1" xr3:uid="{372275E9-F8BA-48D2-ACA0-A4A1A54CB9AA}" name="Country"/>
    <tableColumn id="2" xr3:uid="{82057241-5F95-4876-AE25-27D76578972D}" name="Long_name"/>
    <tableColumn id="3" xr3:uid="{87A0EF48-52CD-4413-BE4C-7A6E497EBCAC}" name="Mrd m3 [2035] SP" dataDxfId="81"/>
    <tableColumn id="5" xr3:uid="{6BE9D8BC-17DF-46B0-904B-E214536BC73C}" name="Mil m3 EU [2024]" dataDxfId="80"/>
    <tableColumn id="6" xr3:uid="{88443DA7-833C-4668-ABC7-6640612488C4}" name="Mrd m3 EU [2020]" dataDxfId="79"/>
    <tableColumn id="7" xr3:uid="{64FD0380-738D-4F61-AAEA-FA6952811E43}" name="GWh [2020]" dataDxfId="78">
      <calculatedColumnFormula>Table2620[[#This Row],[TWh '[2020']]]*1000</calculatedColumnFormula>
    </tableColumn>
    <tableColumn id="4" xr3:uid="{920F5378-329F-48CE-AB35-E8FBBE6E4295}" name="TWh [2020]" dataDxfId="77">
      <calculatedColumnFormula>(Table2620[[#This Row],[Mrd m3 '[2035'] SP]])*9.77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735A1A2-A9D6-4626-8E5A-A0290FCFFE36}" name="Table262021" displayName="Table262021" ref="A1:G42" totalsRowShown="0">
  <autoFilter ref="A1:G42" xr:uid="{D12A1D17-871E-4E66-A144-F2ADD46C5E00}"/>
  <sortState xmlns:xlrd2="http://schemas.microsoft.com/office/spreadsheetml/2017/richdata2" ref="A2:C40">
    <sortCondition ref="B1:B40"/>
  </sortState>
  <tableColumns count="7">
    <tableColumn id="1" xr3:uid="{0483DC4F-74A0-4FD7-965D-2CF2BE907B9E}" name="Country"/>
    <tableColumn id="2" xr3:uid="{79BB7EB0-D282-4AEF-A564-63421732A219}" name="Long_name"/>
    <tableColumn id="3" xr3:uid="{FF87377E-E2DA-4047-84FC-189C87065CD1}" name="Mrd m3 [2035] SP" dataDxfId="76"/>
    <tableColumn id="5" xr3:uid="{31D61434-4BE8-4DF8-919D-0B08C9C85FF9}" name="Mil m3 EU [2024]" dataDxfId="75"/>
    <tableColumn id="6" xr3:uid="{791C1399-23F6-4DDC-8608-02DCF3203E4D}" name="Mrd m3 EU [2020]" dataDxfId="74"/>
    <tableColumn id="7" xr3:uid="{C7B33927-885B-433C-9C92-1A5BB72E75AE}" name="GWh [2020]" dataDxfId="73">
      <calculatedColumnFormula>Table262021[[#This Row],[TWh '[2020']]]*1000</calculatedColumnFormula>
    </tableColumn>
    <tableColumn id="4" xr3:uid="{5CDEC814-A327-4D11-A6C7-3DEC6EA2D16D}" name="TWh [2020]" dataDxfId="72">
      <calculatedColumnFormula>(Table262021[[#This Row],[Mrd m3 '[2035'] SP]])*9.77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B215816-2FDA-4829-AC16-2EE92DD94CC3}" name="Table7919" displayName="Table7919" ref="A1:G17" totalsRowShown="0" headerRowDxfId="71" headerRowBorderDxfId="70" tableBorderDxfId="69">
  <autoFilter ref="A1:G17" xr:uid="{FA14358E-0A26-44DE-ADCA-3F13E2A3D0D9}"/>
  <tableColumns count="7">
    <tableColumn id="1" xr3:uid="{B2335C45-F098-43ED-B93A-E5FB5EF8509D}" name="Country"/>
    <tableColumn id="2" xr3:uid="{154B3C8E-B922-470F-AE16-75ED247FB778}" name="Long_name"/>
    <tableColumn id="3" xr3:uid="{2680A50A-41AA-4265-9E71-910C95E8A40D}" name="Mrd m3 [2020]"/>
    <tableColumn id="4" xr3:uid="{6E87E63F-505E-420A-A1BB-88EED1DA4433}" name="Mil m3 [2024]"/>
    <tableColumn id="5" xr3:uid="{A4F80785-5D31-4DEB-8C9A-B8678AC91976}" name="Mrd m3 [2020]2" dataDxfId="68"/>
    <tableColumn id="7" xr3:uid="{5E4FB509-2E7C-4F35-ABA3-27B44D26F2A0}" name="GWh [2020]" dataDxfId="67">
      <calculatedColumnFormula>Table7919[[#This Row],[TWh '[2020']]]*1000</calculatedColumnFormula>
    </tableColumn>
    <tableColumn id="6" xr3:uid="{404CEA6B-9B54-4634-86D8-4FC47FBC55CD}" name="TWh [2020]" dataDxfId="66">
      <calculatedColumnFormula>(Table7919[[#This Row],[Mrd m3 '[2020']]])*9.77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A1919-17A7-42D3-8518-97DC2C923D0A}" name="Table1" displayName="Table1" ref="A1:G42" totalsRowShown="0">
  <autoFilter ref="A1:G42" xr:uid="{B73A1919-17A7-42D3-8518-97DC2C923D0A}"/>
  <sortState xmlns:xlrd2="http://schemas.microsoft.com/office/spreadsheetml/2017/richdata2" ref="A2:E41">
    <sortCondition ref="B1:B41"/>
  </sortState>
  <tableColumns count="7">
    <tableColumn id="1" xr3:uid="{2E667126-F0AE-4045-8045-2063C112853F}" name="Country"/>
    <tableColumn id="2" xr3:uid="{536DA57B-A186-41E1-8967-E3467594200F}" name="Long_name"/>
    <tableColumn id="3" xr3:uid="{DEF527B1-DA00-467C-9DB5-2DC94D9B506B}" name="Mrd m3 [2020]" dataDxfId="65"/>
    <tableColumn id="4" xr3:uid="{1618AAC4-0782-47C3-91CE-2FEB95FBDD58}" name="TWh [2020]" dataDxfId="64">
      <calculatedColumnFormula>Table1[[#This Row],[Mrd m3 '[2020']]]*9.77*-1</calculatedColumnFormula>
    </tableColumn>
    <tableColumn id="5" xr3:uid="{0221D38A-A241-4AD5-A477-B5DD5AC2F6CF}" name="Population 2020 [Tsd]"/>
    <tableColumn id="6" xr3:uid="{3EB83E78-D0C6-4E28-AD34-69D840CBB511}" name="TWh by share" dataDxfId="63">
      <calculatedColumnFormula>IF(Table1[[#This Row],[TWh '[2020']]]=0,$D$27*(E2/$E$27),0)</calculatedColumnFormula>
    </tableColumn>
    <tableColumn id="7" xr3:uid="{53C148C2-CAF7-47BC-9950-964805B82325}" name="GWh [2020]" dataDxfId="62">
      <calculatedColumnFormula>MIN(Table1[[#This Row],[TWh '[2020']]],Table1[[#This Row],[TWh by share]])*1000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21D055-B007-41DB-BE6E-1CB7426AD04E}" name="Table7910" displayName="Table7910" ref="A1:G22" totalsRowShown="0" headerRowDxfId="61" headerRowBorderDxfId="60" tableBorderDxfId="59">
  <autoFilter ref="A1:G22" xr:uid="{2521D055-B007-41DB-BE6E-1CB7426AD04E}"/>
  <tableColumns count="7">
    <tableColumn id="1" xr3:uid="{555371BF-8030-4257-9852-212E94829B9B}" name="Country"/>
    <tableColumn id="2" xr3:uid="{7A6B9E51-21D4-42B2-AFBA-7B60A87AD8C0}" name="Long_name"/>
    <tableColumn id="3" xr3:uid="{236E80DE-4D1E-44E6-BEEB-14AFF8D0DDB8}" name="Mrd m3 [2020]"/>
    <tableColumn id="4" xr3:uid="{E205F142-327E-4DD1-B26C-F606AE947DFF}" name="Mil m3 [2020]"/>
    <tableColumn id="5" xr3:uid="{75FBA110-8C6B-463E-9AAF-A26754EAB077}" name="Mrd m3 [2020]2" dataDxfId="58">
      <calculatedColumnFormula>Table7910[[#This Row],[Mil m3 '[2020']]]/1000</calculatedColumnFormula>
    </tableColumn>
    <tableColumn id="7" xr3:uid="{95C698CF-3EBE-40E8-840D-A6C3E41CFB2C}" name="GWh [2020]" dataDxfId="57">
      <calculatedColumnFormula>Table7910[[#This Row],[TWh '[2020']]]*1000</calculatedColumnFormula>
    </tableColumn>
    <tableColumn id="6" xr3:uid="{44160680-3C35-4A7A-9677-B7F78304684A}" name="TWh [2020]" dataDxfId="56">
      <calculatedColumnFormula>IF(Table7910[[#This Row],[Mil m3 '[2020']]]&gt;0,Table7910[[#This Row],[Mrd m3 '[2020']2]],Table7910[[#This Row],[Mrd m3 '[2020']]])*9.77*(-1)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AAA988-46A0-43D3-858D-474206C07928}" name="Table15" displayName="Table15" ref="A1:G42" totalsRowShown="0">
  <autoFilter ref="A1:G42" xr:uid="{B73A1919-17A7-42D3-8518-97DC2C923D0A}"/>
  <sortState xmlns:xlrd2="http://schemas.microsoft.com/office/spreadsheetml/2017/richdata2" ref="A2:E41">
    <sortCondition ref="B1:B41"/>
  </sortState>
  <tableColumns count="7">
    <tableColumn id="1" xr3:uid="{1826A6AD-7549-4A36-9CAD-F7CC4267BC89}" name="Country"/>
    <tableColumn id="2" xr3:uid="{14DF1FF8-80AC-4997-9DB3-672516878B5D}" name="Long_name"/>
    <tableColumn id="3" xr3:uid="{889AC7A4-1DBA-4A7D-96F7-5301C2F9E594}" name="Mrd m3 [2023]" dataDxfId="55"/>
    <tableColumn id="4" xr3:uid="{60E83C2D-D521-4D6A-800D-160C3176DFC7}" name="TWh [2023]" dataDxfId="54">
      <calculatedColumnFormula>Table15[[#This Row],[Mrd m3 '[2023']]]*9.77*-1</calculatedColumnFormula>
    </tableColumn>
    <tableColumn id="5" xr3:uid="{1EC72689-3FEE-4998-85C2-E4533CF3E650}" name="Population 2020 [Tsd]"/>
    <tableColumn id="7" xr3:uid="{9AD7149D-CE4C-40DA-896B-BFCD92F06B1A}" name="GWh [2020]" dataDxfId="53">
      <calculatedColumnFormula>MIN(Table15[[#This Row],[TWh '[2023']]],Table15[[#This Row],[TWh by share]])*1000</calculatedColumnFormula>
    </tableColumn>
    <tableColumn id="6" xr3:uid="{EA1A4D0E-E13A-491B-8024-93E1A98AD8DD}" name="TWh by share" dataDxfId="52">
      <calculatedColumnFormula>IF(Table15[[#This Row],[TWh '[2023']]]=0,$D$27*(E2/$E$27),0)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C68449-3183-4CCA-8C2E-9CAC7AE520BC}" name="Table1515" displayName="Table1515" ref="A1:L42" totalsRowShown="0">
  <autoFilter ref="A1:L42" xr:uid="{B73A1919-17A7-42D3-8518-97DC2C923D0A}"/>
  <sortState xmlns:xlrd2="http://schemas.microsoft.com/office/spreadsheetml/2017/richdata2" ref="A2:G41">
    <sortCondition ref="B1:B41"/>
  </sortState>
  <tableColumns count="12">
    <tableColumn id="1" xr3:uid="{2B878B00-DE19-4457-BC2C-B8AE9F12C299}" name="Country"/>
    <tableColumn id="2" xr3:uid="{628D4239-33B0-4A80-B761-460829DFA970}" name="Long_name"/>
    <tableColumn id="8" xr3:uid="{DFE1B0E7-A509-470D-83D5-78DA81BD7A41}" name="Mrd m3 [2035] SP" dataDxfId="51">
      <calculatedColumnFormula>IF(Table1515[[#This Row],[EU]]=1,$R$19*Table1515[[#This Row],[GWh '[2020']]]/$H$44,$R$18*Table1515[[#This Row],[GWh '[2020']]]/$H$45)</calculatedColumnFormula>
    </tableColumn>
    <tableColumn id="11" xr3:uid="{254B24B5-02B5-4792-8B10-81658E257110}" name="Mrd m3 [2035] AP" dataDxfId="50">
      <calculatedColumnFormula>IF(Table1515[[#This Row],[EU]]=1,$T$19*Table1515[[#This Row],[GWh '[2020']]]/$H$44,$T$18*Table1515[[#This Row],[GWh '[2020']]]/$H$45)</calculatedColumnFormula>
    </tableColumn>
    <tableColumn id="3" xr3:uid="{295B0DCE-300D-471F-B88E-BD00D3141C70}" name="Mrd m3 [2023]" dataDxfId="49"/>
    <tableColumn id="4" xr3:uid="{CFF2A961-5340-417B-A68C-5AA0571EECB8}" name="TWh [2023]" dataDxfId="48">
      <calculatedColumnFormula>Table1515[[#This Row],[Mrd m3 '[2023']]]*9.77*-1</calculatedColumnFormula>
    </tableColumn>
    <tableColumn id="5" xr3:uid="{5B526716-F904-4504-B78C-90658BFD4732}" name="Population 2020 [Tsd]"/>
    <tableColumn id="7" xr3:uid="{F8E669A0-69F8-498E-A3E1-14221B73E054}" name="GWh [2020]" dataDxfId="47">
      <calculatedColumnFormula>MIN(Table1515[[#This Row],[TWh '[2023']]],Table1515[[#This Row],[TWh by share]])*1000</calculatedColumnFormula>
    </tableColumn>
    <tableColumn id="10" xr3:uid="{C231D16E-346D-4A6C-BDE3-02DCD7F98838}" name="GWh [2035] SP" dataDxfId="46">
      <calculatedColumnFormula>Table1515[[#This Row],[Mrd m3 '[2035'] SP]]*9.77*-1000</calculatedColumnFormula>
    </tableColumn>
    <tableColumn id="12" xr3:uid="{B7100D75-BF53-4B84-BEA5-5B8213EA443B}" name="GWh [2035] AP" dataDxfId="45">
      <calculatedColumnFormula>Table1515[[#This Row],[Mrd m3 '[2035'] AP]]*9.77*-1000</calculatedColumnFormula>
    </tableColumn>
    <tableColumn id="6" xr3:uid="{38428858-BB77-4254-A9E7-787AC7919612}" name="TWh by share" dataDxfId="44">
      <calculatedColumnFormula>IF(Table1515[[#This Row],[TWh '[2023']]]=0,$F$27*(G2/$G$27),0)</calculatedColumnFormula>
    </tableColumn>
    <tableColumn id="9" xr3:uid="{062339C5-9866-4A10-AB51-65D785DCAE56}" name="EU" dataDxf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08528CF-29A5-43E5-A727-2B7CE8FC12B4}" name="Table1517" displayName="Table1517" ref="A1:G42" totalsRowShown="0">
  <autoFilter ref="A1:G42" xr:uid="{B73A1919-17A7-42D3-8518-97DC2C923D0A}"/>
  <sortState xmlns:xlrd2="http://schemas.microsoft.com/office/spreadsheetml/2017/richdata2" ref="A2:E41">
    <sortCondition ref="B1:B41"/>
  </sortState>
  <tableColumns count="7">
    <tableColumn id="1" xr3:uid="{CA354A90-14CD-497C-B488-7AEC84647A3E}" name="Country"/>
    <tableColumn id="2" xr3:uid="{8DE20B36-5C6F-46B2-80C9-98806D0DE7C8}" name="Long_name"/>
    <tableColumn id="3" xr3:uid="{F7413FD2-EBE6-4DD0-9ECA-4E33D07269BA}" name="GWh [2035] SP" dataDxfId="42">
      <calculatedColumnFormula>Table1515[[#This Row],[GWh '[2035'] SP]]</calculatedColumnFormula>
    </tableColumn>
    <tableColumn id="4" xr3:uid="{B0F52B8B-7854-4A88-A627-18C628B9FFAB}" name="TWh [2023]" dataDxfId="41">
      <calculatedColumnFormula>Table1517[[#This Row],[GWh '[2035'] SP]]/1000</calculatedColumnFormula>
    </tableColumn>
    <tableColumn id="5" xr3:uid="{F2B47B18-6912-445C-AA80-0884F2982CF7}" name="Population 2020 [Tsd]"/>
    <tableColumn id="7" xr3:uid="{479DE42A-4BF3-4462-BF4B-2B4124E58CD6}" name="GWh [2020]" dataDxfId="40">
      <calculatedColumnFormula>Table1517[[#This Row],[TWh '[2023']]]*1000</calculatedColumnFormula>
    </tableColumn>
    <tableColumn id="6" xr3:uid="{3EC6FD5C-175B-4AEC-9875-DCE8BEBC18DA}" name="TWh by share" dataDxfId="39">
      <calculatedColumnFormula>IF(Table1517[[#This Row],[TWh '[2023']]]=0,$D$27*(E2/$E$27),0)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8BCB4D-A741-4972-B206-458AA294EC20}" name="Table151718" displayName="Table151718" ref="A1:G42" totalsRowShown="0">
  <autoFilter ref="A1:G42" xr:uid="{B73A1919-17A7-42D3-8518-97DC2C923D0A}"/>
  <sortState xmlns:xlrd2="http://schemas.microsoft.com/office/spreadsheetml/2017/richdata2" ref="A2:E41">
    <sortCondition ref="B1:B41"/>
  </sortState>
  <tableColumns count="7">
    <tableColumn id="1" xr3:uid="{525F5FD4-F46E-4308-AA80-F6754BF33842}" name="Country"/>
    <tableColumn id="2" xr3:uid="{EE4F2458-B9D9-4284-9A97-E1F2DBBADABD}" name="Long_name"/>
    <tableColumn id="3" xr3:uid="{4BCACEF1-2365-46F5-80EF-FF82C7864181}" name="GWh [2035] SP" dataDxfId="38">
      <calculatedColumnFormula>Table1515[[#This Row],[GWh '[2035'] AP]]</calculatedColumnFormula>
    </tableColumn>
    <tableColumn id="4" xr3:uid="{242F6F74-7D77-4BEA-9D4C-482848363307}" name="TWh [2023]" dataDxfId="37">
      <calculatedColumnFormula>Table151718[[#This Row],[GWh '[2035'] SP]]/1000</calculatedColumnFormula>
    </tableColumn>
    <tableColumn id="5" xr3:uid="{351CAF98-30C7-4411-A6AE-C7305BC7E6B7}" name="Population 2020 [Tsd]"/>
    <tableColumn id="7" xr3:uid="{B08E4D2A-92D2-4C87-BFBE-D74D0C85B64C}" name="GWh [2020]" dataDxfId="36">
      <calculatedColumnFormula>Table151718[[#This Row],[TWh '[2023']]]*1000</calculatedColumnFormula>
    </tableColumn>
    <tableColumn id="6" xr3:uid="{F133F4B6-959B-4931-9BF3-538BD68B0E51}" name="TWh by share" dataDxfId="35">
      <calculatedColumnFormula>IF(Table151718[[#This Row],[TWh '[2023']]]=0,$D$27*(E2/$E$27),0)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148266-610F-49B2-B97A-CC785A7B2E24}" name="Table791011" displayName="Table791011" ref="A1:G22" totalsRowShown="0" headerRowDxfId="34" headerRowBorderDxfId="33" tableBorderDxfId="32">
  <autoFilter ref="A1:G22" xr:uid="{F8148266-610F-49B2-B97A-CC785A7B2E24}"/>
  <tableColumns count="7">
    <tableColumn id="1" xr3:uid="{C2F3768C-4A25-4EBA-988D-C95C814AC7F5}" name="Country"/>
    <tableColumn id="2" xr3:uid="{644153F9-1004-4913-B5A7-2379099164C2}" name="Long_name"/>
    <tableColumn id="3" xr3:uid="{779C3748-4ECD-495F-809A-B5DD28F5EC2F}" name="Mrd m3 [2020]"/>
    <tableColumn id="4" xr3:uid="{94BC7314-C5A0-4AAD-895B-84E7A94D7CF7}" name="Mil m3 [2020]"/>
    <tableColumn id="5" xr3:uid="{21C0A2F1-DDD6-47B5-AF7F-8D71E23D7D04}" name="Mrd m3 [2020]2" dataDxfId="31">
      <calculatedColumnFormula>Table791011[[#This Row],[Mil m3 '[2020']]]/1000</calculatedColumnFormula>
    </tableColumn>
    <tableColumn id="7" xr3:uid="{800E9158-5DB0-43C4-A644-BF3466322E9E}" name="GWh [2020]" dataDxfId="30">
      <calculatedColumnFormula>Table791011[[#This Row],[TWh '[2020']]]*1000</calculatedColumnFormula>
    </tableColumn>
    <tableColumn id="6" xr3:uid="{28EBAF35-966D-44B9-8859-9AC70136DAAC}" name="TWh [2020]" dataDxfId="29">
      <calculatedColumnFormula>IF(Table791011[[#This Row],[Mil m3 '[2020']]]&gt;0,Table791011[[#This Row],[Mrd m3 '[2020']2]],Table791011[[#This Row],[Mrd m3 '[2020']]])*9.77*(-1)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79395A-60EB-4AFC-9198-70689EC3039D}" name="Table79101116" displayName="Table79101116" ref="A1:G22" totalsRowShown="0" headerRowDxfId="28" headerRowBorderDxfId="27" tableBorderDxfId="26">
  <autoFilter ref="A1:G22" xr:uid="{F8148266-610F-49B2-B97A-CC785A7B2E24}"/>
  <tableColumns count="7">
    <tableColumn id="1" xr3:uid="{D09F8E08-D996-4BEB-AB9C-D48B4A898D7C}" name="Country"/>
    <tableColumn id="2" xr3:uid="{202242D6-E4EB-4567-904C-69F3B6D0975C}" name="Long_name"/>
    <tableColumn id="3" xr3:uid="{81E76B95-7303-43E1-9C36-60BF9F571714}" name="Mrd m3 [2035]"/>
    <tableColumn id="4" xr3:uid="{056327DC-03D3-42F1-9E67-77A2986E3E1D}" name="values 2024"/>
    <tableColumn id="5" xr3:uid="{045572F5-912C-4B6C-8BCA-CCE183AD4A4E}" name="Mrd m3 [2020]2" dataDxfId="25">
      <calculatedColumnFormula>Table79101116[[#This Row],[values 2024]]/1000</calculatedColumnFormula>
    </tableColumn>
    <tableColumn id="7" xr3:uid="{DA064D9E-1168-4CB6-B3AA-E50FAC653181}" name="GWh [2020]" dataDxfId="24">
      <calculatedColumnFormula>Table79101116[[#This Row],[TWh '[2020']]]*1000</calculatedColumnFormula>
    </tableColumn>
    <tableColumn id="6" xr3:uid="{EAF9FC8E-89CB-4295-BD8E-F84762361F50}" name="TWh [2020]" dataDxfId="23">
      <calculatedColumnFormula>Table79101116[[#This Row],[Mrd m3 '[2035']]]*9.77*(-1)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2C0BEF-3C88-4803-B1D2-BF2F4DD3F518}" name="Table3" displayName="Table3" ref="A1:H109" totalsRowShown="0">
  <autoFilter ref="A1:H109" xr:uid="{E12C0BEF-3C88-4803-B1D2-BF2F4DD3F518}"/>
  <sortState xmlns:xlrd2="http://schemas.microsoft.com/office/spreadsheetml/2017/richdata2" ref="A2:H109">
    <sortCondition ref="A1:A109"/>
  </sortState>
  <tableColumns count="8">
    <tableColumn id="1" xr3:uid="{219AA680-07D9-48B0-B14B-30DEB35BCA8F}" name="From"/>
    <tableColumn id="2" xr3:uid="{E784BABD-0C8D-432D-BD44-A8B352E95ABA}" name="To"/>
    <tableColumn id="3" xr3:uid="{E3A34820-3FE9-4103-AD3C-3049C2E0EF69}" name="GWh/d [capacity map]"/>
    <tableColumn id="6" xr3:uid="{A0FB7BA7-3F41-4BBA-8A14-1E94492463BD}" name="GWh/d [gasdashboard]"/>
    <tableColumn id="7" xr3:uid="{397AB07D-FFB8-4071-9AA1-95B47650C2EE}" name="GWh/d [transparency map]"/>
    <tableColumn id="4" xr3:uid="{3AEF69B4-7F8D-4A8D-9ECC-304CF79E8972}" name="GWh/a" dataDxfId="22">
      <calculatedColumnFormula>MIN(Table3[[#This Row],[GWh/d '[capacity map']]:[GWh/d '[transparency map']]])*365</calculatedColumnFormula>
    </tableColumn>
    <tableColumn id="5" xr3:uid="{C0891C32-33A4-460A-9650-5007708D8C42}" name="TWh/a">
      <calculatedColumnFormula>F2/1000</calculatedColumnFormula>
    </tableColumn>
    <tableColumn id="8" xr3:uid="{E4B126C2-804B-4928-BF8B-8FE6229310A1}" name="Comm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7F2F97-F859-4A2C-9657-17C35EEFE785}" name="Table37" displayName="Table37" ref="A1:H116" totalsRowShown="0">
  <autoFilter ref="A1:H116" xr:uid="{E12C0BEF-3C88-4803-B1D2-BF2F4DD3F518}"/>
  <sortState xmlns:xlrd2="http://schemas.microsoft.com/office/spreadsheetml/2017/richdata2" ref="A2:H116">
    <sortCondition ref="A1:A116"/>
  </sortState>
  <tableColumns count="8">
    <tableColumn id="1" xr3:uid="{F94559DC-2602-4FF1-9531-3B8A374512C0}" name="From"/>
    <tableColumn id="2" xr3:uid="{C59F5B7E-5BA7-48FA-B638-C3CA1C390D23}" name="To"/>
    <tableColumn id="3" xr3:uid="{25844A02-A5B8-4E0F-A1F1-CADE8B45CB0B}" name="GWh/d [capacity map]"/>
    <tableColumn id="6" xr3:uid="{F541A5EF-AB26-4856-A267-7C479F3C28D6}" name="GWh/d [gasdashboard]"/>
    <tableColumn id="7" xr3:uid="{62596593-818F-4275-8D67-AF2318066747}" name="GWh/d [transparency map]"/>
    <tableColumn id="4" xr3:uid="{5C8FC5F5-71C8-46FA-A71A-C76F6BCDF27A}" name="GWh/a" dataDxfId="21">
      <calculatedColumnFormula>MIN(Table37[[#This Row],[GWh/d '[capacity map']]:[GWh/d '[transparency map']]])*365</calculatedColumnFormula>
    </tableColumn>
    <tableColumn id="5" xr3:uid="{4A6D83FB-F45E-426C-993C-A96BB790CCE2}" name="TWh/a">
      <calculatedColumnFormula>F2/1000</calculatedColumnFormula>
    </tableColumn>
    <tableColumn id="8" xr3:uid="{18E94D69-5388-4B9B-8C8E-7A29BC79BE42}" name="Comme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9CE3872-8265-4657-B167-1984CE10B520}" name="Table3722" displayName="Table3722" ref="A1:H116" totalsRowShown="0">
  <autoFilter ref="A1:H116" xr:uid="{E12C0BEF-3C88-4803-B1D2-BF2F4DD3F518}"/>
  <sortState xmlns:xlrd2="http://schemas.microsoft.com/office/spreadsheetml/2017/richdata2" ref="A2:H116">
    <sortCondition ref="A1:A116"/>
  </sortState>
  <tableColumns count="8">
    <tableColumn id="1" xr3:uid="{F14D43A3-A9DC-4AF6-965B-02FF00C7431E}" name="From"/>
    <tableColumn id="2" xr3:uid="{6AA17822-F0EF-4AF6-BF1B-0984D2C5A7BB}" name="To"/>
    <tableColumn id="3" xr3:uid="{3961CA94-120C-4D7F-838A-2782DE770307}" name="GWh/d [capacity map]"/>
    <tableColumn id="6" xr3:uid="{BC96C019-BAD0-42F2-A4E0-6FC2B5CF7E7E}" name="GWh/d [gasdashboard]"/>
    <tableColumn id="7" xr3:uid="{BA51C83F-53CF-4697-8BF0-04CFAA5A3ABA}" name="GWh/d [transparency map]"/>
    <tableColumn id="4" xr3:uid="{0AF8716B-5260-42CA-B823-A9869A7B5780}" name="GWh/a" dataDxfId="20">
      <calculatedColumnFormula>MIN(Table3722[[#This Row],[GWh/d '[capacity map']]:[GWh/d '[transparency map']]])*365</calculatedColumnFormula>
    </tableColumn>
    <tableColumn id="5" xr3:uid="{94A09920-447D-4D05-850B-5DCBDB5251A4}" name="TWh/a">
      <calculatedColumnFormula>F2/1000</calculatedColumnFormula>
    </tableColumn>
    <tableColumn id="8" xr3:uid="{E47439CF-3EF2-4B89-A407-D2F9DD35CCBF}" name="Comm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04487F-10A3-408B-96B9-D54FDBF0F8A7}" name="Table12" displayName="Table12" ref="A1:I13" totalsRowShown="0">
  <autoFilter ref="A1:I13" xr:uid="{8104487F-10A3-408B-96B9-D54FDBF0F8A7}"/>
  <tableColumns count="9">
    <tableColumn id="1" xr3:uid="{8DC4F854-8C96-4C42-AF47-2C64D82D363F}" name="From"/>
    <tableColumn id="2" xr3:uid="{9178F7D7-E3CA-468B-8BE5-E203B9CC620E}" name="To"/>
    <tableColumn id="3" xr3:uid="{9BB01476-57DE-4D59-8170-98FAC18CF80C}" name="bcm/a  [capacity]"/>
    <tableColumn id="4" xr3:uid="{C2ACAF97-BD78-4A6B-9BC8-C18DDEE06FC3}" name="GWh/a" dataDxfId="19">
      <calculatedColumnFormula>C2*9.77*1000</calculatedColumnFormula>
    </tableColumn>
    <tableColumn id="5" xr3:uid="{01416B1F-02D4-4015-854F-1DF81E1DF7B6}" name="TWh/a" dataDxfId="18">
      <calculatedColumnFormula>D2/1000</calculatedColumnFormula>
    </tableColumn>
    <tableColumn id="6" xr3:uid="{19F26947-5FDD-4F06-A68D-DB6766B439A7}" name="distance [miles]"/>
    <tableColumn id="7" xr3:uid="{2F09491D-CBE5-4483-9E89-48B7C57273C2}" name="distance [km]">
      <calculatedColumnFormula>F2*1.60934449789256</calculatedColumnFormula>
    </tableColumn>
    <tableColumn id="8" xr3:uid="{684836E2-9F64-48D9-962B-C15DC90900B8}" name="comment"/>
    <tableColumn id="9" xr3:uid="{A609EF7B-5D9A-46E3-BA4B-384CB20A964B}" name="additional sour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4061AA-5D26-4056-B170-4E1336D4AD38}" name="LNG_global" displayName="LNG_global" ref="A1:I170" totalsRowShown="0" headerRowDxfId="17" headerRowBorderDxfId="16" tableBorderDxfId="15" totalsRowBorderDxfId="14">
  <autoFilter ref="A1:I170" xr:uid="{CA4061AA-5D26-4056-B170-4E1336D4AD38}"/>
  <tableColumns count="9">
    <tableColumn id="1" xr3:uid="{D87F3249-C438-463D-BC6F-F254968A928D}" name="From"/>
    <tableColumn id="2" xr3:uid="{36192F9A-102D-4019-9A43-508B12FDAFA2}" name="To"/>
    <tableColumn id="3" xr3:uid="{426DF8FF-B8EF-4473-B5C0-4A6D2531E9C8}" name="GWh/d [capacity]"/>
    <tableColumn id="6" xr3:uid="{FE296762-E7A2-4F83-8B38-CCAC423CA9A3}" name="GWh/a">
      <calculatedColumnFormula>MIN(Table37[[#This Row],[GWh/d '[capacity map']]:[GWh/d '[transparency map']]])*365</calculatedColumnFormula>
    </tableColumn>
    <tableColumn id="7" xr3:uid="{15452FB1-E8BF-413E-AF8B-8B2631F8DB73}" name="TWh/a">
      <calculatedColumnFormula>D2/1000</calculatedColumnFormula>
    </tableColumn>
    <tableColumn id="5" xr3:uid="{7E7B8CB5-D54F-4427-813D-93B66C13FCBB}" name="Distance [miles]"/>
    <tableColumn id="4" xr3:uid="{471A6E47-FCB7-45E1-9F0A-DCC77964F44D}" name="Distance [km]" dataDxfId="13">
      <calculatedColumnFormula>LNG_global[[#This Row],[Distance '[miles']]]*1.60934449789256</calculatedColumnFormula>
    </tableColumn>
    <tableColumn id="9" xr3:uid="{DD9D70F1-D00A-43D9-9F09-037C2573E34A}" name="Suez or Panama" dataDxfId="12"/>
    <tableColumn id="8" xr3:uid="{ECBB25E4-2145-4120-8981-E6E8E1591E5B}" name="Comme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1F31BC-0CA5-4B1A-808E-7A8A6507019C}" name="LNG_global14" displayName="LNG_global14" ref="A1:I239" totalsRowShown="0" headerRowDxfId="11" headerRowBorderDxfId="10" tableBorderDxfId="9" totalsRowBorderDxfId="8">
  <autoFilter ref="A1:I239" xr:uid="{CA4061AA-5D26-4056-B170-4E1336D4AD38}"/>
  <tableColumns count="9">
    <tableColumn id="1" xr3:uid="{D01CBB17-E8FF-44A2-B87B-A0B5AC3337BA}" name="From"/>
    <tableColumn id="2" xr3:uid="{2B10426C-1F03-4DCD-8E1F-B75B14040753}" name="To"/>
    <tableColumn id="3" xr3:uid="{22CC2043-CD18-4BAE-A48A-9DB7CF2F3E2F}" name="GWh/d [capacity]"/>
    <tableColumn id="6" xr3:uid="{CECFE5AF-5D48-42EE-A4E2-71EE0E776650}" name="GWh/a">
      <calculatedColumnFormula>MIN(Table37[[#This Row],[GWh/d '[capacity map']]:[GWh/d '[transparency map']]])*365</calculatedColumnFormula>
    </tableColumn>
    <tableColumn id="7" xr3:uid="{A980C55B-694D-4EBF-88F4-17D741B2E286}" name="TWh/a">
      <calculatedColumnFormula>D2/1000</calculatedColumnFormula>
    </tableColumn>
    <tableColumn id="5" xr3:uid="{B6C8563B-B70E-4D32-A7CA-353FAC6B7501}" name="Distance [miles]"/>
    <tableColumn id="4" xr3:uid="{DB3ABB11-1F6C-4F58-B946-9343785CF33A}" name="Distance [km]" dataDxfId="7">
      <calculatedColumnFormula>LNG_global14[[#This Row],[Distance '[miles']]]*1.60934449789256</calculatedColumnFormula>
    </tableColumn>
    <tableColumn id="9" xr3:uid="{601054B1-1B08-47CB-880D-0D80ED1BD0EA}" name="Suez or Panama" dataDxfId="6"/>
    <tableColumn id="8" xr3:uid="{F8768BD8-8B11-4BD9-B074-AD5ADFFDF447}" name="Comme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B6F6EBF-837E-4C6E-87B9-22B5E7C1A32C}" name="LNG_global1423" displayName="LNG_global1423" ref="A1:I215" totalsRowShown="0" headerRowDxfId="5" headerRowBorderDxfId="4" tableBorderDxfId="3" totalsRowBorderDxfId="2">
  <autoFilter ref="A1:I215" xr:uid="{CA4061AA-5D26-4056-B170-4E1336D4AD38}"/>
  <tableColumns count="9">
    <tableColumn id="1" xr3:uid="{EAA26E2C-1949-4C4F-8D8C-2606BC6C5C27}" name="From"/>
    <tableColumn id="2" xr3:uid="{CB976402-BB40-40D7-BC93-46187489E18C}" name="To"/>
    <tableColumn id="3" xr3:uid="{BF76E879-1C69-42FE-B31C-DD385D1FF81E}" name="GWh/d [capacity]"/>
    <tableColumn id="6" xr3:uid="{597B7E35-8A8C-4D23-8D7B-F00569FF241A}" name="GWh/a">
      <calculatedColumnFormula>MIN(Table37[[#This Row],[GWh/d '[capacity map']]:[GWh/d '[transparency map']]])*365</calculatedColumnFormula>
    </tableColumn>
    <tableColumn id="7" xr3:uid="{DB1C249A-A794-4F9E-893E-7EDAD4018285}" name="TWh/a">
      <calculatedColumnFormula>D2/1000</calculatedColumnFormula>
    </tableColumn>
    <tableColumn id="5" xr3:uid="{2A3DF244-4FAE-4993-9DEA-495BB43BB92E}" name="Distance [miles]"/>
    <tableColumn id="4" xr3:uid="{BC8012D2-BA58-4D3F-BAC0-AF085B2E1A4C}" name="Distance [km]" dataDxfId="1">
      <calculatedColumnFormula>LNG_global1423[[#This Row],[Distance '[miles']]]*1.60934449789256</calculatedColumnFormula>
    </tableColumn>
    <tableColumn id="9" xr3:uid="{01A3A191-9692-4C2C-A7B3-0D2196CA510D}" name="Suez or Panama" dataDxfId="0"/>
    <tableColumn id="8" xr3:uid="{8F94EED9-C1D5-4756-ACF3-482717384D23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F2" sqref="F2"/>
    </sheetView>
  </sheetViews>
  <sheetFormatPr defaultRowHeight="14.5"/>
  <sheetData>
    <row r="1" spans="1:15">
      <c r="A1" t="s">
        <v>12</v>
      </c>
      <c r="B1" t="s">
        <v>93</v>
      </c>
      <c r="C1" t="s">
        <v>15</v>
      </c>
      <c r="D1" t="s">
        <v>90</v>
      </c>
      <c r="E1" t="s">
        <v>13</v>
      </c>
      <c r="F1" t="s">
        <v>14</v>
      </c>
      <c r="G1" t="s">
        <v>102</v>
      </c>
      <c r="H1" t="s">
        <v>105</v>
      </c>
      <c r="I1" t="s">
        <v>103</v>
      </c>
      <c r="N1" t="s">
        <v>92</v>
      </c>
      <c r="O1" t="s">
        <v>93</v>
      </c>
    </row>
    <row r="2" spans="1:15">
      <c r="A2" t="s">
        <v>0</v>
      </c>
      <c r="B2" t="s">
        <v>17</v>
      </c>
      <c r="C2">
        <v>11.4</v>
      </c>
      <c r="D2">
        <v>5.0999999999999996</v>
      </c>
      <c r="E2" s="1">
        <f>D2/C2</f>
        <v>0.44736842105263153</v>
      </c>
      <c r="F2">
        <v>9</v>
      </c>
      <c r="G2">
        <f>IF(C2&gt;F2,F2,C2)</f>
        <v>9</v>
      </c>
      <c r="H2">
        <f>I2*1000</f>
        <v>87929.999999999985</v>
      </c>
      <c r="I2">
        <f>G2*9.77</f>
        <v>87.929999999999993</v>
      </c>
      <c r="K2" t="s">
        <v>17</v>
      </c>
      <c r="L2" t="s">
        <v>100</v>
      </c>
      <c r="N2" t="str">
        <f>_xlfn.CONCAT(K2,L2)</f>
        <v>BE_LNG</v>
      </c>
      <c r="O2" t="str">
        <f>K2</f>
        <v>BE</v>
      </c>
    </row>
    <row r="3" spans="1:15">
      <c r="A3" t="s">
        <v>2</v>
      </c>
      <c r="B3" t="s">
        <v>25</v>
      </c>
      <c r="C3">
        <v>33</v>
      </c>
      <c r="D3">
        <v>19.600000000000001</v>
      </c>
      <c r="E3" s="1">
        <f t="shared" ref="E3:E14" si="0">D3/C3</f>
        <v>0.59393939393939399</v>
      </c>
      <c r="F3">
        <v>33</v>
      </c>
      <c r="G3">
        <f t="shared" ref="G3:G14" si="1">IF(C3&gt;F3,F3,C3)</f>
        <v>33</v>
      </c>
      <c r="H3">
        <f t="shared" ref="H3:H14" si="2">I3*1000</f>
        <v>322409.99999999994</v>
      </c>
      <c r="I3">
        <f t="shared" ref="I3:I14" si="3">G3*9.77</f>
        <v>322.40999999999997</v>
      </c>
      <c r="K3" t="s">
        <v>25</v>
      </c>
      <c r="L3" t="s">
        <v>100</v>
      </c>
      <c r="N3" t="str">
        <f t="shared" ref="N3:N13" si="4">_xlfn.CONCAT(K3,L3)</f>
        <v>FR_LNG</v>
      </c>
      <c r="O3" t="str">
        <f t="shared" ref="O3:O13" si="5">K3</f>
        <v>FR</v>
      </c>
    </row>
    <row r="4" spans="1:15">
      <c r="A4" t="s">
        <v>3</v>
      </c>
      <c r="B4" t="s">
        <v>264</v>
      </c>
      <c r="C4">
        <v>7</v>
      </c>
      <c r="D4">
        <v>2.5</v>
      </c>
      <c r="E4" s="1">
        <f t="shared" si="0"/>
        <v>0.35714285714285715</v>
      </c>
      <c r="F4">
        <v>7.5</v>
      </c>
      <c r="G4">
        <f t="shared" si="1"/>
        <v>7</v>
      </c>
      <c r="H4">
        <f t="shared" si="2"/>
        <v>68390</v>
      </c>
      <c r="I4">
        <f t="shared" si="3"/>
        <v>68.39</v>
      </c>
      <c r="K4" t="s">
        <v>264</v>
      </c>
      <c r="L4" t="s">
        <v>100</v>
      </c>
      <c r="N4" t="str">
        <f t="shared" si="4"/>
        <v>EL_LNG</v>
      </c>
      <c r="O4" t="str">
        <f t="shared" si="5"/>
        <v>EL</v>
      </c>
    </row>
    <row r="5" spans="1:15">
      <c r="A5" t="s">
        <v>4</v>
      </c>
      <c r="B5" t="s">
        <v>21</v>
      </c>
      <c r="C5">
        <v>15.95</v>
      </c>
      <c r="D5">
        <v>12.1</v>
      </c>
      <c r="E5" s="1">
        <f t="shared" si="0"/>
        <v>0.75862068965517238</v>
      </c>
      <c r="F5">
        <v>15.8</v>
      </c>
      <c r="G5">
        <f t="shared" si="1"/>
        <v>15.8</v>
      </c>
      <c r="H5">
        <f t="shared" si="2"/>
        <v>154366</v>
      </c>
      <c r="I5">
        <f t="shared" si="3"/>
        <v>154.36600000000001</v>
      </c>
      <c r="K5" t="s">
        <v>21</v>
      </c>
      <c r="L5" t="s">
        <v>100</v>
      </c>
      <c r="N5" t="str">
        <f t="shared" si="4"/>
        <v>IT_LNG</v>
      </c>
      <c r="O5" t="str">
        <f t="shared" si="5"/>
        <v>IT</v>
      </c>
    </row>
    <row r="6" spans="1:15">
      <c r="A6" t="s">
        <v>5</v>
      </c>
      <c r="B6" t="s">
        <v>24</v>
      </c>
      <c r="C6">
        <v>2.6</v>
      </c>
      <c r="D6">
        <v>0.4</v>
      </c>
      <c r="E6" s="1">
        <f t="shared" si="0"/>
        <v>0.15384615384615385</v>
      </c>
      <c r="F6">
        <v>2.6</v>
      </c>
      <c r="G6">
        <f t="shared" si="1"/>
        <v>2.6</v>
      </c>
      <c r="H6">
        <f t="shared" si="2"/>
        <v>25402</v>
      </c>
      <c r="I6">
        <f t="shared" si="3"/>
        <v>25.402000000000001</v>
      </c>
      <c r="K6" t="s">
        <v>24</v>
      </c>
      <c r="L6" t="s">
        <v>100</v>
      </c>
      <c r="N6" t="str">
        <f t="shared" si="4"/>
        <v>HR_LNG</v>
      </c>
      <c r="O6" t="str">
        <f t="shared" si="5"/>
        <v>HR</v>
      </c>
    </row>
    <row r="7" spans="1:15">
      <c r="A7" t="s">
        <v>6</v>
      </c>
      <c r="B7" t="s">
        <v>34</v>
      </c>
      <c r="C7">
        <v>4</v>
      </c>
      <c r="D7">
        <v>1.6</v>
      </c>
      <c r="E7" s="1">
        <f t="shared" si="0"/>
        <v>0.4</v>
      </c>
      <c r="F7">
        <v>4</v>
      </c>
      <c r="G7">
        <f t="shared" si="1"/>
        <v>4</v>
      </c>
      <c r="H7">
        <f t="shared" si="2"/>
        <v>39080</v>
      </c>
      <c r="I7">
        <f t="shared" si="3"/>
        <v>39.08</v>
      </c>
      <c r="K7" t="s">
        <v>34</v>
      </c>
      <c r="L7" t="s">
        <v>100</v>
      </c>
      <c r="N7" t="str">
        <f t="shared" si="4"/>
        <v>LT_LNG</v>
      </c>
      <c r="O7" t="str">
        <f t="shared" si="5"/>
        <v>LT</v>
      </c>
    </row>
    <row r="8" spans="1:15">
      <c r="A8" t="s">
        <v>7</v>
      </c>
      <c r="B8" t="s">
        <v>18</v>
      </c>
      <c r="C8">
        <v>12</v>
      </c>
      <c r="D8">
        <v>8.1999999999999993</v>
      </c>
      <c r="E8" s="1">
        <f t="shared" si="0"/>
        <v>0.68333333333333324</v>
      </c>
      <c r="F8">
        <v>12.5</v>
      </c>
      <c r="G8">
        <f t="shared" si="1"/>
        <v>12</v>
      </c>
      <c r="H8">
        <f t="shared" si="2"/>
        <v>117240</v>
      </c>
      <c r="I8">
        <f t="shared" si="3"/>
        <v>117.24</v>
      </c>
      <c r="K8" t="s">
        <v>18</v>
      </c>
      <c r="L8" t="s">
        <v>100</v>
      </c>
      <c r="N8" t="str">
        <f t="shared" si="4"/>
        <v>NL_LNG</v>
      </c>
      <c r="O8" t="str">
        <f t="shared" si="5"/>
        <v>NL</v>
      </c>
    </row>
    <row r="9" spans="1:15">
      <c r="A9" t="s">
        <v>8</v>
      </c>
      <c r="B9" t="s">
        <v>27</v>
      </c>
      <c r="C9">
        <v>6.2</v>
      </c>
      <c r="D9">
        <v>4.0999999999999996</v>
      </c>
      <c r="E9" s="1">
        <f t="shared" si="0"/>
        <v>0.66129032258064513</v>
      </c>
      <c r="F9">
        <v>5.8</v>
      </c>
      <c r="G9">
        <f t="shared" si="1"/>
        <v>5.8</v>
      </c>
      <c r="H9">
        <f t="shared" si="2"/>
        <v>56666</v>
      </c>
      <c r="I9">
        <f t="shared" si="3"/>
        <v>56.665999999999997</v>
      </c>
      <c r="K9" t="s">
        <v>27</v>
      </c>
      <c r="L9" t="s">
        <v>100</v>
      </c>
      <c r="N9" t="str">
        <f t="shared" si="4"/>
        <v>PL_LNG</v>
      </c>
      <c r="O9" t="str">
        <f t="shared" si="5"/>
        <v>PL</v>
      </c>
    </row>
    <row r="10" spans="1:15">
      <c r="A10" t="s">
        <v>1</v>
      </c>
      <c r="B10" t="s">
        <v>37</v>
      </c>
      <c r="C10">
        <v>7.6</v>
      </c>
      <c r="D10">
        <v>6.1</v>
      </c>
      <c r="E10" s="1">
        <f t="shared" si="0"/>
        <v>0.80263157894736836</v>
      </c>
      <c r="F10">
        <v>7.3</v>
      </c>
      <c r="G10">
        <f t="shared" si="1"/>
        <v>7.3</v>
      </c>
      <c r="H10">
        <f t="shared" si="2"/>
        <v>71321</v>
      </c>
      <c r="I10">
        <f t="shared" si="3"/>
        <v>71.320999999999998</v>
      </c>
      <c r="K10" t="s">
        <v>37</v>
      </c>
      <c r="L10" t="s">
        <v>100</v>
      </c>
      <c r="N10" t="str">
        <f t="shared" si="4"/>
        <v>PT_LNG</v>
      </c>
      <c r="O10" t="str">
        <f t="shared" si="5"/>
        <v>PT</v>
      </c>
    </row>
    <row r="11" spans="1:15">
      <c r="A11" t="s">
        <v>9</v>
      </c>
      <c r="B11" t="s">
        <v>36</v>
      </c>
      <c r="C11">
        <v>60.1</v>
      </c>
      <c r="D11">
        <v>20.9</v>
      </c>
      <c r="E11" s="1">
        <f t="shared" si="0"/>
        <v>0.3477537437603993</v>
      </c>
      <c r="F11">
        <v>67.099999999999994</v>
      </c>
      <c r="G11">
        <f t="shared" si="1"/>
        <v>60.1</v>
      </c>
      <c r="H11">
        <f t="shared" si="2"/>
        <v>587177</v>
      </c>
      <c r="I11">
        <f t="shared" si="3"/>
        <v>587.17700000000002</v>
      </c>
      <c r="K11" t="s">
        <v>36</v>
      </c>
      <c r="L11" t="s">
        <v>100</v>
      </c>
      <c r="N11" t="str">
        <f t="shared" si="4"/>
        <v>ES_LNG</v>
      </c>
      <c r="O11" t="str">
        <f t="shared" si="5"/>
        <v>ES</v>
      </c>
    </row>
    <row r="12" spans="1:15">
      <c r="A12" t="s">
        <v>10</v>
      </c>
      <c r="B12" t="s">
        <v>46</v>
      </c>
      <c r="C12">
        <v>43.6</v>
      </c>
      <c r="D12">
        <v>14.8</v>
      </c>
      <c r="E12" s="1">
        <f t="shared" si="0"/>
        <v>0.33944954128440369</v>
      </c>
      <c r="F12">
        <v>43.6</v>
      </c>
      <c r="G12">
        <f>IF(C12&gt;F12,F12,C12)</f>
        <v>43.6</v>
      </c>
      <c r="H12">
        <f t="shared" si="2"/>
        <v>425972</v>
      </c>
      <c r="I12">
        <f t="shared" si="3"/>
        <v>425.97199999999998</v>
      </c>
      <c r="K12" t="s">
        <v>46</v>
      </c>
      <c r="L12" t="s">
        <v>100</v>
      </c>
      <c r="N12" t="str">
        <f t="shared" si="4"/>
        <v>TR_LNG</v>
      </c>
      <c r="O12" t="str">
        <f t="shared" si="5"/>
        <v>TR</v>
      </c>
    </row>
    <row r="13" spans="1:15">
      <c r="A13" t="s">
        <v>11</v>
      </c>
      <c r="B13" t="s">
        <v>11</v>
      </c>
      <c r="C13">
        <v>48.1</v>
      </c>
      <c r="D13">
        <v>18.600000000000001</v>
      </c>
      <c r="E13" s="1">
        <f t="shared" si="0"/>
        <v>0.38669438669438672</v>
      </c>
      <c r="F13">
        <v>52.3</v>
      </c>
      <c r="G13">
        <f t="shared" si="1"/>
        <v>48.1</v>
      </c>
      <c r="H13">
        <f t="shared" si="2"/>
        <v>469937</v>
      </c>
      <c r="I13">
        <f t="shared" si="3"/>
        <v>469.93700000000001</v>
      </c>
      <c r="K13" t="s">
        <v>11</v>
      </c>
      <c r="L13" t="s">
        <v>100</v>
      </c>
      <c r="N13" t="str">
        <f t="shared" si="4"/>
        <v>UK_LNG</v>
      </c>
      <c r="O13" t="str">
        <f t="shared" si="5"/>
        <v>UK</v>
      </c>
    </row>
    <row r="14" spans="1:15">
      <c r="A14" t="s">
        <v>91</v>
      </c>
      <c r="B14" t="s">
        <v>99</v>
      </c>
      <c r="C14">
        <v>0.7</v>
      </c>
      <c r="E14" s="1">
        <f t="shared" si="0"/>
        <v>0</v>
      </c>
      <c r="F14">
        <v>0.7</v>
      </c>
      <c r="G14">
        <f t="shared" si="1"/>
        <v>0.7</v>
      </c>
      <c r="H14">
        <f t="shared" si="2"/>
        <v>6838.9999999999991</v>
      </c>
      <c r="I14">
        <f t="shared" si="3"/>
        <v>6.8389999999999995</v>
      </c>
      <c r="K1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4E44-EF0E-4B6E-954F-142396EAD0D0}">
  <dimension ref="A1:O19"/>
  <sheetViews>
    <sheetView topLeftCell="A4" workbookViewId="0">
      <selection activeCell="C18" sqref="C18"/>
    </sheetView>
  </sheetViews>
  <sheetFormatPr defaultRowHeight="14.5"/>
  <sheetData>
    <row r="1" spans="1:15">
      <c r="A1" t="s">
        <v>12</v>
      </c>
      <c r="B1" t="s">
        <v>93</v>
      </c>
      <c r="C1" t="s">
        <v>15</v>
      </c>
      <c r="D1" t="s">
        <v>90</v>
      </c>
      <c r="E1" t="s">
        <v>13</v>
      </c>
      <c r="F1" t="s">
        <v>14</v>
      </c>
      <c r="G1" t="s">
        <v>102</v>
      </c>
      <c r="H1" t="s">
        <v>105</v>
      </c>
      <c r="I1" t="s">
        <v>103</v>
      </c>
      <c r="N1" t="s">
        <v>92</v>
      </c>
      <c r="O1" t="s">
        <v>93</v>
      </c>
    </row>
    <row r="2" spans="1:15">
      <c r="A2" t="s">
        <v>0</v>
      </c>
      <c r="B2" t="s">
        <v>17</v>
      </c>
      <c r="C2">
        <v>15.3</v>
      </c>
      <c r="D2">
        <v>5.0999999999999996</v>
      </c>
      <c r="E2" s="1">
        <f>D2/C2</f>
        <v>0.33333333333333331</v>
      </c>
      <c r="F2">
        <f>C2</f>
        <v>15.3</v>
      </c>
      <c r="G2">
        <f>IF(C2&gt;F2,F2,C2)</f>
        <v>15.3</v>
      </c>
      <c r="H2">
        <f>I2*1000</f>
        <v>149481</v>
      </c>
      <c r="I2">
        <f>G2*9.77</f>
        <v>149.48099999999999</v>
      </c>
      <c r="K2" t="s">
        <v>17</v>
      </c>
      <c r="L2" t="s">
        <v>100</v>
      </c>
      <c r="N2" t="str">
        <f>_xlfn.CONCAT(K2,L2)</f>
        <v>BE_LNG</v>
      </c>
      <c r="O2" t="str">
        <f>K2</f>
        <v>BE</v>
      </c>
    </row>
    <row r="3" spans="1:15">
      <c r="A3" t="s">
        <v>2</v>
      </c>
      <c r="B3" t="s">
        <v>25</v>
      </c>
      <c r="C3">
        <v>39.5</v>
      </c>
      <c r="D3">
        <v>19.600000000000001</v>
      </c>
      <c r="E3" s="1">
        <f t="shared" ref="E3:E18" si="0">D3/C3</f>
        <v>0.49620253164556966</v>
      </c>
      <c r="F3">
        <f t="shared" ref="F3:F19" si="1">C3</f>
        <v>39.5</v>
      </c>
      <c r="G3">
        <f t="shared" ref="G3:G19" si="2">IF(C3&gt;F3,F3,C3)</f>
        <v>39.5</v>
      </c>
      <c r="H3">
        <f t="shared" ref="H3:H18" si="3">I3*1000</f>
        <v>385914.99999999994</v>
      </c>
      <c r="I3">
        <f t="shared" ref="I3:I18" si="4">G3*9.77</f>
        <v>385.91499999999996</v>
      </c>
      <c r="K3" t="s">
        <v>25</v>
      </c>
      <c r="L3" t="s">
        <v>100</v>
      </c>
      <c r="N3" t="str">
        <f t="shared" ref="N3:N18" si="5">_xlfn.CONCAT(K3,L3)</f>
        <v>FR_LNG</v>
      </c>
      <c r="O3" t="str">
        <f t="shared" ref="O3:O18" si="6">K3</f>
        <v>FR</v>
      </c>
    </row>
    <row r="4" spans="1:15">
      <c r="A4" t="s">
        <v>3</v>
      </c>
      <c r="B4" t="s">
        <v>264</v>
      </c>
      <c r="C4">
        <v>12.5</v>
      </c>
      <c r="D4">
        <v>2.5</v>
      </c>
      <c r="E4" s="1">
        <f t="shared" si="0"/>
        <v>0.2</v>
      </c>
      <c r="F4">
        <f t="shared" si="1"/>
        <v>12.5</v>
      </c>
      <c r="G4">
        <f t="shared" si="2"/>
        <v>12.5</v>
      </c>
      <c r="H4">
        <f t="shared" si="3"/>
        <v>122125</v>
      </c>
      <c r="I4">
        <f t="shared" si="4"/>
        <v>122.125</v>
      </c>
      <c r="K4" t="s">
        <v>264</v>
      </c>
      <c r="L4" t="s">
        <v>100</v>
      </c>
      <c r="N4" t="str">
        <f t="shared" si="5"/>
        <v>EL_LNG</v>
      </c>
      <c r="O4" t="str">
        <f t="shared" si="6"/>
        <v>EL</v>
      </c>
    </row>
    <row r="5" spans="1:15">
      <c r="A5" t="s">
        <v>4</v>
      </c>
      <c r="B5" t="s">
        <v>21</v>
      </c>
      <c r="C5">
        <v>25.95</v>
      </c>
      <c r="D5">
        <v>12.1</v>
      </c>
      <c r="E5" s="1">
        <f t="shared" si="0"/>
        <v>0.46628131021194608</v>
      </c>
      <c r="F5">
        <f t="shared" si="1"/>
        <v>25.95</v>
      </c>
      <c r="G5">
        <f t="shared" si="2"/>
        <v>25.95</v>
      </c>
      <c r="H5">
        <f t="shared" si="3"/>
        <v>253531.5</v>
      </c>
      <c r="I5">
        <f t="shared" si="4"/>
        <v>253.53149999999999</v>
      </c>
      <c r="K5" t="s">
        <v>21</v>
      </c>
      <c r="L5" t="s">
        <v>100</v>
      </c>
      <c r="N5" t="str">
        <f t="shared" si="5"/>
        <v>IT_LNG</v>
      </c>
      <c r="O5" t="str">
        <f t="shared" si="6"/>
        <v>IT</v>
      </c>
    </row>
    <row r="6" spans="1:15">
      <c r="A6" t="s">
        <v>5</v>
      </c>
      <c r="B6" t="s">
        <v>24</v>
      </c>
      <c r="C6">
        <v>2.6</v>
      </c>
      <c r="D6">
        <v>0.4</v>
      </c>
      <c r="E6" s="1">
        <f t="shared" si="0"/>
        <v>0.15384615384615385</v>
      </c>
      <c r="F6">
        <f t="shared" si="1"/>
        <v>2.6</v>
      </c>
      <c r="G6">
        <f t="shared" si="2"/>
        <v>2.6</v>
      </c>
      <c r="H6">
        <f t="shared" si="3"/>
        <v>25402</v>
      </c>
      <c r="I6">
        <f t="shared" si="4"/>
        <v>25.402000000000001</v>
      </c>
      <c r="K6" t="s">
        <v>24</v>
      </c>
      <c r="L6" t="s">
        <v>100</v>
      </c>
      <c r="N6" t="str">
        <f t="shared" si="5"/>
        <v>HR_LNG</v>
      </c>
      <c r="O6" t="str">
        <f t="shared" si="6"/>
        <v>HR</v>
      </c>
    </row>
    <row r="7" spans="1:15">
      <c r="A7" t="s">
        <v>6</v>
      </c>
      <c r="B7" t="s">
        <v>34</v>
      </c>
      <c r="C7">
        <v>4</v>
      </c>
      <c r="D7">
        <v>1.6</v>
      </c>
      <c r="E7" s="1">
        <f t="shared" si="0"/>
        <v>0.4</v>
      </c>
      <c r="F7">
        <f t="shared" si="1"/>
        <v>4</v>
      </c>
      <c r="G7">
        <f t="shared" si="2"/>
        <v>4</v>
      </c>
      <c r="H7">
        <f t="shared" si="3"/>
        <v>39080</v>
      </c>
      <c r="I7">
        <f t="shared" si="4"/>
        <v>39.08</v>
      </c>
      <c r="K7" t="s">
        <v>34</v>
      </c>
      <c r="L7" t="s">
        <v>100</v>
      </c>
      <c r="N7" t="str">
        <f t="shared" si="5"/>
        <v>LT_LNG</v>
      </c>
      <c r="O7" t="str">
        <f t="shared" si="6"/>
        <v>LT</v>
      </c>
    </row>
    <row r="8" spans="1:15">
      <c r="A8" t="s">
        <v>7</v>
      </c>
      <c r="B8" t="s">
        <v>18</v>
      </c>
      <c r="C8">
        <v>24</v>
      </c>
      <c r="D8">
        <v>8.1999999999999993</v>
      </c>
      <c r="E8" s="1">
        <f t="shared" si="0"/>
        <v>0.34166666666666662</v>
      </c>
      <c r="F8">
        <f t="shared" si="1"/>
        <v>24</v>
      </c>
      <c r="G8">
        <f t="shared" si="2"/>
        <v>24</v>
      </c>
      <c r="H8">
        <f t="shared" si="3"/>
        <v>234480</v>
      </c>
      <c r="I8">
        <f t="shared" si="4"/>
        <v>234.48</v>
      </c>
      <c r="K8" t="s">
        <v>18</v>
      </c>
      <c r="L8" t="s">
        <v>100</v>
      </c>
      <c r="N8" t="str">
        <f t="shared" si="5"/>
        <v>NL_LNG</v>
      </c>
      <c r="O8" t="str">
        <f t="shared" si="6"/>
        <v>NL</v>
      </c>
    </row>
    <row r="9" spans="1:15">
      <c r="A9" t="s">
        <v>8</v>
      </c>
      <c r="B9" t="s">
        <v>27</v>
      </c>
      <c r="C9">
        <v>8.3000000000000007</v>
      </c>
      <c r="D9">
        <v>4.0999999999999996</v>
      </c>
      <c r="E9" s="1">
        <f t="shared" si="0"/>
        <v>0.49397590361445776</v>
      </c>
      <c r="F9">
        <f t="shared" si="1"/>
        <v>8.3000000000000007</v>
      </c>
      <c r="G9">
        <f t="shared" si="2"/>
        <v>8.3000000000000007</v>
      </c>
      <c r="H9">
        <f t="shared" si="3"/>
        <v>81091.000000000015</v>
      </c>
      <c r="I9">
        <f t="shared" si="4"/>
        <v>81.091000000000008</v>
      </c>
      <c r="K9" t="s">
        <v>27</v>
      </c>
      <c r="L9" t="s">
        <v>100</v>
      </c>
      <c r="N9" t="str">
        <f t="shared" si="5"/>
        <v>PL_LNG</v>
      </c>
      <c r="O9" t="str">
        <f t="shared" si="6"/>
        <v>PL</v>
      </c>
    </row>
    <row r="10" spans="1:15">
      <c r="A10" t="s">
        <v>1</v>
      </c>
      <c r="B10" t="s">
        <v>37</v>
      </c>
      <c r="C10">
        <v>7.6</v>
      </c>
      <c r="D10">
        <v>6.1</v>
      </c>
      <c r="E10" s="1">
        <f t="shared" si="0"/>
        <v>0.80263157894736836</v>
      </c>
      <c r="F10">
        <f t="shared" si="1"/>
        <v>7.6</v>
      </c>
      <c r="G10">
        <f t="shared" si="2"/>
        <v>7.6</v>
      </c>
      <c r="H10">
        <f t="shared" si="3"/>
        <v>74252</v>
      </c>
      <c r="I10">
        <f t="shared" si="4"/>
        <v>74.251999999999995</v>
      </c>
      <c r="K10" t="s">
        <v>37</v>
      </c>
      <c r="L10" t="s">
        <v>100</v>
      </c>
      <c r="N10" t="str">
        <f t="shared" si="5"/>
        <v>PT_LNG</v>
      </c>
      <c r="O10" t="str">
        <f t="shared" si="6"/>
        <v>PT</v>
      </c>
    </row>
    <row r="11" spans="1:15">
      <c r="A11" t="s">
        <v>9</v>
      </c>
      <c r="B11" t="s">
        <v>36</v>
      </c>
      <c r="C11">
        <v>67.100000000000009</v>
      </c>
      <c r="D11">
        <v>20.9</v>
      </c>
      <c r="E11" s="1">
        <f t="shared" si="0"/>
        <v>0.31147540983606553</v>
      </c>
      <c r="F11">
        <f t="shared" si="1"/>
        <v>67.100000000000009</v>
      </c>
      <c r="G11">
        <f t="shared" si="2"/>
        <v>67.100000000000009</v>
      </c>
      <c r="H11">
        <f t="shared" si="3"/>
        <v>655567</v>
      </c>
      <c r="I11">
        <f t="shared" si="4"/>
        <v>655.56700000000001</v>
      </c>
      <c r="K11" t="s">
        <v>36</v>
      </c>
      <c r="L11" t="s">
        <v>100</v>
      </c>
      <c r="N11" t="str">
        <f t="shared" si="5"/>
        <v>ES_LNG</v>
      </c>
      <c r="O11" t="str">
        <f t="shared" si="6"/>
        <v>ES</v>
      </c>
    </row>
    <row r="12" spans="1:15">
      <c r="A12" t="s">
        <v>10</v>
      </c>
      <c r="B12" t="s">
        <v>46</v>
      </c>
      <c r="C12">
        <v>51.22</v>
      </c>
      <c r="D12">
        <v>14.8</v>
      </c>
      <c r="E12" s="1">
        <f t="shared" si="0"/>
        <v>0.2889496290511519</v>
      </c>
      <c r="F12">
        <f t="shared" si="1"/>
        <v>51.22</v>
      </c>
      <c r="G12">
        <f t="shared" si="2"/>
        <v>51.22</v>
      </c>
      <c r="H12">
        <f t="shared" si="3"/>
        <v>500419.39999999997</v>
      </c>
      <c r="I12">
        <f t="shared" si="4"/>
        <v>500.41939999999994</v>
      </c>
      <c r="K12" t="s">
        <v>46</v>
      </c>
      <c r="L12" t="s">
        <v>100</v>
      </c>
      <c r="N12" t="str">
        <f t="shared" si="5"/>
        <v>TR_LNG</v>
      </c>
      <c r="O12" t="str">
        <f t="shared" si="6"/>
        <v>TR</v>
      </c>
    </row>
    <row r="13" spans="1:15">
      <c r="A13" t="s">
        <v>11</v>
      </c>
      <c r="B13" t="s">
        <v>11</v>
      </c>
      <c r="C13">
        <v>48.1</v>
      </c>
      <c r="D13">
        <v>18.600000000000001</v>
      </c>
      <c r="E13" s="1">
        <f t="shared" si="0"/>
        <v>0.38669438669438672</v>
      </c>
      <c r="F13">
        <f t="shared" si="1"/>
        <v>48.1</v>
      </c>
      <c r="G13">
        <f t="shared" si="2"/>
        <v>48.1</v>
      </c>
      <c r="H13">
        <f t="shared" si="3"/>
        <v>469937</v>
      </c>
      <c r="I13">
        <f t="shared" si="4"/>
        <v>469.93700000000001</v>
      </c>
      <c r="K13" t="s">
        <v>11</v>
      </c>
      <c r="L13" t="s">
        <v>100</v>
      </c>
      <c r="N13" t="str">
        <f t="shared" si="5"/>
        <v>UK_LNG</v>
      </c>
      <c r="O13" t="str">
        <f t="shared" si="6"/>
        <v>UK</v>
      </c>
    </row>
    <row r="14" spans="1:15">
      <c r="A14" t="s">
        <v>128</v>
      </c>
      <c r="B14" t="s">
        <v>53</v>
      </c>
      <c r="C14">
        <v>0</v>
      </c>
      <c r="E14" s="1" t="e">
        <f t="shared" si="0"/>
        <v>#DIV/0!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  <c r="K14" t="s">
        <v>53</v>
      </c>
      <c r="L14" t="s">
        <v>100</v>
      </c>
      <c r="N14" t="str">
        <f t="shared" si="5"/>
        <v>EE_LNG</v>
      </c>
      <c r="O14" t="str">
        <f t="shared" si="6"/>
        <v>EE</v>
      </c>
    </row>
    <row r="15" spans="1:15">
      <c r="A15" t="s">
        <v>127</v>
      </c>
      <c r="B15" t="s">
        <v>54</v>
      </c>
      <c r="C15">
        <v>4.5</v>
      </c>
      <c r="E15" s="1">
        <f t="shared" si="0"/>
        <v>0</v>
      </c>
      <c r="F15">
        <f t="shared" si="1"/>
        <v>4.5</v>
      </c>
      <c r="G15">
        <f t="shared" si="2"/>
        <v>4.5</v>
      </c>
      <c r="H15">
        <f t="shared" si="3"/>
        <v>43964.999999999993</v>
      </c>
      <c r="I15">
        <f t="shared" si="4"/>
        <v>43.964999999999996</v>
      </c>
      <c r="K15" t="s">
        <v>54</v>
      </c>
      <c r="L15" t="s">
        <v>100</v>
      </c>
      <c r="N15" t="str">
        <f t="shared" si="5"/>
        <v>FI_LNG</v>
      </c>
      <c r="O15" t="str">
        <f t="shared" si="6"/>
        <v>FI</v>
      </c>
    </row>
    <row r="16" spans="1:15">
      <c r="A16" t="s">
        <v>129</v>
      </c>
      <c r="B16" t="s">
        <v>19</v>
      </c>
      <c r="C16">
        <v>18.810000000000002</v>
      </c>
      <c r="E16" s="1">
        <f t="shared" si="0"/>
        <v>0</v>
      </c>
      <c r="F16">
        <f t="shared" si="1"/>
        <v>18.810000000000002</v>
      </c>
      <c r="G16">
        <f t="shared" si="2"/>
        <v>18.810000000000002</v>
      </c>
      <c r="H16">
        <f t="shared" si="3"/>
        <v>183773.7</v>
      </c>
      <c r="I16">
        <f t="shared" si="4"/>
        <v>183.77370000000002</v>
      </c>
      <c r="K16" t="s">
        <v>19</v>
      </c>
      <c r="L16" t="s">
        <v>100</v>
      </c>
      <c r="N16" t="str">
        <f t="shared" si="5"/>
        <v>DE_LNG</v>
      </c>
      <c r="O16" t="str">
        <f t="shared" si="6"/>
        <v>DE</v>
      </c>
    </row>
    <row r="17" spans="1:15">
      <c r="A17" t="s">
        <v>130</v>
      </c>
      <c r="B17" t="s">
        <v>43</v>
      </c>
      <c r="C17">
        <v>0</v>
      </c>
      <c r="E17" s="1" t="e">
        <f t="shared" si="0"/>
        <v>#DIV/0!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  <c r="K17" t="s">
        <v>43</v>
      </c>
      <c r="L17" t="s">
        <v>100</v>
      </c>
      <c r="N17" t="str">
        <f t="shared" si="5"/>
        <v>IE_LNG</v>
      </c>
      <c r="O17" t="str">
        <f t="shared" si="6"/>
        <v>IE</v>
      </c>
    </row>
    <row r="18" spans="1:15">
      <c r="A18" t="s">
        <v>131</v>
      </c>
      <c r="B18" t="s">
        <v>35</v>
      </c>
      <c r="C18">
        <v>1.5</v>
      </c>
      <c r="E18" s="1">
        <f t="shared" si="0"/>
        <v>0</v>
      </c>
      <c r="F18">
        <f t="shared" si="1"/>
        <v>1.5</v>
      </c>
      <c r="G18">
        <f t="shared" si="2"/>
        <v>1.5</v>
      </c>
      <c r="H18">
        <f t="shared" si="3"/>
        <v>14655</v>
      </c>
      <c r="I18">
        <f t="shared" si="4"/>
        <v>14.654999999999999</v>
      </c>
      <c r="K18" t="s">
        <v>35</v>
      </c>
      <c r="L18" t="s">
        <v>100</v>
      </c>
      <c r="N18" t="str">
        <f t="shared" si="5"/>
        <v>LV_LNG</v>
      </c>
      <c r="O18" t="str">
        <f t="shared" si="6"/>
        <v>LV</v>
      </c>
    </row>
    <row r="19" spans="1:15">
      <c r="A19" t="s">
        <v>91</v>
      </c>
      <c r="B19" t="s">
        <v>99</v>
      </c>
      <c r="C19">
        <v>0.7</v>
      </c>
      <c r="E19" s="1">
        <f>D19/C19</f>
        <v>0</v>
      </c>
      <c r="F19">
        <f t="shared" si="1"/>
        <v>0.7</v>
      </c>
      <c r="G19">
        <f t="shared" si="2"/>
        <v>0.7</v>
      </c>
      <c r="H19">
        <f>I19*1000</f>
        <v>6838.9999999999991</v>
      </c>
      <c r="I19">
        <f>G19*9.77</f>
        <v>6.8389999999999995</v>
      </c>
      <c r="K19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C99F-E9F5-40FD-9F17-3E8BE1B3E129}">
  <dimension ref="A1:O19"/>
  <sheetViews>
    <sheetView workbookViewId="0">
      <selection activeCell="C25" sqref="C25"/>
    </sheetView>
  </sheetViews>
  <sheetFormatPr defaultRowHeight="14.5"/>
  <sheetData>
    <row r="1" spans="1:15">
      <c r="A1" t="s">
        <v>12</v>
      </c>
      <c r="B1" t="s">
        <v>93</v>
      </c>
      <c r="C1" t="s">
        <v>15</v>
      </c>
      <c r="D1" t="s">
        <v>90</v>
      </c>
      <c r="E1" t="s">
        <v>13</v>
      </c>
      <c r="F1" t="s">
        <v>14</v>
      </c>
      <c r="G1" t="s">
        <v>102</v>
      </c>
      <c r="H1" t="s">
        <v>105</v>
      </c>
      <c r="I1" t="s">
        <v>103</v>
      </c>
      <c r="N1" t="s">
        <v>92</v>
      </c>
      <c r="O1" t="s">
        <v>93</v>
      </c>
    </row>
    <row r="2" spans="1:15">
      <c r="A2" t="s">
        <v>0</v>
      </c>
      <c r="B2" t="s">
        <v>17</v>
      </c>
      <c r="C2">
        <v>15.3</v>
      </c>
      <c r="D2">
        <v>5.0999999999999996</v>
      </c>
      <c r="E2" s="1">
        <f>D2/C2</f>
        <v>0.33333333333333331</v>
      </c>
      <c r="F2">
        <f>C2</f>
        <v>15.3</v>
      </c>
      <c r="G2">
        <f>IF(C2&gt;F2,F2,C2)</f>
        <v>15.3</v>
      </c>
      <c r="H2">
        <f>I2*1000</f>
        <v>149481</v>
      </c>
      <c r="I2">
        <f>G2*9.77</f>
        <v>149.48099999999999</v>
      </c>
      <c r="K2" t="s">
        <v>17</v>
      </c>
      <c r="L2" t="s">
        <v>100</v>
      </c>
      <c r="N2" t="str">
        <f>_xlfn.CONCAT(K2,L2)</f>
        <v>BE_LNG</v>
      </c>
      <c r="O2" t="str">
        <f>K2</f>
        <v>BE</v>
      </c>
    </row>
    <row r="3" spans="1:15">
      <c r="A3" t="s">
        <v>2</v>
      </c>
      <c r="B3" t="s">
        <v>25</v>
      </c>
      <c r="C3">
        <v>41.5</v>
      </c>
      <c r="D3">
        <v>19.600000000000001</v>
      </c>
      <c r="E3" s="1">
        <f t="shared" ref="E3:E18" si="0">D3/C3</f>
        <v>0.47228915662650606</v>
      </c>
      <c r="F3">
        <f t="shared" ref="F3:F19" si="1">C3</f>
        <v>41.5</v>
      </c>
      <c r="G3">
        <f t="shared" ref="G3:G19" si="2">IF(C3&gt;F3,F3,C3)</f>
        <v>41.5</v>
      </c>
      <c r="H3">
        <f t="shared" ref="H3:H18" si="3">I3*1000</f>
        <v>405455</v>
      </c>
      <c r="I3">
        <f t="shared" ref="I3:I18" si="4">G3*9.77</f>
        <v>405.45499999999998</v>
      </c>
      <c r="K3" t="s">
        <v>25</v>
      </c>
      <c r="L3" t="s">
        <v>100</v>
      </c>
      <c r="N3" t="str">
        <f t="shared" ref="N3:N18" si="5">_xlfn.CONCAT(K3,L3)</f>
        <v>FR_LNG</v>
      </c>
      <c r="O3" t="str">
        <f t="shared" ref="O3:O18" si="6">K3</f>
        <v>FR</v>
      </c>
    </row>
    <row r="4" spans="1:15">
      <c r="A4" t="s">
        <v>3</v>
      </c>
      <c r="B4" t="s">
        <v>264</v>
      </c>
      <c r="C4">
        <v>22.52</v>
      </c>
      <c r="D4">
        <v>2.5</v>
      </c>
      <c r="E4" s="1">
        <f t="shared" si="0"/>
        <v>0.11101243339253997</v>
      </c>
      <c r="F4">
        <f t="shared" si="1"/>
        <v>22.52</v>
      </c>
      <c r="G4">
        <f t="shared" si="2"/>
        <v>22.52</v>
      </c>
      <c r="H4">
        <f t="shared" si="3"/>
        <v>220020.4</v>
      </c>
      <c r="I4">
        <f t="shared" si="4"/>
        <v>220.0204</v>
      </c>
      <c r="K4" t="s">
        <v>264</v>
      </c>
      <c r="L4" t="s">
        <v>100</v>
      </c>
      <c r="N4" t="str">
        <f t="shared" si="5"/>
        <v>EL_LNG</v>
      </c>
      <c r="O4" t="str">
        <f t="shared" si="6"/>
        <v>EL</v>
      </c>
    </row>
    <row r="5" spans="1:15">
      <c r="A5" t="s">
        <v>4</v>
      </c>
      <c r="B5" t="s">
        <v>21</v>
      </c>
      <c r="C5">
        <v>25.95</v>
      </c>
      <c r="D5">
        <v>12.1</v>
      </c>
      <c r="E5" s="1">
        <f t="shared" si="0"/>
        <v>0.46628131021194608</v>
      </c>
      <c r="F5">
        <f t="shared" si="1"/>
        <v>25.95</v>
      </c>
      <c r="G5">
        <f t="shared" si="2"/>
        <v>25.95</v>
      </c>
      <c r="H5">
        <f t="shared" si="3"/>
        <v>253531.5</v>
      </c>
      <c r="I5">
        <f t="shared" si="4"/>
        <v>253.53149999999999</v>
      </c>
      <c r="K5" t="s">
        <v>21</v>
      </c>
      <c r="L5" t="s">
        <v>100</v>
      </c>
      <c r="N5" t="str">
        <f t="shared" si="5"/>
        <v>IT_LNG</v>
      </c>
      <c r="O5" t="str">
        <f t="shared" si="6"/>
        <v>IT</v>
      </c>
    </row>
    <row r="6" spans="1:15">
      <c r="A6" t="s">
        <v>5</v>
      </c>
      <c r="B6" t="s">
        <v>24</v>
      </c>
      <c r="C6">
        <v>5.2</v>
      </c>
      <c r="D6">
        <v>0.4</v>
      </c>
      <c r="E6" s="1">
        <f t="shared" si="0"/>
        <v>7.6923076923076927E-2</v>
      </c>
      <c r="F6">
        <f t="shared" si="1"/>
        <v>5.2</v>
      </c>
      <c r="G6">
        <f t="shared" si="2"/>
        <v>5.2</v>
      </c>
      <c r="H6">
        <f t="shared" si="3"/>
        <v>50804</v>
      </c>
      <c r="I6">
        <f t="shared" si="4"/>
        <v>50.804000000000002</v>
      </c>
      <c r="K6" t="s">
        <v>24</v>
      </c>
      <c r="L6" t="s">
        <v>100</v>
      </c>
      <c r="N6" t="str">
        <f t="shared" si="5"/>
        <v>HR_LNG</v>
      </c>
      <c r="O6" t="str">
        <f t="shared" si="6"/>
        <v>HR</v>
      </c>
    </row>
    <row r="7" spans="1:15">
      <c r="A7" t="s">
        <v>6</v>
      </c>
      <c r="B7" t="s">
        <v>34</v>
      </c>
      <c r="C7">
        <v>4</v>
      </c>
      <c r="D7">
        <v>1.6</v>
      </c>
      <c r="E7" s="1">
        <f t="shared" si="0"/>
        <v>0.4</v>
      </c>
      <c r="F7">
        <f t="shared" si="1"/>
        <v>4</v>
      </c>
      <c r="G7">
        <f t="shared" si="2"/>
        <v>4</v>
      </c>
      <c r="H7">
        <f t="shared" si="3"/>
        <v>39080</v>
      </c>
      <c r="I7">
        <f t="shared" si="4"/>
        <v>39.08</v>
      </c>
      <c r="K7" t="s">
        <v>34</v>
      </c>
      <c r="L7" t="s">
        <v>100</v>
      </c>
      <c r="N7" t="str">
        <f t="shared" si="5"/>
        <v>LT_LNG</v>
      </c>
      <c r="O7" t="str">
        <f t="shared" si="6"/>
        <v>LT</v>
      </c>
    </row>
    <row r="8" spans="1:15">
      <c r="A8" t="s">
        <v>7</v>
      </c>
      <c r="B8" t="s">
        <v>18</v>
      </c>
      <c r="C8">
        <v>28</v>
      </c>
      <c r="D8">
        <v>8.1999999999999993</v>
      </c>
      <c r="E8" s="1">
        <f t="shared" si="0"/>
        <v>0.29285714285714282</v>
      </c>
      <c r="F8">
        <f t="shared" si="1"/>
        <v>28</v>
      </c>
      <c r="G8">
        <f t="shared" si="2"/>
        <v>28</v>
      </c>
      <c r="H8">
        <f t="shared" si="3"/>
        <v>273560</v>
      </c>
      <c r="I8">
        <f t="shared" si="4"/>
        <v>273.56</v>
      </c>
      <c r="K8" t="s">
        <v>18</v>
      </c>
      <c r="L8" t="s">
        <v>100</v>
      </c>
      <c r="N8" t="str">
        <f t="shared" si="5"/>
        <v>NL_LNG</v>
      </c>
      <c r="O8" t="str">
        <f t="shared" si="6"/>
        <v>NL</v>
      </c>
    </row>
    <row r="9" spans="1:15">
      <c r="A9" t="s">
        <v>8</v>
      </c>
      <c r="B9" t="s">
        <v>27</v>
      </c>
      <c r="C9">
        <v>14.4</v>
      </c>
      <c r="D9">
        <v>4.0999999999999996</v>
      </c>
      <c r="E9" s="1">
        <f t="shared" si="0"/>
        <v>0.28472222222222221</v>
      </c>
      <c r="F9">
        <f t="shared" si="1"/>
        <v>14.4</v>
      </c>
      <c r="G9">
        <f t="shared" si="2"/>
        <v>14.4</v>
      </c>
      <c r="H9">
        <f t="shared" si="3"/>
        <v>140688</v>
      </c>
      <c r="I9">
        <f t="shared" si="4"/>
        <v>140.68799999999999</v>
      </c>
      <c r="K9" t="s">
        <v>27</v>
      </c>
      <c r="L9" t="s">
        <v>100</v>
      </c>
      <c r="N9" t="str">
        <f t="shared" si="5"/>
        <v>PL_LNG</v>
      </c>
      <c r="O9" t="str">
        <f t="shared" si="6"/>
        <v>PL</v>
      </c>
    </row>
    <row r="10" spans="1:15">
      <c r="A10" t="s">
        <v>1</v>
      </c>
      <c r="B10" t="s">
        <v>37</v>
      </c>
      <c r="C10">
        <v>7.6</v>
      </c>
      <c r="D10">
        <v>6.1</v>
      </c>
      <c r="E10" s="1">
        <f t="shared" si="0"/>
        <v>0.80263157894736836</v>
      </c>
      <c r="F10">
        <f t="shared" si="1"/>
        <v>7.6</v>
      </c>
      <c r="G10">
        <f t="shared" si="2"/>
        <v>7.6</v>
      </c>
      <c r="H10">
        <f t="shared" si="3"/>
        <v>74252</v>
      </c>
      <c r="I10">
        <f t="shared" si="4"/>
        <v>74.251999999999995</v>
      </c>
      <c r="K10" t="s">
        <v>37</v>
      </c>
      <c r="L10" t="s">
        <v>100</v>
      </c>
      <c r="N10" t="str">
        <f t="shared" si="5"/>
        <v>PT_LNG</v>
      </c>
      <c r="O10" t="str">
        <f t="shared" si="6"/>
        <v>PT</v>
      </c>
    </row>
    <row r="11" spans="1:15">
      <c r="A11" t="s">
        <v>9</v>
      </c>
      <c r="B11" t="s">
        <v>36</v>
      </c>
      <c r="C11">
        <v>67.100000000000009</v>
      </c>
      <c r="D11">
        <v>20.9</v>
      </c>
      <c r="E11" s="1">
        <f t="shared" si="0"/>
        <v>0.31147540983606553</v>
      </c>
      <c r="F11">
        <f t="shared" si="1"/>
        <v>67.100000000000009</v>
      </c>
      <c r="G11">
        <f t="shared" si="2"/>
        <v>67.100000000000009</v>
      </c>
      <c r="H11">
        <f t="shared" si="3"/>
        <v>655567</v>
      </c>
      <c r="I11">
        <f t="shared" si="4"/>
        <v>655.56700000000001</v>
      </c>
      <c r="K11" t="s">
        <v>36</v>
      </c>
      <c r="L11" t="s">
        <v>100</v>
      </c>
      <c r="N11" t="str">
        <f t="shared" si="5"/>
        <v>ES_LNG</v>
      </c>
      <c r="O11" t="str">
        <f t="shared" si="6"/>
        <v>ES</v>
      </c>
    </row>
    <row r="12" spans="1:15">
      <c r="A12" t="s">
        <v>10</v>
      </c>
      <c r="B12" t="s">
        <v>46</v>
      </c>
      <c r="C12">
        <v>51.22</v>
      </c>
      <c r="D12">
        <v>14.8</v>
      </c>
      <c r="E12" s="1">
        <f t="shared" si="0"/>
        <v>0.2889496290511519</v>
      </c>
      <c r="F12">
        <f t="shared" si="1"/>
        <v>51.22</v>
      </c>
      <c r="G12">
        <f t="shared" si="2"/>
        <v>51.22</v>
      </c>
      <c r="H12">
        <f t="shared" si="3"/>
        <v>500419.39999999997</v>
      </c>
      <c r="I12">
        <f t="shared" si="4"/>
        <v>500.41939999999994</v>
      </c>
      <c r="K12" t="s">
        <v>46</v>
      </c>
      <c r="L12" t="s">
        <v>100</v>
      </c>
      <c r="N12" t="str">
        <f t="shared" si="5"/>
        <v>TR_LNG</v>
      </c>
      <c r="O12" t="str">
        <f t="shared" si="6"/>
        <v>TR</v>
      </c>
    </row>
    <row r="13" spans="1:15">
      <c r="A13" t="s">
        <v>11</v>
      </c>
      <c r="B13" t="s">
        <v>11</v>
      </c>
      <c r="C13">
        <v>48.1</v>
      </c>
      <c r="D13">
        <v>18.600000000000001</v>
      </c>
      <c r="E13" s="1">
        <f t="shared" si="0"/>
        <v>0.38669438669438672</v>
      </c>
      <c r="F13">
        <f t="shared" si="1"/>
        <v>48.1</v>
      </c>
      <c r="G13">
        <f t="shared" si="2"/>
        <v>48.1</v>
      </c>
      <c r="H13">
        <f t="shared" si="3"/>
        <v>469937</v>
      </c>
      <c r="I13">
        <f t="shared" si="4"/>
        <v>469.93700000000001</v>
      </c>
      <c r="K13" t="s">
        <v>11</v>
      </c>
      <c r="L13" t="s">
        <v>100</v>
      </c>
      <c r="N13" t="str">
        <f t="shared" si="5"/>
        <v>UK_LNG</v>
      </c>
      <c r="O13" t="str">
        <f t="shared" si="6"/>
        <v>UK</v>
      </c>
    </row>
    <row r="14" spans="1:15">
      <c r="A14" t="s">
        <v>128</v>
      </c>
      <c r="B14" t="s">
        <v>53</v>
      </c>
      <c r="C14">
        <v>2.5</v>
      </c>
      <c r="E14" s="1">
        <f t="shared" si="0"/>
        <v>0</v>
      </c>
      <c r="F14">
        <f t="shared" si="1"/>
        <v>2.5</v>
      </c>
      <c r="G14">
        <f t="shared" si="2"/>
        <v>2.5</v>
      </c>
      <c r="H14">
        <f t="shared" si="3"/>
        <v>24424.999999999996</v>
      </c>
      <c r="I14">
        <f t="shared" si="4"/>
        <v>24.424999999999997</v>
      </c>
      <c r="K14" t="s">
        <v>53</v>
      </c>
      <c r="L14" t="s">
        <v>100</v>
      </c>
      <c r="N14" t="str">
        <f t="shared" si="5"/>
        <v>EE_LNG</v>
      </c>
      <c r="O14" t="str">
        <f t="shared" si="6"/>
        <v>EE</v>
      </c>
    </row>
    <row r="15" spans="1:15">
      <c r="A15" t="s">
        <v>127</v>
      </c>
      <c r="B15" t="s">
        <v>54</v>
      </c>
      <c r="C15">
        <v>4.5</v>
      </c>
      <c r="E15" s="1">
        <f t="shared" si="0"/>
        <v>0</v>
      </c>
      <c r="F15">
        <f t="shared" si="1"/>
        <v>4.5</v>
      </c>
      <c r="G15">
        <f t="shared" si="2"/>
        <v>4.5</v>
      </c>
      <c r="H15">
        <f t="shared" si="3"/>
        <v>43964.999999999993</v>
      </c>
      <c r="I15">
        <f t="shared" si="4"/>
        <v>43.964999999999996</v>
      </c>
      <c r="K15" t="s">
        <v>54</v>
      </c>
      <c r="L15" t="s">
        <v>100</v>
      </c>
      <c r="N15" t="str">
        <f t="shared" si="5"/>
        <v>FI_LNG</v>
      </c>
      <c r="O15" t="str">
        <f t="shared" si="6"/>
        <v>FI</v>
      </c>
    </row>
    <row r="16" spans="1:15">
      <c r="A16" t="s">
        <v>129</v>
      </c>
      <c r="B16" t="s">
        <v>19</v>
      </c>
      <c r="C16">
        <v>37.450000000000003</v>
      </c>
      <c r="E16" s="1">
        <f t="shared" si="0"/>
        <v>0</v>
      </c>
      <c r="F16">
        <f t="shared" si="1"/>
        <v>37.450000000000003</v>
      </c>
      <c r="G16">
        <f t="shared" si="2"/>
        <v>37.450000000000003</v>
      </c>
      <c r="H16">
        <f t="shared" si="3"/>
        <v>365886.5</v>
      </c>
      <c r="I16">
        <f t="shared" si="4"/>
        <v>365.88650000000001</v>
      </c>
      <c r="K16" t="s">
        <v>19</v>
      </c>
      <c r="L16" t="s">
        <v>100</v>
      </c>
      <c r="N16" t="str">
        <f t="shared" si="5"/>
        <v>DE_LNG</v>
      </c>
      <c r="O16" t="str">
        <f t="shared" si="6"/>
        <v>DE</v>
      </c>
    </row>
    <row r="17" spans="1:15">
      <c r="A17" t="s">
        <v>130</v>
      </c>
      <c r="B17" t="s">
        <v>43</v>
      </c>
      <c r="C17">
        <v>2.6</v>
      </c>
      <c r="E17" s="1">
        <f t="shared" si="0"/>
        <v>0</v>
      </c>
      <c r="F17">
        <f t="shared" si="1"/>
        <v>2.6</v>
      </c>
      <c r="G17">
        <f t="shared" si="2"/>
        <v>2.6</v>
      </c>
      <c r="H17">
        <f t="shared" si="3"/>
        <v>25402</v>
      </c>
      <c r="I17">
        <f t="shared" si="4"/>
        <v>25.402000000000001</v>
      </c>
      <c r="K17" t="s">
        <v>43</v>
      </c>
      <c r="L17" t="s">
        <v>100</v>
      </c>
      <c r="N17" t="str">
        <f t="shared" si="5"/>
        <v>IE_LNG</v>
      </c>
      <c r="O17" t="str">
        <f t="shared" si="6"/>
        <v>IE</v>
      </c>
    </row>
    <row r="18" spans="1:15">
      <c r="A18" t="s">
        <v>131</v>
      </c>
      <c r="B18" t="s">
        <v>35</v>
      </c>
      <c r="C18">
        <v>1.5</v>
      </c>
      <c r="E18" s="1">
        <f t="shared" si="0"/>
        <v>0</v>
      </c>
      <c r="F18">
        <f t="shared" si="1"/>
        <v>1.5</v>
      </c>
      <c r="G18">
        <f t="shared" si="2"/>
        <v>1.5</v>
      </c>
      <c r="H18">
        <f t="shared" si="3"/>
        <v>14655</v>
      </c>
      <c r="I18">
        <f t="shared" si="4"/>
        <v>14.654999999999999</v>
      </c>
      <c r="K18" t="s">
        <v>35</v>
      </c>
      <c r="L18" t="s">
        <v>100</v>
      </c>
      <c r="N18" t="str">
        <f t="shared" si="5"/>
        <v>LV_LNG</v>
      </c>
      <c r="O18" t="str">
        <f t="shared" si="6"/>
        <v>LV</v>
      </c>
    </row>
    <row r="19" spans="1:15">
      <c r="A19" t="s">
        <v>91</v>
      </c>
      <c r="B19" t="s">
        <v>99</v>
      </c>
      <c r="C19">
        <v>0.7</v>
      </c>
      <c r="E19" s="1">
        <f>D19/C19</f>
        <v>0</v>
      </c>
      <c r="F19">
        <f t="shared" si="1"/>
        <v>0.7</v>
      </c>
      <c r="G19">
        <f t="shared" si="2"/>
        <v>0.7</v>
      </c>
      <c r="H19">
        <f>I19*1000</f>
        <v>6838.9999999999991</v>
      </c>
      <c r="I19">
        <f>G19*9.77</f>
        <v>6.8389999999999995</v>
      </c>
      <c r="K1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82F4-4954-4D06-9A30-AE8575CA18DE}">
  <dimension ref="A1:N49"/>
  <sheetViews>
    <sheetView topLeftCell="A7" workbookViewId="0">
      <selection activeCell="B7" sqref="B7"/>
    </sheetView>
  </sheetViews>
  <sheetFormatPr defaultRowHeight="14.5"/>
  <cols>
    <col min="1" max="1" width="9.54296875" customWidth="1"/>
    <col min="2" max="2" width="19.1796875" customWidth="1"/>
    <col min="3" max="3" width="15" customWidth="1"/>
    <col min="4" max="4" width="17.08984375" customWidth="1"/>
    <col min="5" max="6" width="17.81640625" customWidth="1"/>
    <col min="7" max="8" width="15" customWidth="1"/>
  </cols>
  <sheetData>
    <row r="1" spans="1:14">
      <c r="A1" t="s">
        <v>16</v>
      </c>
      <c r="B1" t="s">
        <v>55</v>
      </c>
      <c r="C1" t="s">
        <v>84</v>
      </c>
      <c r="D1" t="s">
        <v>119</v>
      </c>
      <c r="E1" t="s">
        <v>121</v>
      </c>
      <c r="F1" t="s">
        <v>266</v>
      </c>
      <c r="G1" t="s">
        <v>265</v>
      </c>
      <c r="M1" t="s">
        <v>92</v>
      </c>
      <c r="N1" t="s">
        <v>93</v>
      </c>
    </row>
    <row r="2" spans="1:14">
      <c r="A2" t="s">
        <v>41</v>
      </c>
      <c r="B2" t="s">
        <v>73</v>
      </c>
      <c r="C2" s="2"/>
      <c r="D2" s="2">
        <v>56.895000000000003</v>
      </c>
      <c r="E2" s="2">
        <f>Table2[[#This Row],[Mil m3 EU '[2020']]]/1000</f>
        <v>5.6895000000000001E-2</v>
      </c>
      <c r="F2" s="2">
        <f>Table2[[#This Row],[TWh '[2020']2]]*1000</f>
        <v>555.86415</v>
      </c>
      <c r="G2" s="3">
        <f>IF(Table2[[#This Row],[Mil m3 EU '[2020']]]&gt;0,Table2[[#This Row],[Mrd m3 EU '[2020']]],Table2[[#This Row],[Mrd m3 '[2020']]])*9.77</f>
        <v>0.55586415</v>
      </c>
      <c r="H2" s="2"/>
      <c r="J2" t="s">
        <v>101</v>
      </c>
      <c r="M2" t="str">
        <f t="shared" ref="M2:M40" si="0">_xlfn.CONCAT(A2,$J$2)</f>
        <v>AL_Prod</v>
      </c>
      <c r="N2" t="str">
        <f>Table2[[#This Row],[Country]]</f>
        <v>AL</v>
      </c>
    </row>
    <row r="3" spans="1:14">
      <c r="A3" t="s">
        <v>49</v>
      </c>
      <c r="B3" t="s">
        <v>78</v>
      </c>
      <c r="C3" s="2">
        <v>81.424612499999995</v>
      </c>
      <c r="D3" s="2"/>
      <c r="E3" s="2">
        <f>Table2[[#This Row],[Mil m3 EU '[2020']]]/1000</f>
        <v>0</v>
      </c>
      <c r="F3" s="2">
        <f>Table2[[#This Row],[TWh '[2020']2]]*1000</f>
        <v>795518.46412499994</v>
      </c>
      <c r="G3" s="3">
        <f>IF(Table2[[#This Row],[Mil m3 EU '[2020']]]&gt;0,Table2[[#This Row],[Mrd m3 EU '[2020']]],Table2[[#This Row],[Mrd m3 '[2020']]])*9.77</f>
        <v>795.51846412499992</v>
      </c>
      <c r="H3" s="2"/>
      <c r="M3" t="str">
        <f t="shared" si="0"/>
        <v>DZ_Prod</v>
      </c>
      <c r="N3" t="str">
        <f>Table2[[#This Row],[Country]]</f>
        <v>DZ</v>
      </c>
    </row>
    <row r="4" spans="1:14">
      <c r="A4" t="s">
        <v>20</v>
      </c>
      <c r="B4" t="s">
        <v>57</v>
      </c>
      <c r="C4" s="2"/>
      <c r="D4" s="2">
        <v>773.976</v>
      </c>
      <c r="E4" s="2">
        <f>Table2[[#This Row],[Mil m3 EU '[2020']]]/1000</f>
        <v>0.773976</v>
      </c>
      <c r="F4" s="2">
        <f>Table2[[#This Row],[TWh '[2020']2]]*1000</f>
        <v>7561.7455199999995</v>
      </c>
      <c r="G4" s="3">
        <f>IF(Table2[[#This Row],[Mil m3 EU '[2020']]]&gt;0,Table2[[#This Row],[Mrd m3 EU '[2020']]],Table2[[#This Row],[Mrd m3 '[2020']]])*9.77</f>
        <v>7.5617455199999997</v>
      </c>
      <c r="H4" s="2"/>
      <c r="M4" t="str">
        <f t="shared" si="0"/>
        <v>AT_Prod</v>
      </c>
      <c r="N4" t="str">
        <f>Table2[[#This Row],[Country]]</f>
        <v>AT</v>
      </c>
    </row>
    <row r="5" spans="1:14">
      <c r="A5" t="s">
        <v>52</v>
      </c>
      <c r="B5" t="s">
        <v>81</v>
      </c>
      <c r="C5" s="2"/>
      <c r="D5" s="2"/>
      <c r="E5" s="2">
        <f>Table2[[#This Row],[Mil m3 EU '[2020']]]/1000</f>
        <v>0</v>
      </c>
      <c r="F5" s="2">
        <f>Table2[[#This Row],[TWh '[2020']2]]*1000</f>
        <v>0</v>
      </c>
      <c r="G5" s="3">
        <f>IF(Table2[[#This Row],[Mil m3 EU '[2020']]]&gt;0,Table2[[#This Row],[Mrd m3 EU '[2020']]],Table2[[#This Row],[Mrd m3 '[2020']]])*9.77</f>
        <v>0</v>
      </c>
      <c r="H5" s="2"/>
      <c r="M5" t="str">
        <f t="shared" si="0"/>
        <v>BY_Prod</v>
      </c>
      <c r="N5" t="str">
        <f>Table2[[#This Row],[Country]]</f>
        <v>BY</v>
      </c>
    </row>
    <row r="6" spans="1:14">
      <c r="A6" t="s">
        <v>17</v>
      </c>
      <c r="B6" t="s">
        <v>0</v>
      </c>
      <c r="C6" s="2"/>
      <c r="D6" s="2">
        <v>5.9</v>
      </c>
      <c r="E6" s="2">
        <f>Table2[[#This Row],[Mil m3 EU '[2020']]]/1000</f>
        <v>5.9000000000000007E-3</v>
      </c>
      <c r="F6" s="2">
        <f>Table2[[#This Row],[TWh '[2020']2]]*1000</f>
        <v>57.643000000000008</v>
      </c>
      <c r="G6" s="3">
        <f>IF(Table2[[#This Row],[Mil m3 EU '[2020']]]&gt;0,Table2[[#This Row],[Mrd m3 EU '[2020']]],Table2[[#This Row],[Mrd m3 '[2020']]])*9.77</f>
        <v>5.7643000000000007E-2</v>
      </c>
      <c r="H6" s="2"/>
      <c r="M6" t="str">
        <f t="shared" si="0"/>
        <v>BE_Prod</v>
      </c>
      <c r="N6" t="str">
        <f>Table2[[#This Row],[Country]]</f>
        <v>BE</v>
      </c>
    </row>
    <row r="7" spans="1:14">
      <c r="A7" t="s">
        <v>44</v>
      </c>
      <c r="B7" t="s">
        <v>75</v>
      </c>
      <c r="C7" s="2"/>
      <c r="D7" s="2"/>
      <c r="E7" s="2">
        <f>Table2[[#This Row],[Mil m3 EU '[2020']]]/1000</f>
        <v>0</v>
      </c>
      <c r="F7" s="2">
        <f>Table2[[#This Row],[TWh '[2020']2]]*1000</f>
        <v>0</v>
      </c>
      <c r="G7" s="3">
        <f>IF(Table2[[#This Row],[Mil m3 EU '[2020']]]&gt;0,Table2[[#This Row],[Mrd m3 EU '[2020']]],Table2[[#This Row],[Mrd m3 '[2020']]])*9.77</f>
        <v>0</v>
      </c>
      <c r="H7" s="2"/>
      <c r="M7" t="str">
        <f t="shared" si="0"/>
        <v>BA_Prod</v>
      </c>
      <c r="N7" t="str">
        <f>Table2[[#This Row],[Country]]</f>
        <v>BA</v>
      </c>
    </row>
    <row r="8" spans="1:14">
      <c r="A8" t="s">
        <v>32</v>
      </c>
      <c r="B8" t="s">
        <v>64</v>
      </c>
      <c r="C8" s="2"/>
      <c r="D8" s="2">
        <v>54.350999999999999</v>
      </c>
      <c r="E8" s="2">
        <f>Table2[[#This Row],[Mil m3 EU '[2020']]]/1000</f>
        <v>5.4350999999999997E-2</v>
      </c>
      <c r="F8" s="2">
        <f>Table2[[#This Row],[TWh '[2020']2]]*1000</f>
        <v>531.00927000000001</v>
      </c>
      <c r="G8" s="3">
        <f>IF(Table2[[#This Row],[Mil m3 EU '[2020']]]&gt;0,Table2[[#This Row],[Mrd m3 EU '[2020']]],Table2[[#This Row],[Mrd m3 '[2020']]])*9.77</f>
        <v>0.53100926999999998</v>
      </c>
      <c r="H8" s="2"/>
      <c r="M8" t="str">
        <f t="shared" si="0"/>
        <v>BG_Prod</v>
      </c>
      <c r="N8" t="str">
        <f>Table2[[#This Row],[Country]]</f>
        <v>BG</v>
      </c>
    </row>
    <row r="9" spans="1:14">
      <c r="A9" t="s">
        <v>24</v>
      </c>
      <c r="B9" t="s">
        <v>5</v>
      </c>
      <c r="C9" s="2"/>
      <c r="D9" s="2">
        <v>888.38499999999999</v>
      </c>
      <c r="E9" s="2">
        <f>Table2[[#This Row],[Mil m3 EU '[2020']]]/1000</f>
        <v>0.88838499999999998</v>
      </c>
      <c r="F9" s="2">
        <f>Table2[[#This Row],[TWh '[2020']2]]*1000</f>
        <v>8679.5214500000002</v>
      </c>
      <c r="G9" s="3">
        <f>IF(Table2[[#This Row],[Mil m3 EU '[2020']]]&gt;0,Table2[[#This Row],[Mrd m3 EU '[2020']]],Table2[[#This Row],[Mrd m3 '[2020']]])*9.77</f>
        <v>8.6795214499999993</v>
      </c>
      <c r="H9" s="2"/>
      <c r="M9" t="str">
        <f t="shared" si="0"/>
        <v>HR_Prod</v>
      </c>
      <c r="N9" t="str">
        <f>Table2[[#This Row],[Country]]</f>
        <v>HR</v>
      </c>
    </row>
    <row r="10" spans="1:14">
      <c r="A10" t="s">
        <v>28</v>
      </c>
      <c r="B10" t="s">
        <v>61</v>
      </c>
      <c r="C10" s="2"/>
      <c r="D10" s="2">
        <v>196.07500000000002</v>
      </c>
      <c r="E10" s="2">
        <f>Table2[[#This Row],[Mil m3 EU '[2020']]]/1000</f>
        <v>0.19607500000000003</v>
      </c>
      <c r="F10" s="2">
        <f>Table2[[#This Row],[TWh '[2020']2]]*1000</f>
        <v>1915.6527500000002</v>
      </c>
      <c r="G10" s="3">
        <f>IF(Table2[[#This Row],[Mil m3 EU '[2020']]]&gt;0,Table2[[#This Row],[Mrd m3 EU '[2020']]],Table2[[#This Row],[Mrd m3 '[2020']]])*9.77</f>
        <v>1.9156527500000002</v>
      </c>
      <c r="H10" s="2"/>
      <c r="M10" t="str">
        <f t="shared" si="0"/>
        <v>CZ_Prod</v>
      </c>
      <c r="N10" t="str">
        <f>Table2[[#This Row],[Country]]</f>
        <v>CZ</v>
      </c>
    </row>
    <row r="11" spans="1:14">
      <c r="A11" t="s">
        <v>26</v>
      </c>
      <c r="B11" t="s">
        <v>60</v>
      </c>
      <c r="C11" s="2">
        <v>1.3796929768583337</v>
      </c>
      <c r="D11" s="2">
        <v>1427.5409999999997</v>
      </c>
      <c r="E11" s="2">
        <f>Table2[[#This Row],[Mil m3 EU '[2020']]]/1000</f>
        <v>1.4275409999999997</v>
      </c>
      <c r="F11" s="2">
        <f>Table2[[#This Row],[TWh '[2020']2]]*1000</f>
        <v>13947.075569999997</v>
      </c>
      <c r="G11" s="3">
        <f>IF(Table2[[#This Row],[Mil m3 EU '[2020']]]&gt;0,Table2[[#This Row],[Mrd m3 EU '[2020']]],Table2[[#This Row],[Mrd m3 '[2020']]])*9.77</f>
        <v>13.947075569999997</v>
      </c>
      <c r="H11" s="2"/>
      <c r="M11" t="str">
        <f t="shared" si="0"/>
        <v>DK_Prod</v>
      </c>
      <c r="N11" t="str">
        <f>Table2[[#This Row],[Country]]</f>
        <v>DK</v>
      </c>
    </row>
    <row r="12" spans="1:14">
      <c r="A12" t="s">
        <v>53</v>
      </c>
      <c r="B12" t="s">
        <v>66</v>
      </c>
      <c r="C12" s="2"/>
      <c r="D12" s="2">
        <v>0</v>
      </c>
      <c r="E12" s="2">
        <f>Table2[[#This Row],[Mil m3 EU '[2020']]]/1000</f>
        <v>0</v>
      </c>
      <c r="F12" s="2">
        <f>Table2[[#This Row],[TWh '[2020']2]]*1000</f>
        <v>0</v>
      </c>
      <c r="G12" s="3">
        <f>IF(Table2[[#This Row],[Mil m3 EU '[2020']]]&gt;0,Table2[[#This Row],[Mrd m3 EU '[2020']]],Table2[[#This Row],[Mrd m3 '[2020']]])*9.77</f>
        <v>0</v>
      </c>
      <c r="H12" s="2"/>
      <c r="M12" t="str">
        <f t="shared" si="0"/>
        <v>EE_Prod</v>
      </c>
      <c r="N12" t="str">
        <f>Table2[[#This Row],[Country]]</f>
        <v>EE</v>
      </c>
    </row>
    <row r="13" spans="1:14">
      <c r="A13" t="s">
        <v>54</v>
      </c>
      <c r="B13" t="s">
        <v>85</v>
      </c>
      <c r="C13" s="2"/>
      <c r="D13" s="2"/>
      <c r="E13" s="2">
        <f>Table2[[#This Row],[Mil m3 EU '[2020']]]/1000</f>
        <v>0</v>
      </c>
      <c r="F13" s="2">
        <f>Table2[[#This Row],[TWh '[2020']2]]*1000</f>
        <v>0</v>
      </c>
      <c r="G13" s="3">
        <f>IF(Table2[[#This Row],[Mil m3 EU '[2020']]]&gt;0,Table2[[#This Row],[Mrd m3 EU '[2020']]],Table2[[#This Row],[Mrd m3 '[2020']]])*9.77</f>
        <v>0</v>
      </c>
      <c r="H13" s="2"/>
      <c r="M13" t="str">
        <f t="shared" si="0"/>
        <v>FI_Prod</v>
      </c>
      <c r="N13" t="str">
        <f>Table2[[#This Row],[Country]]</f>
        <v>FI</v>
      </c>
    </row>
    <row r="14" spans="1:14">
      <c r="A14" t="s">
        <v>25</v>
      </c>
      <c r="B14" t="s">
        <v>2</v>
      </c>
      <c r="C14" s="2"/>
      <c r="D14" s="2">
        <v>17.349000000000004</v>
      </c>
      <c r="E14" s="2">
        <f>Table2[[#This Row],[Mil m3 EU '[2020']]]/1000</f>
        <v>1.7349000000000003E-2</v>
      </c>
      <c r="F14" s="2">
        <f>Table2[[#This Row],[TWh '[2020']2]]*1000</f>
        <v>169.49973000000003</v>
      </c>
      <c r="G14" s="3">
        <f>IF(Table2[[#This Row],[Mil m3 EU '[2020']]]&gt;0,Table2[[#This Row],[Mrd m3 EU '[2020']]],Table2[[#This Row],[Mrd m3 '[2020']]])*9.77</f>
        <v>0.16949973000000002</v>
      </c>
      <c r="H14" s="2"/>
      <c r="M14" t="str">
        <f t="shared" si="0"/>
        <v>FR_Prod</v>
      </c>
      <c r="N14" t="str">
        <f>Table2[[#This Row],[Country]]</f>
        <v>FR</v>
      </c>
    </row>
    <row r="15" spans="1:14">
      <c r="A15" t="s">
        <v>19</v>
      </c>
      <c r="B15" t="s">
        <v>56</v>
      </c>
      <c r="C15" s="2">
        <v>4.5324203399999998</v>
      </c>
      <c r="D15" s="2">
        <v>4874</v>
      </c>
      <c r="E15" s="2">
        <f>Table2[[#This Row],[Mil m3 EU '[2020']]]/1000</f>
        <v>4.8739999999999997</v>
      </c>
      <c r="F15" s="2">
        <f>Table2[[#This Row],[TWh '[2020']2]]*1000</f>
        <v>47618.979999999996</v>
      </c>
      <c r="G15" s="3">
        <f>IF(Table2[[#This Row],[Mil m3 EU '[2020']]]&gt;0,Table2[[#This Row],[Mrd m3 EU '[2020']]],Table2[[#This Row],[Mrd m3 '[2020']]])*9.77</f>
        <v>47.618979999999993</v>
      </c>
      <c r="H15" s="2"/>
      <c r="M15" t="str">
        <f t="shared" si="0"/>
        <v>DE_Prod</v>
      </c>
      <c r="N15" t="str">
        <f>Table2[[#This Row],[Country]]</f>
        <v>DE</v>
      </c>
    </row>
    <row r="16" spans="1:14">
      <c r="A16" t="s">
        <v>264</v>
      </c>
      <c r="B16" t="s">
        <v>3</v>
      </c>
      <c r="C16" s="2"/>
      <c r="D16" s="2">
        <v>6.4800000000000022</v>
      </c>
      <c r="E16" s="2">
        <f>Table2[[#This Row],[Mil m3 EU '[2020']]]/1000</f>
        <v>6.4800000000000023E-3</v>
      </c>
      <c r="F16" s="2">
        <f>Table2[[#This Row],[TWh '[2020']2]]*1000</f>
        <v>63.309600000000025</v>
      </c>
      <c r="G16" s="3">
        <f>IF(Table2[[#This Row],[Mil m3 EU '[2020']]]&gt;0,Table2[[#This Row],[Mrd m3 EU '[2020']]],Table2[[#This Row],[Mrd m3 '[2020']]])*9.77</f>
        <v>6.3309600000000021E-2</v>
      </c>
      <c r="H16" s="2"/>
      <c r="M16" t="str">
        <f t="shared" si="0"/>
        <v>EL_Prod</v>
      </c>
      <c r="N16" t="str">
        <f>Table2[[#This Row],[Country]]</f>
        <v>EL</v>
      </c>
    </row>
    <row r="17" spans="1:14">
      <c r="A17" t="s">
        <v>30</v>
      </c>
      <c r="B17" t="s">
        <v>63</v>
      </c>
      <c r="C17" s="2"/>
      <c r="D17" s="2">
        <v>1685</v>
      </c>
      <c r="E17" s="2">
        <f>Table2[[#This Row],[Mil m3 EU '[2020']]]/1000</f>
        <v>1.6850000000000001</v>
      </c>
      <c r="F17" s="2">
        <f>Table2[[#This Row],[TWh '[2020']2]]*1000</f>
        <v>16462.45</v>
      </c>
      <c r="G17" s="3">
        <f>IF(Table2[[#This Row],[Mil m3 EU '[2020']]]&gt;0,Table2[[#This Row],[Mrd m3 EU '[2020']]],Table2[[#This Row],[Mrd m3 '[2020']]])*9.77</f>
        <v>16.46245</v>
      </c>
      <c r="H17" s="2"/>
      <c r="M17" t="str">
        <f t="shared" si="0"/>
        <v>HU_Prod</v>
      </c>
      <c r="N17" t="str">
        <f>Table2[[#This Row],[Country]]</f>
        <v>HU</v>
      </c>
    </row>
    <row r="18" spans="1:14">
      <c r="A18" t="s">
        <v>43</v>
      </c>
      <c r="B18" t="s">
        <v>135</v>
      </c>
      <c r="C18" s="2"/>
      <c r="D18" s="2">
        <v>2029.6509999999998</v>
      </c>
      <c r="E18" s="2">
        <f>Table2[[#This Row],[Mil m3 EU '[2020']]]/1000</f>
        <v>2.0296509999999999</v>
      </c>
      <c r="F18" s="2">
        <f>Table2[[#This Row],[TWh '[2020']2]]*1000</f>
        <v>19829.690269999996</v>
      </c>
      <c r="G18" s="3">
        <f>IF(Table2[[#This Row],[Mil m3 EU '[2020']]]&gt;0,Table2[[#This Row],[Mrd m3 EU '[2020']]],Table2[[#This Row],[Mrd m3 '[2020']]])*9.77</f>
        <v>19.829690269999997</v>
      </c>
      <c r="H18" s="2"/>
      <c r="M18" t="str">
        <f t="shared" si="0"/>
        <v>IE_Prod</v>
      </c>
      <c r="N18" t="str">
        <f>Table2[[#This Row],[Country]]</f>
        <v>IE</v>
      </c>
    </row>
    <row r="19" spans="1:14">
      <c r="A19" t="s">
        <v>21</v>
      </c>
      <c r="B19" t="s">
        <v>4</v>
      </c>
      <c r="C19" s="2">
        <v>3.9120907084594152</v>
      </c>
      <c r="D19" s="2">
        <v>3932</v>
      </c>
      <c r="E19" s="2">
        <f>Table2[[#This Row],[Mil m3 EU '[2020']]]/1000</f>
        <v>3.9319999999999999</v>
      </c>
      <c r="F19" s="2">
        <f>Table2[[#This Row],[TWh '[2020']2]]*1000</f>
        <v>38415.64</v>
      </c>
      <c r="G19" s="3">
        <f>IF(Table2[[#This Row],[Mil m3 EU '[2020']]]&gt;0,Table2[[#This Row],[Mrd m3 EU '[2020']]],Table2[[#This Row],[Mrd m3 '[2020']]])*9.77</f>
        <v>38.415639999999996</v>
      </c>
      <c r="H19" s="2"/>
      <c r="M19" t="str">
        <f t="shared" si="0"/>
        <v>IT_Prod</v>
      </c>
      <c r="N19" t="str">
        <f>Table2[[#This Row],[Country]]</f>
        <v>IT</v>
      </c>
    </row>
    <row r="20" spans="1:14">
      <c r="A20" t="s">
        <v>35</v>
      </c>
      <c r="B20" t="s">
        <v>65</v>
      </c>
      <c r="C20" s="2"/>
      <c r="D20" s="2"/>
      <c r="E20" s="2">
        <f>Table2[[#This Row],[Mil m3 EU '[2020']]]/1000</f>
        <v>0</v>
      </c>
      <c r="F20" s="2">
        <f>Table2[[#This Row],[TWh '[2020']2]]*1000</f>
        <v>0</v>
      </c>
      <c r="G20" s="3">
        <f>IF(Table2[[#This Row],[Mil m3 EU '[2020']]]&gt;0,Table2[[#This Row],[Mrd m3 EU '[2020']]],Table2[[#This Row],[Mrd m3 '[2020']]])*9.77</f>
        <v>0</v>
      </c>
      <c r="H20" s="2"/>
      <c r="M20" t="str">
        <f t="shared" si="0"/>
        <v>LV_Prod</v>
      </c>
      <c r="N20" t="str">
        <f>Table2[[#This Row],[Country]]</f>
        <v>LV</v>
      </c>
    </row>
    <row r="21" spans="1:14">
      <c r="A21" t="s">
        <v>51</v>
      </c>
      <c r="B21" t="s">
        <v>80</v>
      </c>
      <c r="C21" s="2">
        <v>12.699712072345603</v>
      </c>
      <c r="D21" s="2"/>
      <c r="E21" s="2">
        <f>Table2[[#This Row],[Mil m3 EU '[2020']]]/1000</f>
        <v>0</v>
      </c>
      <c r="F21" s="2">
        <f>Table2[[#This Row],[TWh '[2020']2]]*1000</f>
        <v>124076.18694681654</v>
      </c>
      <c r="G21" s="3">
        <f>IF(Table2[[#This Row],[Mil m3 EU '[2020']]]&gt;0,Table2[[#This Row],[Mrd m3 EU '[2020']]],Table2[[#This Row],[Mrd m3 '[2020']]])*9.77</f>
        <v>124.07618694681653</v>
      </c>
      <c r="H21" s="2"/>
      <c r="M21" t="str">
        <f t="shared" si="0"/>
        <v>LY_Prod</v>
      </c>
      <c r="N21" t="str">
        <f>Table2[[#This Row],[Country]]</f>
        <v>LY</v>
      </c>
    </row>
    <row r="22" spans="1:14">
      <c r="A22" t="s">
        <v>34</v>
      </c>
      <c r="B22" t="s">
        <v>6</v>
      </c>
      <c r="C22" s="2"/>
      <c r="D22" s="2"/>
      <c r="E22" s="2">
        <f>Table2[[#This Row],[Mil m3 EU '[2020']]]/1000</f>
        <v>0</v>
      </c>
      <c r="F22" s="2">
        <f>Table2[[#This Row],[TWh '[2020']2]]*1000</f>
        <v>0</v>
      </c>
      <c r="G22" s="3">
        <f>IF(Table2[[#This Row],[Mil m3 EU '[2020']]]&gt;0,Table2[[#This Row],[Mrd m3 EU '[2020']]],Table2[[#This Row],[Mrd m3 '[2020']]])*9.77</f>
        <v>0</v>
      </c>
      <c r="H22" s="2"/>
      <c r="M22" t="str">
        <f t="shared" si="0"/>
        <v>LT_Prod</v>
      </c>
      <c r="N22" t="str">
        <f>Table2[[#This Row],[Country]]</f>
        <v>LT</v>
      </c>
    </row>
    <row r="23" spans="1:14">
      <c r="A23" t="s">
        <v>42</v>
      </c>
      <c r="B23" t="s">
        <v>70</v>
      </c>
      <c r="C23" s="2"/>
      <c r="D23" s="2"/>
      <c r="E23" s="2">
        <f>Table2[[#This Row],[Mil m3 EU '[2020']]]/1000</f>
        <v>0</v>
      </c>
      <c r="F23" s="2">
        <f>Table2[[#This Row],[TWh '[2020']2]]*1000</f>
        <v>0</v>
      </c>
      <c r="G23" s="3">
        <f>IF(Table2[[#This Row],[Mil m3 EU '[2020']]]&gt;0,Table2[[#This Row],[Mrd m3 EU '[2020']]],Table2[[#This Row],[Mrd m3 '[2020']]])*9.77</f>
        <v>0</v>
      </c>
      <c r="H23" s="2"/>
      <c r="M23" t="str">
        <f t="shared" si="0"/>
        <v>LU_Prod</v>
      </c>
      <c r="N23" t="str">
        <f>Table2[[#This Row],[Country]]</f>
        <v>LU</v>
      </c>
    </row>
    <row r="24" spans="1:14">
      <c r="A24" t="s">
        <v>39</v>
      </c>
      <c r="B24" t="s">
        <v>68</v>
      </c>
      <c r="C24" s="2"/>
      <c r="D24" s="2"/>
      <c r="E24" s="2">
        <f>Table2[[#This Row],[Mil m3 EU '[2020']]]/1000</f>
        <v>0</v>
      </c>
      <c r="F24" s="2">
        <f>Table2[[#This Row],[TWh '[2020']2]]*1000</f>
        <v>0</v>
      </c>
      <c r="G24" s="3">
        <f>IF(Table2[[#This Row],[Mil m3 EU '[2020']]]&gt;0,Table2[[#This Row],[Mrd m3 EU '[2020']]],Table2[[#This Row],[Mrd m3 '[2020']]])*9.77</f>
        <v>0</v>
      </c>
      <c r="H24" s="2"/>
      <c r="M24" t="str">
        <f t="shared" si="0"/>
        <v>MD_Prod</v>
      </c>
      <c r="N24" t="str">
        <f>Table2[[#This Row],[Country]]</f>
        <v>MD</v>
      </c>
    </row>
    <row r="25" spans="1:14">
      <c r="A25" t="s">
        <v>18</v>
      </c>
      <c r="B25" t="s">
        <v>7</v>
      </c>
      <c r="C25" s="2">
        <v>20.091666666666669</v>
      </c>
      <c r="D25" s="2">
        <v>23966.123</v>
      </c>
      <c r="E25" s="2">
        <f>Table2[[#This Row],[Mil m3 EU '[2020']]]/1000</f>
        <v>23.966123</v>
      </c>
      <c r="F25" s="2">
        <f>Table2[[#This Row],[TWh '[2020']2]]*1000</f>
        <v>234149.02171</v>
      </c>
      <c r="G25" s="3">
        <f>IF(Table2[[#This Row],[Mil m3 EU '[2020']]]&gt;0,Table2[[#This Row],[Mrd m3 EU '[2020']]],Table2[[#This Row],[Mrd m3 '[2020']]])*9.77</f>
        <v>234.14902171</v>
      </c>
      <c r="H25" s="2"/>
      <c r="M25" t="str">
        <f t="shared" si="0"/>
        <v>NL_Prod</v>
      </c>
      <c r="N25" t="str">
        <f>Table2[[#This Row],[Country]]</f>
        <v>NL</v>
      </c>
    </row>
    <row r="26" spans="1:14">
      <c r="A26" t="s">
        <v>45</v>
      </c>
      <c r="B26" t="s">
        <v>76</v>
      </c>
      <c r="C26" s="2"/>
      <c r="D26" s="2"/>
      <c r="E26" s="2">
        <f>Table2[[#This Row],[Mil m3 EU '[2020']]]/1000</f>
        <v>0</v>
      </c>
      <c r="F26" s="2">
        <f>Table2[[#This Row],[TWh '[2020']2]]*1000</f>
        <v>0</v>
      </c>
      <c r="G26" s="3">
        <f>IF(Table2[[#This Row],[Mil m3 EU '[2020']]]&gt;0,Table2[[#This Row],[Mrd m3 EU '[2020']]],Table2[[#This Row],[Mrd m3 '[2020']]])*9.77</f>
        <v>0</v>
      </c>
      <c r="H26" s="2"/>
      <c r="M26" t="str">
        <f t="shared" si="0"/>
        <v>MK_Prod</v>
      </c>
      <c r="N26" t="str">
        <f>Table2[[#This Row],[Country]]</f>
        <v>MK</v>
      </c>
    </row>
    <row r="27" spans="1:14">
      <c r="A27" t="s">
        <v>48</v>
      </c>
      <c r="B27" t="s">
        <v>71</v>
      </c>
      <c r="C27" s="2">
        <v>111.71588259981999</v>
      </c>
      <c r="D27" s="2">
        <v>116206.11699999998</v>
      </c>
      <c r="E27" s="2">
        <f>Table2[[#This Row],[Mil m3 EU '[2020']]]/1000</f>
        <v>116.20611699999998</v>
      </c>
      <c r="F27" s="2">
        <f>Table2[[#This Row],[TWh '[2020']2]]*1000</f>
        <v>1135333.7630899998</v>
      </c>
      <c r="G27" s="3">
        <f>IF(Table2[[#This Row],[Mil m3 EU '[2020']]]&gt;0,Table2[[#This Row],[Mrd m3 EU '[2020']]],Table2[[#This Row],[Mrd m3 '[2020']]])*9.77</f>
        <v>1135.3337630899998</v>
      </c>
      <c r="H27" s="2"/>
      <c r="M27" t="str">
        <f t="shared" si="0"/>
        <v>NO_Prod</v>
      </c>
      <c r="N27" t="str">
        <f>Table2[[#This Row],[Country]]</f>
        <v>NO</v>
      </c>
    </row>
    <row r="28" spans="1:14">
      <c r="A28" t="s">
        <v>27</v>
      </c>
      <c r="B28" t="s">
        <v>8</v>
      </c>
      <c r="C28" s="2">
        <v>3.9287777777777784</v>
      </c>
      <c r="D28" s="2">
        <v>5592.88</v>
      </c>
      <c r="E28" s="2">
        <f>Table2[[#This Row],[Mil m3 EU '[2020']]]/1000</f>
        <v>5.5928800000000001</v>
      </c>
      <c r="F28" s="2">
        <f>Table2[[#This Row],[TWh '[2020']2]]*1000</f>
        <v>54642.437599999997</v>
      </c>
      <c r="G28" s="3">
        <f>IF(Table2[[#This Row],[Mil m3 EU '[2020']]]&gt;0,Table2[[#This Row],[Mrd m3 EU '[2020']]],Table2[[#This Row],[Mrd m3 '[2020']]])*9.77</f>
        <v>54.642437600000001</v>
      </c>
      <c r="H28" s="2"/>
      <c r="M28" t="str">
        <f t="shared" si="0"/>
        <v>PL_Prod</v>
      </c>
      <c r="N28" t="str">
        <f>Table2[[#This Row],[Country]]</f>
        <v>PL</v>
      </c>
    </row>
    <row r="29" spans="1:14">
      <c r="A29" t="s">
        <v>37</v>
      </c>
      <c r="B29" t="s">
        <v>1</v>
      </c>
      <c r="C29" s="2"/>
      <c r="D29" s="2"/>
      <c r="E29" s="2">
        <f>Table2[[#This Row],[Mil m3 EU '[2020']]]/1000</f>
        <v>0</v>
      </c>
      <c r="F29" s="2">
        <f>Table2[[#This Row],[TWh '[2020']2]]*1000</f>
        <v>0</v>
      </c>
      <c r="G29" s="3">
        <f>IF(Table2[[#This Row],[Mil m3 EU '[2020']]]&gt;0,Table2[[#This Row],[Mrd m3 EU '[2020']]],Table2[[#This Row],[Mrd m3 '[2020']]])*9.77</f>
        <v>0</v>
      </c>
      <c r="H29" s="2"/>
      <c r="M29" t="str">
        <f t="shared" si="0"/>
        <v>PT_Prod</v>
      </c>
      <c r="N29" t="str">
        <f>Table2[[#This Row],[Country]]</f>
        <v>PT</v>
      </c>
    </row>
    <row r="30" spans="1:14">
      <c r="A30" t="s">
        <v>33</v>
      </c>
      <c r="B30" t="s">
        <v>86</v>
      </c>
      <c r="C30" s="2">
        <v>8.5963213888888905</v>
      </c>
      <c r="D30" s="2">
        <v>9017</v>
      </c>
      <c r="E30" s="2">
        <f>Table2[[#This Row],[Mil m3 EU '[2020']]]/1000</f>
        <v>9.0169999999999995</v>
      </c>
      <c r="F30" s="2">
        <f>Table2[[#This Row],[TWh '[2020']2]]*1000</f>
        <v>88096.09</v>
      </c>
      <c r="G30" s="3">
        <f>IF(Table2[[#This Row],[Mil m3 EU '[2020']]]&gt;0,Table2[[#This Row],[Mrd m3 EU '[2020']]],Table2[[#This Row],[Mrd m3 '[2020']]])*9.77</f>
        <v>88.09608999999999</v>
      </c>
      <c r="H30" s="2"/>
      <c r="M30" t="str">
        <f t="shared" si="0"/>
        <v>RO_Prod</v>
      </c>
      <c r="N30" t="str">
        <f>Table2[[#This Row],[Country]]</f>
        <v>RO</v>
      </c>
    </row>
    <row r="31" spans="1:14">
      <c r="A31" t="s">
        <v>40</v>
      </c>
      <c r="B31" t="s">
        <v>69</v>
      </c>
      <c r="C31" s="2">
        <v>638.44665603244835</v>
      </c>
      <c r="D31" s="2"/>
      <c r="E31" s="2">
        <f>Table2[[#This Row],[Mil m3 EU '[2020']]]/1000</f>
        <v>0</v>
      </c>
      <c r="F31" s="2">
        <f>Table2[[#This Row],[TWh '[2020']2]]*1000</f>
        <v>6237623.8294370202</v>
      </c>
      <c r="G31" s="3">
        <f>IF(Table2[[#This Row],[Mil m3 EU '[2020']]]&gt;0,Table2[[#This Row],[Mrd m3 EU '[2020']]],Table2[[#This Row],[Mrd m3 '[2020']]])*9.77</f>
        <v>6237.6238294370205</v>
      </c>
      <c r="H31" s="2"/>
      <c r="M31" t="str">
        <f t="shared" si="0"/>
        <v>RU_Prod</v>
      </c>
      <c r="N31" t="str">
        <f>Table2[[#This Row],[Country]]</f>
        <v>RU</v>
      </c>
    </row>
    <row r="32" spans="1:14">
      <c r="A32" t="s">
        <v>47</v>
      </c>
      <c r="B32" t="s">
        <v>77</v>
      </c>
      <c r="C32" s="2"/>
      <c r="D32" s="2"/>
      <c r="E32" s="2">
        <f>Table2[[#This Row],[Mil m3 EU '[2020']]]/1000</f>
        <v>0</v>
      </c>
      <c r="F32" s="2">
        <f>Table2[[#This Row],[TWh '[2020']2]]*1000</f>
        <v>0</v>
      </c>
      <c r="G32" s="3">
        <f>IF(Table2[[#This Row],[Mil m3 EU '[2020']]]&gt;0,Table2[[#This Row],[Mrd m3 EU '[2020']]],Table2[[#This Row],[Mrd m3 '[2020']]])*9.77</f>
        <v>0</v>
      </c>
      <c r="H32" s="2"/>
      <c r="M32" t="str">
        <f t="shared" si="0"/>
        <v>SM_Prod</v>
      </c>
      <c r="N32" t="str">
        <f>Table2[[#This Row],[Country]]</f>
        <v>SM</v>
      </c>
    </row>
    <row r="33" spans="1:14">
      <c r="A33" t="s">
        <v>31</v>
      </c>
      <c r="B33" t="s">
        <v>72</v>
      </c>
      <c r="C33" s="2"/>
      <c r="D33" s="2">
        <v>409</v>
      </c>
      <c r="E33" s="2">
        <f>Table2[[#This Row],[Mil m3 EU '[2020']]]/1000</f>
        <v>0.40899999999999997</v>
      </c>
      <c r="F33" s="2">
        <f>Table2[[#This Row],[TWh '[2020']2]]*1000</f>
        <v>3995.9299999999994</v>
      </c>
      <c r="G33" s="3">
        <f>IF(Table2[[#This Row],[Mil m3 EU '[2020']]]&gt;0,Table2[[#This Row],[Mrd m3 EU '[2020']]],Table2[[#This Row],[Mrd m3 '[2020']]])*9.77</f>
        <v>3.9959299999999995</v>
      </c>
      <c r="H33" s="2"/>
      <c r="M33" t="str">
        <f t="shared" si="0"/>
        <v>RS_Prod</v>
      </c>
      <c r="N33" t="str">
        <f>Table2[[#This Row],[Country]]</f>
        <v>RS</v>
      </c>
    </row>
    <row r="34" spans="1:14">
      <c r="A34" t="s">
        <v>29</v>
      </c>
      <c r="B34" t="s">
        <v>62</v>
      </c>
      <c r="C34" s="2"/>
      <c r="D34" s="2">
        <v>66.700999999999993</v>
      </c>
      <c r="E34" s="2">
        <f>Table2[[#This Row],[Mil m3 EU '[2020']]]/1000</f>
        <v>6.6700999999999996E-2</v>
      </c>
      <c r="F34" s="2">
        <f>Table2[[#This Row],[TWh '[2020']2]]*1000</f>
        <v>651.66876999999988</v>
      </c>
      <c r="G34" s="3">
        <f>IF(Table2[[#This Row],[Mil m3 EU '[2020']]]&gt;0,Table2[[#This Row],[Mrd m3 EU '[2020']]],Table2[[#This Row],[Mrd m3 '[2020']]])*9.77</f>
        <v>0.6516687699999999</v>
      </c>
      <c r="H34" s="2"/>
      <c r="M34" t="str">
        <f t="shared" si="0"/>
        <v>SK_Prod</v>
      </c>
      <c r="N34" t="str">
        <f>Table2[[#This Row],[Country]]</f>
        <v>SK</v>
      </c>
    </row>
    <row r="35" spans="1:14">
      <c r="A35" t="s">
        <v>23</v>
      </c>
      <c r="B35" t="s">
        <v>59</v>
      </c>
      <c r="C35" s="2"/>
      <c r="D35" s="2">
        <v>5.3340000000000005</v>
      </c>
      <c r="E35" s="2">
        <f>Table2[[#This Row],[Mil m3 EU '[2020']]]/1000</f>
        <v>5.3340000000000002E-3</v>
      </c>
      <c r="F35" s="2">
        <f>Table2[[#This Row],[TWh '[2020']2]]*1000</f>
        <v>52.11318</v>
      </c>
      <c r="G35" s="3">
        <f>IF(Table2[[#This Row],[Mil m3 EU '[2020']]]&gt;0,Table2[[#This Row],[Mrd m3 EU '[2020']]],Table2[[#This Row],[Mrd m3 '[2020']]])*9.77</f>
        <v>5.2113180000000002E-2</v>
      </c>
      <c r="H35" s="2"/>
      <c r="M35" t="str">
        <f t="shared" si="0"/>
        <v>SI_Prod</v>
      </c>
      <c r="N35" t="str">
        <f>Table2[[#This Row],[Country]]</f>
        <v>SI</v>
      </c>
    </row>
    <row r="36" spans="1:14">
      <c r="A36" t="s">
        <v>22</v>
      </c>
      <c r="B36" t="s">
        <v>58</v>
      </c>
      <c r="C36" s="2"/>
      <c r="D36" s="2"/>
      <c r="E36" s="2">
        <f>Table2[[#This Row],[Mil m3 EU '[2020']]]/1000</f>
        <v>0</v>
      </c>
      <c r="F36" s="2">
        <f>Table2[[#This Row],[TWh '[2020']2]]*1000</f>
        <v>0</v>
      </c>
      <c r="G36" s="3">
        <f>IF(Table2[[#This Row],[Mil m3 EU '[2020']]]&gt;0,Table2[[#This Row],[Mrd m3 EU '[2020']]],Table2[[#This Row],[Mrd m3 '[2020']]])*9.77</f>
        <v>0</v>
      </c>
      <c r="H36" s="2"/>
      <c r="M36" t="str">
        <f t="shared" si="0"/>
        <v>CH_Prod</v>
      </c>
      <c r="N36" t="str">
        <f>Table2[[#This Row],[Country]]</f>
        <v>CH</v>
      </c>
    </row>
    <row r="37" spans="1:14">
      <c r="A37" t="s">
        <v>50</v>
      </c>
      <c r="B37" t="s">
        <v>79</v>
      </c>
      <c r="C37" s="2">
        <v>1.9</v>
      </c>
      <c r="D37" s="2"/>
      <c r="E37" s="2">
        <f>Table2[[#This Row],[Mil m3 EU '[2020']]]/1000</f>
        <v>0</v>
      </c>
      <c r="F37" s="2">
        <f>Table2[[#This Row],[TWh '[2020']2]]*1000</f>
        <v>18563</v>
      </c>
      <c r="G37" s="3">
        <f>IF(Table2[[#This Row],[Mil m3 EU '[2020']]]&gt;0,Table2[[#This Row],[Mrd m3 EU '[2020']]],Table2[[#This Row],[Mrd m3 '[2020']]])*9.77</f>
        <v>18.562999999999999</v>
      </c>
      <c r="H37" s="2"/>
      <c r="M37" t="str">
        <f t="shared" si="0"/>
        <v>TN_Prod</v>
      </c>
      <c r="N37" t="str">
        <f>Table2[[#This Row],[Country]]</f>
        <v>TN</v>
      </c>
    </row>
    <row r="38" spans="1:14">
      <c r="A38" t="s">
        <v>46</v>
      </c>
      <c r="B38" t="s">
        <v>10</v>
      </c>
      <c r="C38" s="2"/>
      <c r="D38" s="2">
        <v>437.50999999999993</v>
      </c>
      <c r="E38" s="2">
        <f>Table2[[#This Row],[Mil m3 EU '[2020']]]/1000</f>
        <v>0.43750999999999995</v>
      </c>
      <c r="F38" s="2">
        <f>Table2[[#This Row],[TWh '[2020']2]]*1000</f>
        <v>4274.4726999999993</v>
      </c>
      <c r="G38" s="3">
        <f>IF(Table2[[#This Row],[Mil m3 EU '[2020']]]&gt;0,Table2[[#This Row],[Mrd m3 EU '[2020']]],Table2[[#This Row],[Mrd m3 '[2020']]])*9.77</f>
        <v>4.2744726999999996</v>
      </c>
      <c r="H38" s="2"/>
      <c r="M38" t="str">
        <f t="shared" si="0"/>
        <v>TR_Prod</v>
      </c>
      <c r="N38" t="str">
        <f>Table2[[#This Row],[Country]]</f>
        <v>TR</v>
      </c>
    </row>
    <row r="39" spans="1:14">
      <c r="A39" t="s">
        <v>11</v>
      </c>
      <c r="B39" t="s">
        <v>11</v>
      </c>
      <c r="C39" s="2">
        <v>39.571421400000006</v>
      </c>
      <c r="D39" s="2">
        <v>32836.551999999996</v>
      </c>
      <c r="E39" s="2">
        <f>Table2[[#This Row],[Mil m3 EU '[2020']]]/1000</f>
        <v>32.836551999999998</v>
      </c>
      <c r="F39" s="2">
        <f>Table2[[#This Row],[TWh '[2020']2]]*1000</f>
        <v>320813.11303999997</v>
      </c>
      <c r="G39" s="3">
        <f>IF(Table2[[#This Row],[Mil m3 EU '[2020']]]&gt;0,Table2[[#This Row],[Mrd m3 EU '[2020']]],Table2[[#This Row],[Mrd m3 '[2020']]])*9.77</f>
        <v>320.81311303999996</v>
      </c>
      <c r="H39" s="2"/>
      <c r="M39" t="str">
        <f t="shared" si="0"/>
        <v>UK_Prod</v>
      </c>
      <c r="N39" t="str">
        <f>Table2[[#This Row],[Country]]</f>
        <v>UK</v>
      </c>
    </row>
    <row r="40" spans="1:14">
      <c r="A40" t="s">
        <v>38</v>
      </c>
      <c r="B40" t="s">
        <v>67</v>
      </c>
      <c r="C40" s="2">
        <v>19.117502458210424</v>
      </c>
      <c r="D40" s="2">
        <v>19516</v>
      </c>
      <c r="E40" s="2">
        <f>Table2[[#This Row],[Mil m3 EU '[2020']]]/1000</f>
        <v>19.515999999999998</v>
      </c>
      <c r="F40" s="2">
        <f>Table2[[#This Row],[TWh '[2020']2]]*1000</f>
        <v>190671.31999999998</v>
      </c>
      <c r="G40" s="3">
        <f>IF(Table2[[#This Row],[Mil m3 EU '[2020']]]&gt;0,Table2[[#This Row],[Mrd m3 EU '[2020']]],Table2[[#This Row],[Mrd m3 '[2020']]])*9.77</f>
        <v>190.67131999999998</v>
      </c>
      <c r="H40" s="2"/>
      <c r="M40" t="str">
        <f t="shared" si="0"/>
        <v>UA_Prod</v>
      </c>
      <c r="N40" t="str">
        <f>Table2[[#This Row],[Country]]</f>
        <v>UA</v>
      </c>
    </row>
    <row r="41" spans="1:14">
      <c r="A41" t="s">
        <v>87</v>
      </c>
      <c r="B41" t="s">
        <v>88</v>
      </c>
      <c r="C41" s="2">
        <v>6.2834748117948553</v>
      </c>
      <c r="D41" s="2"/>
      <c r="E41" s="2">
        <f>Table2[[#This Row],[Mil m3 EU '[2020']]]/1000</f>
        <v>0</v>
      </c>
      <c r="F41" s="2">
        <f>Table2[[#This Row],[TWh '[2020']2]]*1000</f>
        <v>61389.548911235732</v>
      </c>
      <c r="G41" s="3">
        <f>IF(Table2[[#This Row],[Mil m3 EU '[2020']]]&gt;0,Table2[[#This Row],[Mrd m3 EU '[2020']]],Table2[[#This Row],[Mrd m3 '[2020']]])*9.77</f>
        <v>61.389548911235735</v>
      </c>
      <c r="H41" s="2"/>
      <c r="M41" t="str">
        <f t="shared" ref="M41:M42" si="1">_xlfn.CONCAT(A41,$J$2)</f>
        <v>OE_Prod</v>
      </c>
      <c r="N41" t="str">
        <f>Table2[[#This Row],[Country]]</f>
        <v>OE</v>
      </c>
    </row>
    <row r="42" spans="1:14">
      <c r="A42" t="s">
        <v>36</v>
      </c>
      <c r="B42" t="s">
        <v>9</v>
      </c>
      <c r="C42" s="2"/>
      <c r="D42" s="2">
        <v>46</v>
      </c>
      <c r="E42" s="2">
        <f>Table2[[#This Row],[Mil m3 EU '[2020']]]/1000</f>
        <v>4.5999999999999999E-2</v>
      </c>
      <c r="F42" s="2">
        <f>Table2[[#This Row],[TWh '[2020']2]]*1000</f>
        <v>449.41999999999996</v>
      </c>
      <c r="G42" s="3">
        <f>IF(Table2[[#This Row],[Mil m3 EU '[2020']]]&gt;0,Table2[[#This Row],[Mrd m3 EU '[2020']]],Table2[[#This Row],[Mrd m3 '[2020']]])*9.77</f>
        <v>0.44941999999999999</v>
      </c>
      <c r="M42" t="str">
        <f t="shared" si="1"/>
        <v>ES_Prod</v>
      </c>
      <c r="N42" t="str">
        <f>Table2[[#This Row],[Country]]</f>
        <v>ES</v>
      </c>
    </row>
    <row r="44" spans="1:14">
      <c r="C44" s="2">
        <f>SUM(Table2[Mrd m3 '[2020']])</f>
        <v>953.60023173327022</v>
      </c>
      <c r="D44" s="2">
        <f>SUM(Table2[Mil m3 EU '[2020']])/1000+C31+C37+C21+C3</f>
        <v>958.51780060479393</v>
      </c>
      <c r="E44">
        <f>SUMIF(Table2[Mil m3 EU '[2020']],"&gt;0",Table2[Mrd m3 EU '[2020']])</f>
        <v>224.04681999999994</v>
      </c>
    </row>
    <row r="45" spans="1:14">
      <c r="E45" s="2"/>
      <c r="F45" s="2"/>
    </row>
    <row r="47" spans="1:14">
      <c r="A47" t="s">
        <v>132</v>
      </c>
    </row>
    <row r="48" spans="1:14">
      <c r="A48" t="s">
        <v>79</v>
      </c>
      <c r="B48" t="s">
        <v>89</v>
      </c>
      <c r="I48" t="s">
        <v>137</v>
      </c>
    </row>
    <row r="49" spans="1:2">
      <c r="A49" t="s">
        <v>122</v>
      </c>
      <c r="B49" t="s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1A3E-1808-4462-B1E3-D6075EC1FD95}">
  <dimension ref="A1:G21"/>
  <sheetViews>
    <sheetView workbookViewId="0">
      <selection activeCell="F4" sqref="F4"/>
    </sheetView>
  </sheetViews>
  <sheetFormatPr defaultRowHeight="14.5"/>
  <cols>
    <col min="1" max="1" width="9.54296875" customWidth="1"/>
    <col min="2" max="2" width="19.1796875" customWidth="1"/>
    <col min="3" max="3" width="15" customWidth="1"/>
    <col min="4" max="4" width="17.08984375" customWidth="1"/>
    <col min="5" max="6" width="17.81640625" customWidth="1"/>
    <col min="7" max="8" width="15" customWidth="1"/>
  </cols>
  <sheetData>
    <row r="1" spans="1:7">
      <c r="A1" s="12" t="s">
        <v>16</v>
      </c>
      <c r="B1" s="12" t="s">
        <v>55</v>
      </c>
      <c r="C1" s="12" t="s">
        <v>84</v>
      </c>
      <c r="D1" s="12" t="s">
        <v>170</v>
      </c>
      <c r="E1" s="12" t="s">
        <v>171</v>
      </c>
      <c r="F1" s="13" t="s">
        <v>266</v>
      </c>
      <c r="G1" s="13" t="s">
        <v>265</v>
      </c>
    </row>
    <row r="2" spans="1:7">
      <c r="A2" t="s">
        <v>149</v>
      </c>
      <c r="B2" s="6" t="s">
        <v>149</v>
      </c>
      <c r="C2" s="7">
        <v>924.81292668594142</v>
      </c>
      <c r="D2" s="7"/>
      <c r="E2" s="7">
        <f>Table7[[#This Row],[Mil m3 '[2020']]]/1000</f>
        <v>0</v>
      </c>
      <c r="F2" s="14">
        <f>Table7[[#This Row],[TWh '[2020']2]]*1000</f>
        <v>9035422.2937216479</v>
      </c>
      <c r="G2" s="3">
        <f>IF(Table7[[#This Row],[Mil m3 '[2020']]]&gt;0,Table7[[#This Row],[Mrd m3 '[2020']2]],Table7[[#This Row],[Mrd m3 '[2020']]])*9.77</f>
        <v>9035.4222937216473</v>
      </c>
    </row>
    <row r="3" spans="1:7">
      <c r="A3" t="s">
        <v>196</v>
      </c>
      <c r="B3" t="s">
        <v>160</v>
      </c>
      <c r="C3">
        <f>165.613+35.5252809102083</f>
        <v>201.13828091020829</v>
      </c>
      <c r="E3" s="2">
        <f>Table7[[#This Row],[Mil m3 '[2020']]]/1000</f>
        <v>0</v>
      </c>
      <c r="F3" s="2">
        <f>Table7[[#This Row],[TWh '[2020']2]]*1000</f>
        <v>1965121.004492735</v>
      </c>
      <c r="G3" s="3">
        <f>IF(Table7[[#This Row],[Mil m3 '[2020']]]&gt;0,Table7[[#This Row],[Mrd m3 '[2020']2]],Table7[[#This Row],[Mrd m3 '[2020']]])*9.77</f>
        <v>1965.121004492735</v>
      </c>
    </row>
    <row r="4" spans="1:7">
      <c r="A4" t="s">
        <v>150</v>
      </c>
      <c r="B4" t="s">
        <v>161</v>
      </c>
      <c r="C4">
        <f>156.619145389645-29.4652641615749</f>
        <v>127.15388122807011</v>
      </c>
      <c r="E4" s="2">
        <f>Table7[[#This Row],[Mil m3 '[2020']]]/1000</f>
        <v>0</v>
      </c>
      <c r="F4" s="2">
        <f>Table7[[#This Row],[TWh '[2020']2]]*1000</f>
        <v>1242293.4195982448</v>
      </c>
      <c r="G4" s="3">
        <f>IF(Table7[[#This Row],[Mil m3 '[2020']]]&gt;0,Table7[[#This Row],[Mrd m3 '[2020']2]],Table7[[#This Row],[Mrd m3 '[2020']]])*9.77</f>
        <v>1242.2934195982448</v>
      </c>
    </row>
    <row r="5" spans="1:7">
      <c r="A5" t="s">
        <v>151</v>
      </c>
      <c r="B5" t="s">
        <v>162</v>
      </c>
      <c r="C5">
        <v>29.4652641615749</v>
      </c>
      <c r="E5" s="2">
        <f>Table7[[#This Row],[Mil m3 '[2020']]]/1000</f>
        <v>0</v>
      </c>
      <c r="F5" s="2">
        <f>Table7[[#This Row],[TWh '[2020']2]]*1000</f>
        <v>287875.63085858675</v>
      </c>
      <c r="G5" s="3">
        <f>IF(Table7[[#This Row],[Mil m3 '[2020']]]&gt;0,Table7[[#This Row],[Mrd m3 '[2020']2]],Table7[[#This Row],[Mrd m3 '[2020']]])*9.77</f>
        <v>287.87563085858676</v>
      </c>
    </row>
    <row r="6" spans="1:7">
      <c r="A6" t="s">
        <v>152</v>
      </c>
      <c r="B6" t="s">
        <v>163</v>
      </c>
      <c r="C6">
        <f>667.939379731508-174.9348378172</f>
        <v>493.00454191430799</v>
      </c>
      <c r="E6" s="2">
        <f>Table7[[#This Row],[Mil m3 '[2020']]]/1000</f>
        <v>0</v>
      </c>
      <c r="F6" s="2">
        <f>Table7[[#This Row],[TWh '[2020']2]]*1000</f>
        <v>4816654.3745027892</v>
      </c>
      <c r="G6" s="3">
        <f>IF(Table7[[#This Row],[Mil m3 '[2020']]]&gt;0,Table7[[#This Row],[Mrd m3 '[2020']2]],Table7[[#This Row],[Mrd m3 '[2020']]])*9.77</f>
        <v>4816.6543745027893</v>
      </c>
    </row>
    <row r="7" spans="1:7">
      <c r="A7" t="s">
        <v>153</v>
      </c>
      <c r="B7" t="s">
        <v>174</v>
      </c>
      <c r="C7">
        <v>174.93483781719999</v>
      </c>
      <c r="E7" s="2">
        <f>Table7[[#This Row],[Mil m3 '[2020']]]/1000</f>
        <v>0</v>
      </c>
      <c r="F7" s="2">
        <f>Table7[[#This Row],[TWh '[2020']2]]*1000</f>
        <v>1709113.3654740439</v>
      </c>
      <c r="G7" s="3">
        <f>IF(Table7[[#This Row],[Mil m3 '[2020']]]&gt;0,Table7[[#This Row],[Mrd m3 '[2020']2]],Table7[[#This Row],[Mrd m3 '[2020']]])*9.77</f>
        <v>1709.1133654740438</v>
      </c>
    </row>
    <row r="8" spans="1:7">
      <c r="A8" t="s">
        <v>154</v>
      </c>
      <c r="B8" t="s">
        <v>164</v>
      </c>
      <c r="C8" s="2">
        <f>231.909048813308-nodes_gas_prod_europe_2020!C21-nodes_gas_prod_europe_2020!C3-nodes_gas_prod_europe_2020!C37-C16</f>
        <v>77.419550083247572</v>
      </c>
      <c r="E8" s="2">
        <f>Table7[[#This Row],[Mil m3 '[2020']]]/1000</f>
        <v>0</v>
      </c>
      <c r="F8" s="2">
        <f>Table7[[#This Row],[TWh '[2020']2]]*1000</f>
        <v>756389.00431332877</v>
      </c>
      <c r="G8" s="3">
        <f>IF(Table7[[#This Row],[Mil m3 '[2020']]]&gt;0,Table7[[#This Row],[Mrd m3 '[2020']2]],Table7[[#This Row],[Mrd m3 '[2020']]])*9.77</f>
        <v>756.38900431332877</v>
      </c>
    </row>
    <row r="9" spans="1:7">
      <c r="A9" t="s">
        <v>96</v>
      </c>
      <c r="B9" t="s">
        <v>175</v>
      </c>
      <c r="C9" s="2">
        <v>7.0000000000000007E-2</v>
      </c>
      <c r="E9" s="2">
        <f>Table7[[#This Row],[Mil m3 '[2020']]]/1000</f>
        <v>0</v>
      </c>
      <c r="F9" s="2">
        <f>Table7[[#This Row],[TWh '[2020']2]]*1000</f>
        <v>683.90000000000009</v>
      </c>
      <c r="G9" s="3">
        <f>IF(Table7[[#This Row],[Mil m3 '[2020']]]&gt;0,Table7[[#This Row],[Mrd m3 '[2020']2]],Table7[[#This Row],[Mrd m3 '[2020']]])*9.77</f>
        <v>0.68390000000000006</v>
      </c>
    </row>
    <row r="10" spans="1:7">
      <c r="A10" t="s">
        <v>155</v>
      </c>
      <c r="B10" t="s">
        <v>165</v>
      </c>
      <c r="C10">
        <v>145.71638020075315</v>
      </c>
      <c r="E10" s="2">
        <f>Table7[[#This Row],[Mil m3 '[2020']]]/1000</f>
        <v>0</v>
      </c>
      <c r="F10" s="2">
        <f>Table7[[#This Row],[TWh '[2020']2]]*1000</f>
        <v>1423649.0345613582</v>
      </c>
      <c r="G10" s="3">
        <f>IF(Table7[[#This Row],[Mil m3 '[2020']]]&gt;0,Table7[[#This Row],[Mrd m3 '[2020']2]],Table7[[#This Row],[Mrd m3 '[2020']]])*9.77</f>
        <v>1423.6490345613581</v>
      </c>
    </row>
    <row r="11" spans="1:7">
      <c r="A11" t="s">
        <v>156</v>
      </c>
      <c r="B11" t="s">
        <v>166</v>
      </c>
      <c r="C11">
        <v>194.00921828908548</v>
      </c>
      <c r="E11" s="2">
        <f>Table7[[#This Row],[Mil m3 '[2020']]]/1000</f>
        <v>0</v>
      </c>
      <c r="F11" s="2">
        <f>Table7[[#This Row],[TWh '[2020']2]]*1000</f>
        <v>1895470.0626843651</v>
      </c>
      <c r="G11" s="3">
        <f>IF(Table7[[#This Row],[Mil m3 '[2020']]]&gt;0,Table7[[#This Row],[Mrd m3 '[2020']2]],Table7[[#This Row],[Mrd m3 '[2020']]])*9.77</f>
        <v>1895.4700626843651</v>
      </c>
    </row>
    <row r="12" spans="1:7">
      <c r="A12" t="s">
        <v>157</v>
      </c>
      <c r="B12" t="s">
        <v>167</v>
      </c>
      <c r="C12">
        <v>0</v>
      </c>
      <c r="E12" s="2">
        <f>Table7[[#This Row],[Mil m3 '[2020']]]/1000</f>
        <v>0</v>
      </c>
      <c r="F12" s="2">
        <f>Table7[[#This Row],[TWh '[2020']2]]*1000</f>
        <v>0</v>
      </c>
      <c r="G12" s="3">
        <f>IF(Table7[[#This Row],[Mil m3 '[2020']]]&gt;0,Table7[[#This Row],[Mrd m3 '[2020']2]],Table7[[#This Row],[Mrd m3 '[2020']]])*9.77</f>
        <v>0</v>
      </c>
    </row>
    <row r="13" spans="1:7">
      <c r="A13" t="s">
        <v>158</v>
      </c>
      <c r="B13" t="s">
        <v>168</v>
      </c>
      <c r="C13">
        <v>23.760626555099513</v>
      </c>
      <c r="E13" s="2">
        <f>Table7[[#This Row],[Mil m3 '[2020']]]/1000</f>
        <v>0</v>
      </c>
      <c r="F13" s="2">
        <f>Table7[[#This Row],[TWh '[2020']2]]*1000</f>
        <v>232141.32144332223</v>
      </c>
      <c r="G13" s="3">
        <f>IF(Table7[[#This Row],[Mil m3 '[2020']]]&gt;0,Table7[[#This Row],[Mrd m3 '[2020']2]],Table7[[#This Row],[Mrd m3 '[2020']]])*9.77</f>
        <v>232.14132144332223</v>
      </c>
    </row>
    <row r="14" spans="1:7">
      <c r="A14" t="s">
        <v>159</v>
      </c>
      <c r="B14" t="s">
        <v>169</v>
      </c>
      <c r="C14">
        <f>656.2735508682-C13-C11-C10-C12-C17</f>
        <v>154.99710695848057</v>
      </c>
      <c r="E14" s="2">
        <f>Table7[[#This Row],[Mil m3 '[2020']]]/1000</f>
        <v>0</v>
      </c>
      <c r="F14" s="2">
        <f>Table7[[#This Row],[TWh '[2020']2]]*1000</f>
        <v>1514321.734984355</v>
      </c>
      <c r="G14" s="3">
        <f>IF(Table7[[#This Row],[Mil m3 '[2020']]]&gt;0,Table7[[#This Row],[Mrd m3 '[2020']2]],Table7[[#This Row],[Mrd m3 '[2020']]])*9.77</f>
        <v>1514.3217349843551</v>
      </c>
    </row>
    <row r="15" spans="1:7">
      <c r="A15" t="s">
        <v>172</v>
      </c>
      <c r="B15" t="s">
        <v>173</v>
      </c>
      <c r="C15">
        <f>808.357450256401-638.446656032448</f>
        <v>169.91079422395296</v>
      </c>
      <c r="E15" s="2">
        <f>Table7[[#This Row],[Mil m3 '[2020']]]/1000</f>
        <v>0</v>
      </c>
      <c r="F15" s="2">
        <f>Table7[[#This Row],[TWh '[2020']2]]*1000</f>
        <v>1660028.4595680204</v>
      </c>
      <c r="G15" s="3">
        <f>IF(Table7[[#This Row],[Mil m3 '[2020']]]&gt;0,Table7[[#This Row],[Mrd m3 '[2020']2]],Table7[[#This Row],[Mrd m3 '[2020']]])*9.77</f>
        <v>1660.0284595680205</v>
      </c>
    </row>
    <row r="16" spans="1:7">
      <c r="A16" t="s">
        <v>177</v>
      </c>
      <c r="B16" t="s">
        <v>178</v>
      </c>
      <c r="C16">
        <v>58.465174157714841</v>
      </c>
      <c r="E16" s="2">
        <f>Table7[[#This Row],[Mil m3 '[2020']]]/1000</f>
        <v>0</v>
      </c>
      <c r="F16" s="2">
        <f>Table7[[#This Row],[TWh '[2020']2]]*1000</f>
        <v>571204.75152087398</v>
      </c>
      <c r="G16" s="3">
        <f>IF(Table7[[#This Row],[Mil m3 '[2020']]]&gt;0,Table7[[#This Row],[Mrd m3 '[2020']2]],Table7[[#This Row],[Mrd m3 '[2020']]])*9.77</f>
        <v>571.20475152087397</v>
      </c>
    </row>
    <row r="17" spans="1:7">
      <c r="A17" t="s">
        <v>192</v>
      </c>
      <c r="B17" t="s">
        <v>195</v>
      </c>
      <c r="C17">
        <f>64.6974253845862+73.0927934801951</f>
        <v>137.79021886478131</v>
      </c>
      <c r="E17" s="2">
        <f>Table7[[#This Row],[Mil m3 '[2020']]]/1000</f>
        <v>0</v>
      </c>
      <c r="F17" s="2">
        <f>Table7[[#This Row],[TWh '[2020']2]]*1000</f>
        <v>1346210.4383089133</v>
      </c>
      <c r="G17" s="3">
        <f>IF(Table7[[#This Row],[Mil m3 '[2020']]]&gt;0,Table7[[#This Row],[Mrd m3 '[2020']2]],Table7[[#This Row],[Mrd m3 '[2020']]])*9.77</f>
        <v>1346.2104383089134</v>
      </c>
    </row>
    <row r="20" spans="1:7">
      <c r="A20" t="s">
        <v>132</v>
      </c>
    </row>
    <row r="21" spans="1:7">
      <c r="A21" t="s">
        <v>272</v>
      </c>
      <c r="B21" t="s">
        <v>273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BBE1-80BC-4BBB-9141-C576056723F9}">
  <dimension ref="A1:N49"/>
  <sheetViews>
    <sheetView topLeftCell="A28" workbookViewId="0">
      <selection activeCell="B31" sqref="B31"/>
    </sheetView>
  </sheetViews>
  <sheetFormatPr defaultRowHeight="14.5"/>
  <cols>
    <col min="1" max="1" width="9.54296875" customWidth="1"/>
    <col min="2" max="2" width="12.54296875" customWidth="1"/>
    <col min="3" max="8" width="15" customWidth="1"/>
    <col min="12" max="12" width="10.81640625" bestFit="1" customWidth="1"/>
    <col min="16" max="16" width="15.453125" customWidth="1"/>
    <col min="17" max="17" width="18.1796875" customWidth="1"/>
    <col min="18" max="18" width="14.453125" customWidth="1"/>
  </cols>
  <sheetData>
    <row r="1" spans="1:14">
      <c r="A1" t="s">
        <v>16</v>
      </c>
      <c r="B1" t="s">
        <v>55</v>
      </c>
      <c r="C1" t="s">
        <v>84</v>
      </c>
      <c r="D1" t="s">
        <v>119</v>
      </c>
      <c r="E1" t="s">
        <v>121</v>
      </c>
      <c r="F1" t="s">
        <v>266</v>
      </c>
      <c r="G1" t="s">
        <v>104</v>
      </c>
      <c r="M1" t="s">
        <v>92</v>
      </c>
      <c r="N1" t="s">
        <v>93</v>
      </c>
    </row>
    <row r="2" spans="1:14">
      <c r="A2" t="s">
        <v>41</v>
      </c>
      <c r="B2" t="s">
        <v>73</v>
      </c>
      <c r="C2" s="2"/>
      <c r="D2" s="2">
        <v>53.950999999999993</v>
      </c>
      <c r="E2" s="2">
        <f>Table26[[#This Row],[Mil m3 EU '[2020']]]/1000</f>
        <v>5.3950999999999992E-2</v>
      </c>
      <c r="F2" s="2">
        <f>Table26[[#This Row],[TWh '[2020']]]*1000</f>
        <v>527.10126999999989</v>
      </c>
      <c r="G2" s="3">
        <f>IF(Table26[[#This Row],[Mil m3 EU '[2020']]]&gt;0,Table26[[#This Row],[Mrd m3 EU '[2020']]],Table26[[#This Row],[Mrd m3 '[2020']]])*9.77</f>
        <v>0.52710126999999984</v>
      </c>
      <c r="H2" s="2"/>
      <c r="J2" t="s">
        <v>101</v>
      </c>
      <c r="M2" t="str">
        <f t="shared" ref="M2:M42" si="0">_xlfn.CONCAT(A2,$J$2)</f>
        <v>AL_Prod</v>
      </c>
      <c r="N2" t="str">
        <f>Table26[[#This Row],[Country]]</f>
        <v>AL</v>
      </c>
    </row>
    <row r="3" spans="1:14">
      <c r="A3" t="s">
        <v>49</v>
      </c>
      <c r="B3" t="s">
        <v>78</v>
      </c>
      <c r="C3" s="2">
        <v>101.54375</v>
      </c>
      <c r="D3" s="2"/>
      <c r="E3" s="2">
        <f>Table26[[#This Row],[Mil m3 EU '[2020']]]/1000</f>
        <v>0</v>
      </c>
      <c r="F3" s="2">
        <f>Table26[[#This Row],[TWh '[2020']]]*1000</f>
        <v>992082.4375</v>
      </c>
      <c r="G3" s="3">
        <f>IF(Table26[[#This Row],[Mil m3 EU '[2020']]]&gt;0,Table26[[#This Row],[Mrd m3 EU '[2020']]],Table26[[#This Row],[Mrd m3 '[2020']]])*9.77</f>
        <v>992.08243749999997</v>
      </c>
      <c r="H3" s="2"/>
      <c r="M3" t="str">
        <f t="shared" si="0"/>
        <v>DZ_Prod</v>
      </c>
      <c r="N3" t="str">
        <f>Table26[[#This Row],[Country]]</f>
        <v>DZ</v>
      </c>
    </row>
    <row r="4" spans="1:14">
      <c r="A4" t="s">
        <v>20</v>
      </c>
      <c r="B4" t="s">
        <v>57</v>
      </c>
      <c r="C4" s="2"/>
      <c r="D4" s="2">
        <v>548.072</v>
      </c>
      <c r="E4" s="2">
        <f>Table26[[#This Row],[Mil m3 EU '[2020']]]/1000</f>
        <v>0.548072</v>
      </c>
      <c r="F4" s="2">
        <f>Table26[[#This Row],[TWh '[2020']]]*1000</f>
        <v>5354.6634399999994</v>
      </c>
      <c r="G4" s="3">
        <f>IF(Table26[[#This Row],[Mil m3 EU '[2020']]]&gt;0,Table26[[#This Row],[Mrd m3 EU '[2020']]],Table26[[#This Row],[Mrd m3 '[2020']]])*9.77</f>
        <v>5.3546634399999995</v>
      </c>
      <c r="H4" s="2"/>
      <c r="M4" t="str">
        <f t="shared" si="0"/>
        <v>AT_Prod</v>
      </c>
      <c r="N4" t="str">
        <f>Table26[[#This Row],[Country]]</f>
        <v>AT</v>
      </c>
    </row>
    <row r="5" spans="1:14">
      <c r="A5" t="s">
        <v>52</v>
      </c>
      <c r="B5" t="s">
        <v>81</v>
      </c>
      <c r="C5" s="2"/>
      <c r="D5" s="2"/>
      <c r="E5" s="2">
        <f>Table26[[#This Row],[Mil m3 EU '[2020']]]/1000</f>
        <v>0</v>
      </c>
      <c r="F5" s="2">
        <f>Table26[[#This Row],[TWh '[2020']]]*1000</f>
        <v>0</v>
      </c>
      <c r="G5" s="3">
        <f>IF(Table26[[#This Row],[Mil m3 EU '[2020']]]&gt;0,Table26[[#This Row],[Mrd m3 EU '[2020']]],Table26[[#This Row],[Mrd m3 '[2020']]])*9.77</f>
        <v>0</v>
      </c>
      <c r="H5" s="2"/>
      <c r="M5" t="str">
        <f t="shared" si="0"/>
        <v>BY_Prod</v>
      </c>
      <c r="N5" t="str">
        <f>Table26[[#This Row],[Country]]</f>
        <v>BY</v>
      </c>
    </row>
    <row r="6" spans="1:14">
      <c r="A6" t="s">
        <v>17</v>
      </c>
      <c r="B6" t="s">
        <v>0</v>
      </c>
      <c r="C6" s="2"/>
      <c r="D6" s="2">
        <v>15</v>
      </c>
      <c r="E6" s="2">
        <f>Table26[[#This Row],[Mil m3 EU '[2020']]]/1000</f>
        <v>1.4999999999999999E-2</v>
      </c>
      <c r="F6" s="2">
        <f>Table26[[#This Row],[TWh '[2020']]]*1000</f>
        <v>146.54999999999998</v>
      </c>
      <c r="G6" s="3">
        <f>IF(Table26[[#This Row],[Mil m3 EU '[2020']]]&gt;0,Table26[[#This Row],[Mrd m3 EU '[2020']]],Table26[[#This Row],[Mrd m3 '[2020']]])*9.77</f>
        <v>0.14654999999999999</v>
      </c>
      <c r="H6" s="2"/>
      <c r="M6" t="str">
        <f t="shared" si="0"/>
        <v>BE_Prod</v>
      </c>
      <c r="N6" t="str">
        <f>Table26[[#This Row],[Country]]</f>
        <v>BE</v>
      </c>
    </row>
    <row r="7" spans="1:14">
      <c r="A7" t="s">
        <v>44</v>
      </c>
      <c r="B7" t="s">
        <v>75</v>
      </c>
      <c r="C7" s="2"/>
      <c r="D7" s="2"/>
      <c r="E7" s="2">
        <f>Table26[[#This Row],[Mil m3 EU '[2020']]]/1000</f>
        <v>0</v>
      </c>
      <c r="F7" s="2">
        <f>Table26[[#This Row],[TWh '[2020']]]*1000</f>
        <v>0</v>
      </c>
      <c r="G7" s="3">
        <f>IF(Table26[[#This Row],[Mil m3 EU '[2020']]]&gt;0,Table26[[#This Row],[Mrd m3 EU '[2020']]],Table26[[#This Row],[Mrd m3 '[2020']]])*9.77</f>
        <v>0</v>
      </c>
      <c r="H7" s="2"/>
      <c r="M7" t="str">
        <f t="shared" si="0"/>
        <v>BA_Prod</v>
      </c>
      <c r="N7" t="str">
        <f>Table26[[#This Row],[Country]]</f>
        <v>BA</v>
      </c>
    </row>
    <row r="8" spans="1:14">
      <c r="A8" t="s">
        <v>32</v>
      </c>
      <c r="B8" t="s">
        <v>64</v>
      </c>
      <c r="C8" s="2"/>
      <c r="D8" s="2">
        <v>8.14</v>
      </c>
      <c r="E8" s="2">
        <f>Table26[[#This Row],[Mil m3 EU '[2020']]]/1000</f>
        <v>8.1400000000000014E-3</v>
      </c>
      <c r="F8" s="2">
        <f>Table26[[#This Row],[TWh '[2020']]]*1000</f>
        <v>79.527800000000013</v>
      </c>
      <c r="G8" s="3">
        <f>IF(Table26[[#This Row],[Mil m3 EU '[2020']]]&gt;0,Table26[[#This Row],[Mrd m3 EU '[2020']]],Table26[[#This Row],[Mrd m3 '[2020']]])*9.77</f>
        <v>7.952780000000001E-2</v>
      </c>
      <c r="H8" s="2"/>
      <c r="M8" t="str">
        <f t="shared" si="0"/>
        <v>BG_Prod</v>
      </c>
      <c r="N8" t="str">
        <f>Table26[[#This Row],[Country]]</f>
        <v>BG</v>
      </c>
    </row>
    <row r="9" spans="1:14">
      <c r="A9" t="s">
        <v>24</v>
      </c>
      <c r="B9" t="s">
        <v>5</v>
      </c>
      <c r="C9" s="2"/>
      <c r="D9" s="2">
        <v>754.1</v>
      </c>
      <c r="E9" s="2">
        <f>Table26[[#This Row],[Mil m3 EU '[2020']]]/1000</f>
        <v>0.75409999999999999</v>
      </c>
      <c r="F9" s="2">
        <f>Table26[[#This Row],[TWh '[2020']]]*1000</f>
        <v>7367.5569999999998</v>
      </c>
      <c r="G9" s="3">
        <f>IF(Table26[[#This Row],[Mil m3 EU '[2020']]]&gt;0,Table26[[#This Row],[Mrd m3 EU '[2020']]],Table26[[#This Row],[Mrd m3 '[2020']]])*9.77</f>
        <v>7.3675569999999997</v>
      </c>
      <c r="H9" s="2"/>
      <c r="M9" t="str">
        <f t="shared" si="0"/>
        <v>HR_Prod</v>
      </c>
      <c r="N9" t="str">
        <f>Table26[[#This Row],[Country]]</f>
        <v>HR</v>
      </c>
    </row>
    <row r="10" spans="1:14">
      <c r="A10" t="s">
        <v>28</v>
      </c>
      <c r="B10" t="s">
        <v>61</v>
      </c>
      <c r="C10" s="2"/>
      <c r="D10" s="2">
        <v>186.46900000000002</v>
      </c>
      <c r="E10" s="2">
        <f>Table26[[#This Row],[Mil m3 EU '[2020']]]/1000</f>
        <v>0.18646900000000002</v>
      </c>
      <c r="F10" s="2">
        <f>Table26[[#This Row],[TWh '[2020']]]*1000</f>
        <v>1821.8021300000003</v>
      </c>
      <c r="G10" s="3">
        <f>IF(Table26[[#This Row],[Mil m3 EU '[2020']]]&gt;0,Table26[[#This Row],[Mrd m3 EU '[2020']]],Table26[[#This Row],[Mrd m3 '[2020']]])*9.77</f>
        <v>1.8218021300000002</v>
      </c>
      <c r="H10" s="2"/>
      <c r="M10" t="str">
        <f t="shared" si="0"/>
        <v>CZ_Prod</v>
      </c>
      <c r="N10" t="str">
        <f>Table26[[#This Row],[Country]]</f>
        <v>CZ</v>
      </c>
    </row>
    <row r="11" spans="1:14">
      <c r="A11" t="s">
        <v>26</v>
      </c>
      <c r="B11" t="s">
        <v>60</v>
      </c>
      <c r="C11" s="2">
        <v>1.4011560438408868</v>
      </c>
      <c r="D11" s="2">
        <v>1801.4699999999998</v>
      </c>
      <c r="E11" s="2">
        <f>Table26[[#This Row],[Mil m3 EU '[2020']]]/1000</f>
        <v>1.8014699999999999</v>
      </c>
      <c r="F11" s="2">
        <f>Table26[[#This Row],[TWh '[2020']]]*1000</f>
        <v>17600.3619</v>
      </c>
      <c r="G11" s="3">
        <f>IF(Table26[[#This Row],[Mil m3 EU '[2020']]]&gt;0,Table26[[#This Row],[Mrd m3 EU '[2020']]],Table26[[#This Row],[Mrd m3 '[2020']]])*9.77</f>
        <v>17.600361899999999</v>
      </c>
      <c r="H11" s="2"/>
      <c r="M11" t="str">
        <f t="shared" si="0"/>
        <v>DK_Prod</v>
      </c>
      <c r="N11" t="str">
        <f>Table26[[#This Row],[Country]]</f>
        <v>DK</v>
      </c>
    </row>
    <row r="12" spans="1:14">
      <c r="A12" t="s">
        <v>53</v>
      </c>
      <c r="B12" t="s">
        <v>66</v>
      </c>
      <c r="C12" s="2"/>
      <c r="D12" s="2">
        <v>0</v>
      </c>
      <c r="E12" s="2">
        <f>Table26[[#This Row],[Mil m3 EU '[2020']]]/1000</f>
        <v>0</v>
      </c>
      <c r="F12" s="2">
        <f>Table26[[#This Row],[TWh '[2020']]]*1000</f>
        <v>0</v>
      </c>
      <c r="G12" s="3">
        <f>IF(Table26[[#This Row],[Mil m3 EU '[2020']]]&gt;0,Table26[[#This Row],[Mrd m3 EU '[2020']]],Table26[[#This Row],[Mrd m3 '[2020']]])*9.77</f>
        <v>0</v>
      </c>
      <c r="H12" s="2"/>
      <c r="M12" t="str">
        <f t="shared" si="0"/>
        <v>EE_Prod</v>
      </c>
      <c r="N12" t="str">
        <f>Table26[[#This Row],[Country]]</f>
        <v>EE</v>
      </c>
    </row>
    <row r="13" spans="1:14">
      <c r="A13" t="s">
        <v>54</v>
      </c>
      <c r="B13" t="s">
        <v>85</v>
      </c>
      <c r="C13" s="2"/>
      <c r="D13" s="2"/>
      <c r="E13" s="2">
        <f>Table26[[#This Row],[Mil m3 EU '[2020']]]/1000</f>
        <v>0</v>
      </c>
      <c r="F13" s="2">
        <f>Table26[[#This Row],[TWh '[2020']]]*1000</f>
        <v>0</v>
      </c>
      <c r="G13" s="3">
        <f>IF(Table26[[#This Row],[Mil m3 EU '[2020']]]&gt;0,Table26[[#This Row],[Mrd m3 EU '[2020']]],Table26[[#This Row],[Mrd m3 '[2020']]])*9.77</f>
        <v>0</v>
      </c>
      <c r="H13" s="2"/>
      <c r="M13" t="str">
        <f t="shared" si="0"/>
        <v>FI_Prod</v>
      </c>
      <c r="N13" t="str">
        <f>Table26[[#This Row],[Country]]</f>
        <v>FI</v>
      </c>
    </row>
    <row r="14" spans="1:14">
      <c r="A14" t="s">
        <v>25</v>
      </c>
      <c r="B14" t="s">
        <v>2</v>
      </c>
      <c r="C14" s="2"/>
      <c r="D14" s="2">
        <v>12.375999999999998</v>
      </c>
      <c r="E14" s="2">
        <f>Table26[[#This Row],[Mil m3 EU '[2020']]]/1000</f>
        <v>1.2375999999999998E-2</v>
      </c>
      <c r="F14" s="2">
        <f>Table26[[#This Row],[TWh '[2020']]]*1000</f>
        <v>120.91351999999998</v>
      </c>
      <c r="G14" s="3">
        <f>IF(Table26[[#This Row],[Mil m3 EU '[2020']]]&gt;0,Table26[[#This Row],[Mrd m3 EU '[2020']]],Table26[[#This Row],[Mrd m3 '[2020']]])*9.77</f>
        <v>0.12091351999999998</v>
      </c>
      <c r="H14" s="2"/>
      <c r="M14" t="str">
        <f t="shared" si="0"/>
        <v>FR_Prod</v>
      </c>
      <c r="N14" t="str">
        <f>Table26[[#This Row],[Country]]</f>
        <v>FR</v>
      </c>
    </row>
    <row r="15" spans="1:14">
      <c r="A15" t="s">
        <v>19</v>
      </c>
      <c r="B15" t="s">
        <v>56</v>
      </c>
      <c r="C15" s="2">
        <v>3.8061187027960317</v>
      </c>
      <c r="D15" s="2">
        <v>3873</v>
      </c>
      <c r="E15" s="2">
        <f>Table26[[#This Row],[Mil m3 EU '[2020']]]/1000</f>
        <v>3.8730000000000002</v>
      </c>
      <c r="F15" s="2">
        <f>Table26[[#This Row],[TWh '[2020']]]*1000</f>
        <v>37839.21</v>
      </c>
      <c r="G15" s="3">
        <f>IF(Table26[[#This Row],[Mil m3 EU '[2020']]]&gt;0,Table26[[#This Row],[Mrd m3 EU '[2020']]],Table26[[#This Row],[Mrd m3 '[2020']]])*9.77</f>
        <v>37.839210000000001</v>
      </c>
      <c r="H15" s="2"/>
      <c r="M15" t="str">
        <f t="shared" si="0"/>
        <v>DE_Prod</v>
      </c>
      <c r="N15" t="str">
        <f>Table26[[#This Row],[Country]]</f>
        <v>DE</v>
      </c>
    </row>
    <row r="16" spans="1:14">
      <c r="A16" t="s">
        <v>264</v>
      </c>
      <c r="B16" t="s">
        <v>3</v>
      </c>
      <c r="C16" s="2"/>
      <c r="D16" s="2">
        <v>1.9910000000000001</v>
      </c>
      <c r="E16" s="2">
        <f>Table26[[#This Row],[Mil m3 EU '[2020']]]/1000</f>
        <v>1.9910000000000001E-3</v>
      </c>
      <c r="F16" s="2">
        <f>Table26[[#This Row],[TWh '[2020']]]*1000</f>
        <v>19.452070000000003</v>
      </c>
      <c r="G16" s="3">
        <f>IF(Table26[[#This Row],[Mil m3 EU '[2020']]]&gt;0,Table26[[#This Row],[Mrd m3 EU '[2020']]],Table26[[#This Row],[Mrd m3 '[2020']]])*9.77</f>
        <v>1.9452070000000002E-2</v>
      </c>
      <c r="H16" s="2"/>
      <c r="M16" t="str">
        <f t="shared" si="0"/>
        <v>EL_Prod</v>
      </c>
      <c r="N16" t="str">
        <f>Table26[[#This Row],[Country]]</f>
        <v>EL</v>
      </c>
    </row>
    <row r="17" spans="1:14">
      <c r="A17" t="s">
        <v>30</v>
      </c>
      <c r="B17" t="s">
        <v>63</v>
      </c>
      <c r="C17" s="2"/>
      <c r="D17" s="2">
        <v>1723.8</v>
      </c>
      <c r="E17" s="2">
        <f>Table26[[#This Row],[Mil m3 EU '[2020']]]/1000</f>
        <v>1.7238</v>
      </c>
      <c r="F17" s="2">
        <f>Table26[[#This Row],[TWh '[2020']]]*1000</f>
        <v>16841.525999999998</v>
      </c>
      <c r="G17" s="3">
        <f>IF(Table26[[#This Row],[Mil m3 EU '[2020']]]&gt;0,Table26[[#This Row],[Mrd m3 EU '[2020']]],Table26[[#This Row],[Mrd m3 '[2020']]])*9.77</f>
        <v>16.841525999999998</v>
      </c>
      <c r="H17" s="2"/>
      <c r="M17" t="str">
        <f t="shared" si="0"/>
        <v>HU_Prod</v>
      </c>
      <c r="N17" t="str">
        <f>Table26[[#This Row],[Country]]</f>
        <v>HU</v>
      </c>
    </row>
    <row r="18" spans="1:14">
      <c r="A18" t="s">
        <v>43</v>
      </c>
      <c r="B18" t="s">
        <v>135</v>
      </c>
      <c r="C18" s="2"/>
      <c r="D18" s="2">
        <v>1080.7850000000001</v>
      </c>
      <c r="E18" s="2">
        <f>Table26[[#This Row],[Mil m3 EU '[2020']]]/1000</f>
        <v>1.0807850000000001</v>
      </c>
      <c r="F18" s="2">
        <f>Table26[[#This Row],[TWh '[2020']]]*1000</f>
        <v>10559.26945</v>
      </c>
      <c r="G18" s="3">
        <f>IF(Table26[[#This Row],[Mil m3 EU '[2020']]]&gt;0,Table26[[#This Row],[Mrd m3 EU '[2020']]],Table26[[#This Row],[Mrd m3 '[2020']]])*9.77</f>
        <v>10.55926945</v>
      </c>
      <c r="H18" s="2"/>
      <c r="M18" t="str">
        <f t="shared" si="0"/>
        <v>IE_Prod</v>
      </c>
      <c r="N18" t="str">
        <f>Table26[[#This Row],[Country]]</f>
        <v>IE</v>
      </c>
    </row>
    <row r="19" spans="1:14">
      <c r="A19" t="s">
        <v>21</v>
      </c>
      <c r="B19" t="s">
        <v>4</v>
      </c>
      <c r="C19" s="2">
        <v>2.8462662748426273</v>
      </c>
      <c r="D19" s="2">
        <v>2940.2440000000001</v>
      </c>
      <c r="E19" s="2">
        <f>Table26[[#This Row],[Mil m3 EU '[2020']]]/1000</f>
        <v>2.9402440000000003</v>
      </c>
      <c r="F19" s="2">
        <f>Table26[[#This Row],[TWh '[2020']]]*1000</f>
        <v>28726.18388</v>
      </c>
      <c r="G19" s="3">
        <f>IF(Table26[[#This Row],[Mil m3 EU '[2020']]]&gt;0,Table26[[#This Row],[Mrd m3 EU '[2020']]],Table26[[#This Row],[Mrd m3 '[2020']]])*9.77</f>
        <v>28.726183880000001</v>
      </c>
      <c r="H19" s="2"/>
      <c r="M19" t="str">
        <f t="shared" si="0"/>
        <v>IT_Prod</v>
      </c>
      <c r="N19" t="str">
        <f>Table26[[#This Row],[Country]]</f>
        <v>IT</v>
      </c>
    </row>
    <row r="20" spans="1:14">
      <c r="A20" t="s">
        <v>35</v>
      </c>
      <c r="B20" t="s">
        <v>65</v>
      </c>
      <c r="C20" s="2"/>
      <c r="D20" s="2"/>
      <c r="E20" s="2">
        <f>Table26[[#This Row],[Mil m3 EU '[2020']]]/1000</f>
        <v>0</v>
      </c>
      <c r="F20" s="2">
        <f>Table26[[#This Row],[TWh '[2020']]]*1000</f>
        <v>0</v>
      </c>
      <c r="G20" s="3">
        <f>IF(Table26[[#This Row],[Mil m3 EU '[2020']]]&gt;0,Table26[[#This Row],[Mrd m3 EU '[2020']]],Table26[[#This Row],[Mrd m3 '[2020']]])*9.77</f>
        <v>0</v>
      </c>
      <c r="H20" s="2"/>
      <c r="M20" t="str">
        <f t="shared" si="0"/>
        <v>LV_Prod</v>
      </c>
      <c r="N20" t="str">
        <f>Table26[[#This Row],[Country]]</f>
        <v>LV</v>
      </c>
    </row>
    <row r="21" spans="1:14">
      <c r="A21" t="s">
        <v>51</v>
      </c>
      <c r="B21" t="s">
        <v>80</v>
      </c>
      <c r="C21" s="2">
        <v>16.307676041716668</v>
      </c>
      <c r="D21" s="2"/>
      <c r="E21" s="2">
        <f>Table26[[#This Row],[Mil m3 EU '[2020']]]/1000</f>
        <v>0</v>
      </c>
      <c r="F21" s="2">
        <f>Table26[[#This Row],[TWh '[2020']]]*1000</f>
        <v>159325.99492757182</v>
      </c>
      <c r="G21" s="3">
        <f>IF(Table26[[#This Row],[Mil m3 EU '[2020']]]&gt;0,Table26[[#This Row],[Mrd m3 EU '[2020']]],Table26[[#This Row],[Mrd m3 '[2020']]])*9.77</f>
        <v>159.32599492757183</v>
      </c>
      <c r="H21" s="2"/>
      <c r="M21" t="str">
        <f t="shared" si="0"/>
        <v>LY_Prod</v>
      </c>
      <c r="N21" t="str">
        <f>Table26[[#This Row],[Country]]</f>
        <v>LY</v>
      </c>
    </row>
    <row r="22" spans="1:14">
      <c r="A22" t="s">
        <v>34</v>
      </c>
      <c r="B22" t="s">
        <v>6</v>
      </c>
      <c r="C22" s="2"/>
      <c r="D22" s="2"/>
      <c r="E22" s="2">
        <f>Table26[[#This Row],[Mil m3 EU '[2020']]]/1000</f>
        <v>0</v>
      </c>
      <c r="F22" s="2">
        <f>Table26[[#This Row],[TWh '[2020']]]*1000</f>
        <v>0</v>
      </c>
      <c r="G22" s="3">
        <f>IF(Table26[[#This Row],[Mil m3 EU '[2020']]]&gt;0,Table26[[#This Row],[Mrd m3 EU '[2020']]],Table26[[#This Row],[Mrd m3 '[2020']]])*9.77</f>
        <v>0</v>
      </c>
      <c r="H22" s="2"/>
      <c r="M22" t="str">
        <f t="shared" si="0"/>
        <v>LT_Prod</v>
      </c>
      <c r="N22" t="str">
        <f>Table26[[#This Row],[Country]]</f>
        <v>LT</v>
      </c>
    </row>
    <row r="23" spans="1:14">
      <c r="A23" t="s">
        <v>42</v>
      </c>
      <c r="B23" t="s">
        <v>70</v>
      </c>
      <c r="C23" s="2"/>
      <c r="D23" s="2"/>
      <c r="E23" s="2">
        <f>Table26[[#This Row],[Mil m3 EU '[2020']]]/1000</f>
        <v>0</v>
      </c>
      <c r="F23" s="2">
        <f>Table26[[#This Row],[TWh '[2020']]]*1000</f>
        <v>0</v>
      </c>
      <c r="G23" s="3">
        <f>IF(Table26[[#This Row],[Mil m3 EU '[2020']]]&gt;0,Table26[[#This Row],[Mrd m3 EU '[2020']]],Table26[[#This Row],[Mrd m3 '[2020']]])*9.77</f>
        <v>0</v>
      </c>
      <c r="H23" s="2"/>
      <c r="M23" t="str">
        <f t="shared" si="0"/>
        <v>LU_Prod</v>
      </c>
      <c r="N23" t="str">
        <f>Table26[[#This Row],[Country]]</f>
        <v>LU</v>
      </c>
    </row>
    <row r="24" spans="1:14">
      <c r="A24" t="s">
        <v>39</v>
      </c>
      <c r="B24" t="s">
        <v>68</v>
      </c>
      <c r="C24" s="2"/>
      <c r="D24" s="2"/>
      <c r="E24" s="2">
        <f>Table26[[#This Row],[Mil m3 EU '[2020']]]/1000</f>
        <v>0</v>
      </c>
      <c r="F24" s="2">
        <f>Table26[[#This Row],[TWh '[2020']]]*1000</f>
        <v>0</v>
      </c>
      <c r="G24" s="3">
        <f>IF(Table26[[#This Row],[Mil m3 EU '[2020']]]&gt;0,Table26[[#This Row],[Mrd m3 EU '[2020']]],Table26[[#This Row],[Mrd m3 '[2020']]])*9.77</f>
        <v>0</v>
      </c>
      <c r="H24" s="2"/>
      <c r="M24" t="str">
        <f t="shared" si="0"/>
        <v>MD_Prod</v>
      </c>
      <c r="N24" t="str">
        <f>Table26[[#This Row],[Country]]</f>
        <v>MD</v>
      </c>
    </row>
    <row r="25" spans="1:14">
      <c r="A25" t="s">
        <v>18</v>
      </c>
      <c r="B25" t="s">
        <v>7</v>
      </c>
      <c r="C25" s="2">
        <v>9.8527777777777796</v>
      </c>
      <c r="D25" s="2">
        <v>9838.773000000001</v>
      </c>
      <c r="E25" s="2">
        <f>Table26[[#This Row],[Mil m3 EU '[2020']]]/1000</f>
        <v>9.8387730000000015</v>
      </c>
      <c r="F25" s="2">
        <f>Table26[[#This Row],[TWh '[2020']]]*1000</f>
        <v>96124.812210000018</v>
      </c>
      <c r="G25" s="3">
        <f>IF(Table26[[#This Row],[Mil m3 EU '[2020']]]&gt;0,Table26[[#This Row],[Mrd m3 EU '[2020']]],Table26[[#This Row],[Mrd m3 '[2020']]])*9.77</f>
        <v>96.124812210000016</v>
      </c>
      <c r="H25" s="2"/>
      <c r="M25" t="str">
        <f t="shared" si="0"/>
        <v>NL_Prod</v>
      </c>
      <c r="N25" t="str">
        <f>Table26[[#This Row],[Country]]</f>
        <v>NL</v>
      </c>
    </row>
    <row r="26" spans="1:14">
      <c r="A26" t="s">
        <v>45</v>
      </c>
      <c r="B26" t="s">
        <v>76</v>
      </c>
      <c r="C26" s="2"/>
      <c r="D26" s="2"/>
      <c r="E26" s="2">
        <f>Table26[[#This Row],[Mil m3 EU '[2020']]]/1000</f>
        <v>0</v>
      </c>
      <c r="F26" s="2">
        <f>Table26[[#This Row],[TWh '[2020']]]*1000</f>
        <v>0</v>
      </c>
      <c r="G26" s="3">
        <f>IF(Table26[[#This Row],[Mil m3 EU '[2020']]]&gt;0,Table26[[#This Row],[Mrd m3 EU '[2020']]],Table26[[#This Row],[Mrd m3 '[2020']]])*9.77</f>
        <v>0</v>
      </c>
      <c r="H26" s="2"/>
      <c r="M26" t="str">
        <f t="shared" si="0"/>
        <v>MK_Prod</v>
      </c>
      <c r="N26" t="str">
        <f>Table26[[#This Row],[Country]]</f>
        <v>MK</v>
      </c>
    </row>
    <row r="27" spans="1:14">
      <c r="A27" t="s">
        <v>48</v>
      </c>
      <c r="B27" t="s">
        <v>71</v>
      </c>
      <c r="C27" s="2">
        <v>116.63358007891252</v>
      </c>
      <c r="D27" s="2">
        <v>117972.905</v>
      </c>
      <c r="E27" s="2">
        <f>Table26[[#This Row],[Mil m3 EU '[2020']]]/1000</f>
        <v>117.972905</v>
      </c>
      <c r="F27" s="2">
        <f>Table26[[#This Row],[TWh '[2020']]]*1000</f>
        <v>1152595.2818499999</v>
      </c>
      <c r="G27" s="3">
        <f>IF(Table26[[#This Row],[Mil m3 EU '[2020']]]&gt;0,Table26[[#This Row],[Mrd m3 EU '[2020']]],Table26[[#This Row],[Mrd m3 '[2020']]])*9.77</f>
        <v>1152.59528185</v>
      </c>
      <c r="H27" s="2"/>
      <c r="M27" t="str">
        <f t="shared" si="0"/>
        <v>NO_Prod</v>
      </c>
      <c r="N27" t="str">
        <f>Table26[[#This Row],[Country]]</f>
        <v>NO</v>
      </c>
    </row>
    <row r="28" spans="1:14">
      <c r="A28" t="s">
        <v>27</v>
      </c>
      <c r="B28" t="s">
        <v>8</v>
      </c>
      <c r="C28" s="2">
        <v>3.5970129751794602</v>
      </c>
      <c r="D28" s="2"/>
      <c r="E28" s="2">
        <f>Table26[[#This Row],[Mil m3 EU '[2020']]]/1000</f>
        <v>0</v>
      </c>
      <c r="F28" s="2">
        <f>Table26[[#This Row],[TWh '[2020']]]*1000</f>
        <v>35142.816767503326</v>
      </c>
      <c r="G28" s="3">
        <f>IF(Table26[[#This Row],[Mil m3 EU '[2020']]]&gt;0,Table26[[#This Row],[Mrd m3 EU '[2020']]],Table26[[#This Row],[Mrd m3 '[2020']]])*9.77</f>
        <v>35.142816767503327</v>
      </c>
      <c r="H28" s="2"/>
      <c r="M28" t="str">
        <f t="shared" si="0"/>
        <v>PL_Prod</v>
      </c>
      <c r="N28" t="str">
        <f>Table26[[#This Row],[Country]]</f>
        <v>PL</v>
      </c>
    </row>
    <row r="29" spans="1:14">
      <c r="A29" t="s">
        <v>37</v>
      </c>
      <c r="B29" t="s">
        <v>1</v>
      </c>
      <c r="C29" s="2"/>
      <c r="D29" s="2"/>
      <c r="E29" s="2">
        <f>Table26[[#This Row],[Mil m3 EU '[2020']]]/1000</f>
        <v>0</v>
      </c>
      <c r="F29" s="2">
        <f>Table26[[#This Row],[TWh '[2020']]]*1000</f>
        <v>0</v>
      </c>
      <c r="G29" s="3">
        <f>IF(Table26[[#This Row],[Mil m3 EU '[2020']]]&gt;0,Table26[[#This Row],[Mrd m3 EU '[2020']]],Table26[[#This Row],[Mrd m3 '[2020']]])*9.77</f>
        <v>0</v>
      </c>
      <c r="H29" s="2"/>
      <c r="M29" t="str">
        <f t="shared" si="0"/>
        <v>PT_Prod</v>
      </c>
      <c r="N29" t="str">
        <f>Table26[[#This Row],[Country]]</f>
        <v>PT</v>
      </c>
    </row>
    <row r="30" spans="1:14">
      <c r="A30" t="s">
        <v>33</v>
      </c>
      <c r="B30" t="s">
        <v>86</v>
      </c>
      <c r="C30" s="2">
        <v>8.8722168823880843</v>
      </c>
      <c r="D30" s="2">
        <v>9372</v>
      </c>
      <c r="E30" s="2">
        <f>Table26[[#This Row],[Mil m3 EU '[2020']]]/1000</f>
        <v>9.3719999999999999</v>
      </c>
      <c r="F30" s="2">
        <f>Table26[[#This Row],[TWh '[2020']]]*1000</f>
        <v>91564.439999999988</v>
      </c>
      <c r="G30" s="3">
        <f>IF(Table26[[#This Row],[Mil m3 EU '[2020']]]&gt;0,Table26[[#This Row],[Mrd m3 EU '[2020']]],Table26[[#This Row],[Mrd m3 '[2020']]])*9.77</f>
        <v>91.564439999999991</v>
      </c>
      <c r="H30" s="2"/>
      <c r="M30" t="str">
        <f t="shared" si="0"/>
        <v>RO_Prod</v>
      </c>
      <c r="N30" t="str">
        <f>Table26[[#This Row],[Country]]</f>
        <v>RO</v>
      </c>
    </row>
    <row r="31" spans="1:14">
      <c r="A31" t="s">
        <v>40</v>
      </c>
      <c r="B31" t="s">
        <v>69</v>
      </c>
      <c r="C31" s="2">
        <v>586.38219987241871</v>
      </c>
      <c r="D31" s="2"/>
      <c r="E31" s="2">
        <f>Table26[[#This Row],[Mil m3 EU '[2020']]]/1000</f>
        <v>0</v>
      </c>
      <c r="F31" s="2">
        <f>Table26[[#This Row],[TWh '[2020']]]*1000</f>
        <v>5728954.0927535305</v>
      </c>
      <c r="G31" s="3">
        <f>IF(Table26[[#This Row],[Mil m3 EU '[2020']]]&gt;0,Table26[[#This Row],[Mrd m3 EU '[2020']]],Table26[[#This Row],[Mrd m3 '[2020']]])*9.77</f>
        <v>5728.9540927535309</v>
      </c>
      <c r="H31" s="2"/>
      <c r="M31" t="str">
        <f t="shared" si="0"/>
        <v>RU_Prod</v>
      </c>
      <c r="N31" t="str">
        <f>Table26[[#This Row],[Country]]</f>
        <v>RU</v>
      </c>
    </row>
    <row r="32" spans="1:14">
      <c r="A32" t="s">
        <v>47</v>
      </c>
      <c r="B32" t="s">
        <v>77</v>
      </c>
      <c r="C32" s="2"/>
      <c r="D32" s="2"/>
      <c r="E32" s="2">
        <f>Table26[[#This Row],[Mil m3 EU '[2020']]]/1000</f>
        <v>0</v>
      </c>
      <c r="F32" s="2">
        <f>Table26[[#This Row],[TWh '[2020']]]*1000</f>
        <v>0</v>
      </c>
      <c r="G32" s="3">
        <f>IF(Table26[[#This Row],[Mil m3 EU '[2020']]]&gt;0,Table26[[#This Row],[Mrd m3 EU '[2020']]],Table26[[#This Row],[Mrd m3 '[2020']]])*9.77</f>
        <v>0</v>
      </c>
      <c r="H32" s="2"/>
      <c r="M32" t="str">
        <f t="shared" si="0"/>
        <v>SM_Prod</v>
      </c>
      <c r="N32" t="str">
        <f>Table26[[#This Row],[Country]]</f>
        <v>SM</v>
      </c>
    </row>
    <row r="33" spans="1:14">
      <c r="A33" t="s">
        <v>31</v>
      </c>
      <c r="B33" t="s">
        <v>72</v>
      </c>
      <c r="C33" s="2"/>
      <c r="D33" s="2">
        <v>295</v>
      </c>
      <c r="E33" s="2">
        <f>Table26[[#This Row],[Mil m3 EU '[2020']]]/1000</f>
        <v>0.29499999999999998</v>
      </c>
      <c r="F33" s="2">
        <f>Table26[[#This Row],[TWh '[2020']]]*1000</f>
        <v>2882.1499999999996</v>
      </c>
      <c r="G33" s="3">
        <f>IF(Table26[[#This Row],[Mil m3 EU '[2020']]]&gt;0,Table26[[#This Row],[Mrd m3 EU '[2020']]],Table26[[#This Row],[Mrd m3 '[2020']]])*9.77</f>
        <v>2.8821499999999998</v>
      </c>
      <c r="H33" s="2"/>
      <c r="M33" t="str">
        <f t="shared" si="0"/>
        <v>RS_Prod</v>
      </c>
      <c r="N33" t="str">
        <f>Table26[[#This Row],[Country]]</f>
        <v>RS</v>
      </c>
    </row>
    <row r="34" spans="1:14">
      <c r="A34" t="s">
        <v>29</v>
      </c>
      <c r="B34" t="s">
        <v>62</v>
      </c>
      <c r="C34" s="2"/>
      <c r="D34" s="2">
        <v>40.036999999999999</v>
      </c>
      <c r="E34" s="2">
        <f>Table26[[#This Row],[Mil m3 EU '[2020']]]/1000</f>
        <v>4.0036999999999996E-2</v>
      </c>
      <c r="F34" s="2">
        <f>Table26[[#This Row],[TWh '[2020']]]*1000</f>
        <v>391.16148999999996</v>
      </c>
      <c r="G34" s="3">
        <f>IF(Table26[[#This Row],[Mil m3 EU '[2020']]]&gt;0,Table26[[#This Row],[Mrd m3 EU '[2020']]],Table26[[#This Row],[Mrd m3 '[2020']]])*9.77</f>
        <v>0.39116148999999995</v>
      </c>
      <c r="H34" s="2"/>
      <c r="M34" t="str">
        <f t="shared" si="0"/>
        <v>SK_Prod</v>
      </c>
      <c r="N34" t="str">
        <f>Table26[[#This Row],[Country]]</f>
        <v>SK</v>
      </c>
    </row>
    <row r="35" spans="1:14">
      <c r="A35" t="s">
        <v>23</v>
      </c>
      <c r="B35" t="s">
        <v>59</v>
      </c>
      <c r="C35" s="2"/>
      <c r="D35" s="2">
        <v>3.802</v>
      </c>
      <c r="E35" s="2">
        <f>Table26[[#This Row],[Mil m3 EU '[2020']]]/1000</f>
        <v>3.8020000000000003E-3</v>
      </c>
      <c r="F35" s="2">
        <f>Table26[[#This Row],[TWh '[2020']]]*1000</f>
        <v>37.145539999999997</v>
      </c>
      <c r="G35" s="3">
        <f>IF(Table26[[#This Row],[Mil m3 EU '[2020']]]&gt;0,Table26[[#This Row],[Mrd m3 EU '[2020']]],Table26[[#This Row],[Mrd m3 '[2020']]])*9.77</f>
        <v>3.7145539999999998E-2</v>
      </c>
      <c r="H35" s="2"/>
      <c r="M35" t="str">
        <f t="shared" si="0"/>
        <v>SI_Prod</v>
      </c>
      <c r="N35" t="str">
        <f>Table26[[#This Row],[Country]]</f>
        <v>SI</v>
      </c>
    </row>
    <row r="36" spans="1:14">
      <c r="A36" t="s">
        <v>22</v>
      </c>
      <c r="B36" t="s">
        <v>58</v>
      </c>
      <c r="C36" s="2"/>
      <c r="D36" s="2"/>
      <c r="E36" s="2">
        <f>Table26[[#This Row],[Mil m3 EU '[2020']]]/1000</f>
        <v>0</v>
      </c>
      <c r="F36" s="2">
        <f>Table26[[#This Row],[TWh '[2020']]]*1000</f>
        <v>0</v>
      </c>
      <c r="G36" s="3">
        <f>IF(Table26[[#This Row],[Mil m3 EU '[2020']]]&gt;0,Table26[[#This Row],[Mrd m3 EU '[2020']]],Table26[[#This Row],[Mrd m3 '[2020']]])*9.77</f>
        <v>0</v>
      </c>
      <c r="H36" s="2"/>
      <c r="M36" t="str">
        <f t="shared" si="0"/>
        <v>CH_Prod</v>
      </c>
      <c r="N36" t="str">
        <f>Table26[[#This Row],[Country]]</f>
        <v>CH</v>
      </c>
    </row>
    <row r="37" spans="1:14">
      <c r="A37" t="s">
        <v>50</v>
      </c>
      <c r="B37" t="s">
        <v>79</v>
      </c>
      <c r="C37" s="2">
        <v>1.8431999999999999</v>
      </c>
      <c r="D37" s="2"/>
      <c r="E37" s="2">
        <f>Table26[[#This Row],[Mil m3 EU '[2020']]]/1000</f>
        <v>0</v>
      </c>
      <c r="F37" s="2">
        <f>Table26[[#This Row],[TWh '[2020']]]*1000</f>
        <v>18008.063999999998</v>
      </c>
      <c r="G37" s="3">
        <f>IF(Table26[[#This Row],[Mil m3 EU '[2020']]]&gt;0,Table26[[#This Row],[Mrd m3 EU '[2020']]],Table26[[#This Row],[Mrd m3 '[2020']]])*9.77</f>
        <v>18.008063999999997</v>
      </c>
      <c r="H37" s="2"/>
      <c r="M37" t="str">
        <f t="shared" si="0"/>
        <v>TN_Prod</v>
      </c>
      <c r="N37" t="str">
        <f>Table26[[#This Row],[Country]]</f>
        <v>TN</v>
      </c>
    </row>
    <row r="38" spans="1:14">
      <c r="A38" t="s">
        <v>46</v>
      </c>
      <c r="B38" t="s">
        <v>10</v>
      </c>
      <c r="C38" s="2"/>
      <c r="D38" s="2">
        <v>2259.11</v>
      </c>
      <c r="E38" s="2">
        <f>Table26[[#This Row],[Mil m3 EU '[2020']]]/1000</f>
        <v>2.2591100000000002</v>
      </c>
      <c r="F38" s="2">
        <f>Table26[[#This Row],[TWh '[2020']]]*1000</f>
        <v>22071.504700000001</v>
      </c>
      <c r="G38" s="3">
        <f>IF(Table26[[#This Row],[Mil m3 EU '[2020']]]&gt;0,Table26[[#This Row],[Mrd m3 EU '[2020']]],Table26[[#This Row],[Mrd m3 '[2020']]])*9.77</f>
        <v>22.071504700000002</v>
      </c>
      <c r="H38" s="2"/>
      <c r="M38" t="str">
        <f t="shared" si="0"/>
        <v>TR_Prod</v>
      </c>
      <c r="N38" t="str">
        <f>Table26[[#This Row],[Country]]</f>
        <v>TR</v>
      </c>
    </row>
    <row r="39" spans="1:14">
      <c r="A39" t="s">
        <v>11</v>
      </c>
      <c r="B39" t="s">
        <v>11</v>
      </c>
      <c r="C39" s="2">
        <v>34.473205800000002</v>
      </c>
      <c r="D39" s="2"/>
      <c r="E39" s="2">
        <f>Table26[[#This Row],[Mil m3 EU '[2020']]]/1000</f>
        <v>0</v>
      </c>
      <c r="F39" s="2">
        <f>Table26[[#This Row],[TWh '[2020']]]*1000</f>
        <v>336803.22066600004</v>
      </c>
      <c r="G39" s="3">
        <f>IF(Table26[[#This Row],[Mil m3 EU '[2020']]]&gt;0,Table26[[#This Row],[Mrd m3 EU '[2020']]],Table26[[#This Row],[Mrd m3 '[2020']]])*9.77</f>
        <v>336.80322066600002</v>
      </c>
      <c r="H39" s="2"/>
      <c r="M39" t="str">
        <f t="shared" si="0"/>
        <v>UK_Prod</v>
      </c>
      <c r="N39" t="str">
        <f>Table26[[#This Row],[Country]]</f>
        <v>UK</v>
      </c>
    </row>
    <row r="40" spans="1:14">
      <c r="A40" t="s">
        <v>38</v>
      </c>
      <c r="B40" t="s">
        <v>67</v>
      </c>
      <c r="C40" s="2">
        <v>17.697885939036379</v>
      </c>
      <c r="D40" s="2"/>
      <c r="E40" s="2">
        <f>Table26[[#This Row],[Mil m3 EU '[2020']]]/1000</f>
        <v>0</v>
      </c>
      <c r="F40" s="2">
        <f>Table26[[#This Row],[TWh '[2020']]]*1000</f>
        <v>172908.34562438543</v>
      </c>
      <c r="G40" s="3">
        <f>IF(Table26[[#This Row],[Mil m3 EU '[2020']]]&gt;0,Table26[[#This Row],[Mrd m3 EU '[2020']]],Table26[[#This Row],[Mrd m3 '[2020']]])*9.77</f>
        <v>172.90834562438542</v>
      </c>
      <c r="H40" s="2"/>
      <c r="M40" t="str">
        <f t="shared" si="0"/>
        <v>UA_Prod</v>
      </c>
      <c r="N40" t="str">
        <f>Table26[[#This Row],[Country]]</f>
        <v>UA</v>
      </c>
    </row>
    <row r="41" spans="1:14">
      <c r="A41" t="s">
        <v>87</v>
      </c>
      <c r="B41" t="s">
        <v>88</v>
      </c>
      <c r="C41" s="2">
        <v>5.1484131095911891</v>
      </c>
      <c r="D41" s="2"/>
      <c r="E41" s="2">
        <f>Table26[[#This Row],[Mil m3 EU '[2020']]]/1000</f>
        <v>0</v>
      </c>
      <c r="F41" s="2">
        <f>Table26[[#This Row],[TWh '[2020']]]*1000</f>
        <v>50299.996080705918</v>
      </c>
      <c r="G41" s="3">
        <f>IF(Table26[[#This Row],[Mil m3 EU '[2020']]]&gt;0,Table26[[#This Row],[Mrd m3 EU '[2020']]],Table26[[#This Row],[Mrd m3 '[2020']]])*9.77</f>
        <v>50.299996080705917</v>
      </c>
      <c r="H41" s="2"/>
      <c r="M41" t="str">
        <f t="shared" si="0"/>
        <v>OE_Prod</v>
      </c>
      <c r="N41" t="str">
        <f>Table26[[#This Row],[Country]]</f>
        <v>OE</v>
      </c>
    </row>
    <row r="42" spans="1:14">
      <c r="A42" t="s">
        <v>36</v>
      </c>
      <c r="B42" t="s">
        <v>9</v>
      </c>
      <c r="C42" s="2"/>
      <c r="D42" s="2">
        <v>21.465</v>
      </c>
      <c r="E42" s="2">
        <f>Table26[[#This Row],[Mil m3 EU '[2020']]]/1000</f>
        <v>2.1465000000000001E-2</v>
      </c>
      <c r="F42" s="2">
        <f>Table26[[#This Row],[TWh '[2020']]]*1000</f>
        <v>209.71305000000001</v>
      </c>
      <c r="G42" s="3">
        <f>IF(Table26[[#This Row],[Mil m3 EU '[2020']]]&gt;0,Table26[[#This Row],[Mrd m3 EU '[2020']]],Table26[[#This Row],[Mrd m3 '[2020']]])*9.77</f>
        <v>0.20971305000000001</v>
      </c>
      <c r="M42" t="str">
        <f t="shared" si="0"/>
        <v>ES_Prod</v>
      </c>
      <c r="N42" t="str">
        <f>Table26[[#This Row],[Country]]</f>
        <v>ES</v>
      </c>
    </row>
    <row r="44" spans="1:14">
      <c r="C44" s="2">
        <f>SUM(Table26[Mrd m3 '[2020']])</f>
        <v>910.40545949850025</v>
      </c>
      <c r="D44" s="2">
        <f>SUM(Table26[Mil m3 EU '[2020']])/1000+C31+C37+C21+C3</f>
        <v>858.87931591413542</v>
      </c>
      <c r="E44">
        <f>SUMIF(Table26[Mil m3 EU '[2020']],"&gt;0",Table26[Mrd m3 EU '[2020']])</f>
        <v>152.80249000000003</v>
      </c>
    </row>
    <row r="45" spans="1:14">
      <c r="E45" s="2"/>
      <c r="F45" s="2"/>
    </row>
    <row r="47" spans="1:14">
      <c r="A47" t="s">
        <v>132</v>
      </c>
    </row>
    <row r="48" spans="1:14">
      <c r="A48" t="s">
        <v>79</v>
      </c>
      <c r="B48" t="s">
        <v>136</v>
      </c>
      <c r="I48" t="s">
        <v>137</v>
      </c>
    </row>
    <row r="49" spans="1:2">
      <c r="A49" t="s">
        <v>122</v>
      </c>
      <c r="B49" t="s">
        <v>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3FF5-BC43-47FD-93E8-972E7148D64B}">
  <dimension ref="A1:G21"/>
  <sheetViews>
    <sheetView workbookViewId="0">
      <selection activeCell="C15" sqref="C15"/>
    </sheetView>
  </sheetViews>
  <sheetFormatPr defaultRowHeight="14.5"/>
  <cols>
    <col min="1" max="1" width="9.54296875" customWidth="1"/>
    <col min="2" max="2" width="12.54296875" customWidth="1"/>
    <col min="3" max="8" width="15" customWidth="1"/>
    <col min="12" max="12" width="10.81640625" bestFit="1" customWidth="1"/>
    <col min="16" max="16" width="15.453125" customWidth="1"/>
    <col min="17" max="17" width="18.1796875" customWidth="1"/>
    <col min="18" max="18" width="14.453125" customWidth="1"/>
  </cols>
  <sheetData>
    <row r="1" spans="1:7">
      <c r="A1" s="12" t="s">
        <v>16</v>
      </c>
      <c r="B1" s="12" t="s">
        <v>55</v>
      </c>
      <c r="C1" s="12" t="s">
        <v>84</v>
      </c>
      <c r="D1" s="12" t="s">
        <v>170</v>
      </c>
      <c r="E1" s="12" t="s">
        <v>171</v>
      </c>
      <c r="F1" s="12" t="s">
        <v>266</v>
      </c>
      <c r="G1" s="13" t="s">
        <v>104</v>
      </c>
    </row>
    <row r="2" spans="1:7">
      <c r="A2" t="s">
        <v>149</v>
      </c>
      <c r="B2" s="6" t="s">
        <v>149</v>
      </c>
      <c r="C2" s="7">
        <v>1035.2966874829399</v>
      </c>
      <c r="D2" s="7"/>
      <c r="E2" s="7">
        <f>Table79[[#This Row],[Mil m3 '[2020']]]/1000</f>
        <v>0</v>
      </c>
      <c r="F2" s="14">
        <f>Table79[[#This Row],[TWh '[2020']]]*1000</f>
        <v>10114848.636708323</v>
      </c>
      <c r="G2" s="3">
        <f>IF(Table79[[#This Row],[Mil m3 '[2020']]]&gt;0,Table79[[#This Row],[Mrd m3 '[2020']2]],Table79[[#This Row],[Mrd m3 '[2020']]])*9.77</f>
        <v>10114.848636708322</v>
      </c>
    </row>
    <row r="3" spans="1:7">
      <c r="A3" t="s">
        <v>196</v>
      </c>
      <c r="B3" t="s">
        <v>160</v>
      </c>
      <c r="C3">
        <f>1261.13549926252-1035.29668748294</f>
        <v>225.83881177958006</v>
      </c>
      <c r="E3" s="2">
        <f>Table79[[#This Row],[Mil m3 '[2020']]]/1000</f>
        <v>0</v>
      </c>
      <c r="F3" s="2">
        <f>Table79[[#This Row],[TWh '[2020']]]*1000</f>
        <v>2206445.1910864967</v>
      </c>
      <c r="G3" s="3">
        <f>IF(Table79[[#This Row],[Mil m3 '[2020']]]&gt;0,Table79[[#This Row],[Mrd m3 '[2020']2]],Table79[[#This Row],[Mrd m3 '[2020']]])*9.77</f>
        <v>2206.4451910864968</v>
      </c>
    </row>
    <row r="4" spans="1:7">
      <c r="A4" t="s">
        <v>150</v>
      </c>
      <c r="B4" t="s">
        <v>161</v>
      </c>
      <c r="C4">
        <f>162.021478179314-24.9936060429938</f>
        <v>137.02787213632018</v>
      </c>
      <c r="E4" s="2">
        <f>Table79[[#This Row],[Mil m3 '[2020']]]/1000</f>
        <v>0</v>
      </c>
      <c r="F4" s="2">
        <f>Table79[[#This Row],[TWh '[2020']]]*1000</f>
        <v>1338762.3107718483</v>
      </c>
      <c r="G4" s="3">
        <f>IF(Table79[[#This Row],[Mil m3 '[2020']]]&gt;0,Table79[[#This Row],[Mrd m3 '[2020']2]],Table79[[#This Row],[Mrd m3 '[2020']]])*9.77</f>
        <v>1338.7623107718482</v>
      </c>
    </row>
    <row r="5" spans="1:7">
      <c r="A5" t="s">
        <v>151</v>
      </c>
      <c r="B5" t="s">
        <v>162</v>
      </c>
      <c r="C5">
        <v>24.9936060429938</v>
      </c>
      <c r="E5" s="2">
        <f>Table79[[#This Row],[Mil m3 '[2020']]]/1000</f>
        <v>0</v>
      </c>
      <c r="F5" s="2">
        <f>Table79[[#This Row],[TWh '[2020']]]*1000</f>
        <v>244187.53104004942</v>
      </c>
      <c r="G5" s="3">
        <f>IF(Table79[[#This Row],[Mil m3 '[2020']]]&gt;0,Table79[[#This Row],[Mrd m3 '[2020']2]],Table79[[#This Row],[Mrd m3 '[2020']]])*9.77</f>
        <v>244.18753104004941</v>
      </c>
    </row>
    <row r="6" spans="1:7">
      <c r="A6" t="s">
        <v>152</v>
      </c>
      <c r="B6" t="s">
        <v>163</v>
      </c>
      <c r="C6">
        <f>712.704008488226-180.976586566424</f>
        <v>531.72742192180203</v>
      </c>
      <c r="E6" s="2">
        <f>Table79[[#This Row],[Mil m3 '[2020']]]/1000</f>
        <v>0</v>
      </c>
      <c r="F6" s="2">
        <f>Table79[[#This Row],[TWh '[2020']]]*1000</f>
        <v>5194976.9121760055</v>
      </c>
      <c r="G6" s="3">
        <f>IF(Table79[[#This Row],[Mil m3 '[2020']]]&gt;0,Table79[[#This Row],[Mrd m3 '[2020']2]],Table79[[#This Row],[Mrd m3 '[2020']]])*9.77</f>
        <v>5194.9769121760055</v>
      </c>
    </row>
    <row r="7" spans="1:7">
      <c r="A7" t="s">
        <v>153</v>
      </c>
      <c r="B7" t="s">
        <v>174</v>
      </c>
      <c r="C7">
        <v>180.976586566424</v>
      </c>
      <c r="E7" s="2">
        <f>Table79[[#This Row],[Mil m3 '[2020']]]/1000</f>
        <v>0</v>
      </c>
      <c r="F7" s="2">
        <f>Table79[[#This Row],[TWh '[2020']]]*1000</f>
        <v>1768141.2507539624</v>
      </c>
      <c r="G7" s="3">
        <f>IF(Table79[[#This Row],[Mil m3 '[2020']]]&gt;0,Table79[[#This Row],[Mrd m3 '[2020']2]],Table79[[#This Row],[Mrd m3 '[2020']]])*9.77</f>
        <v>1768.1412507539624</v>
      </c>
    </row>
    <row r="8" spans="1:7">
      <c r="A8" t="s">
        <v>154</v>
      </c>
      <c r="B8" t="s">
        <v>164</v>
      </c>
      <c r="C8" s="2">
        <f>253.649617284986-nodes_gas_prod_europe_2024!C21-nodes_gas_prod_europe_2024!C3-nodes_gas_prod_europe_2024!C37-C16</f>
        <v>76.854578169538883</v>
      </c>
      <c r="E8" s="2">
        <f>Table79[[#This Row],[Mil m3 '[2020']]]/1000</f>
        <v>0</v>
      </c>
      <c r="F8" s="2">
        <f>Table79[[#This Row],[TWh '[2020']]]*1000</f>
        <v>750869.22871639486</v>
      </c>
      <c r="G8" s="3">
        <f>IF(Table79[[#This Row],[Mil m3 '[2020']]]&gt;0,Table79[[#This Row],[Mrd m3 '[2020']2]],Table79[[#This Row],[Mrd m3 '[2020']]])*9.77</f>
        <v>750.8692287163949</v>
      </c>
    </row>
    <row r="9" spans="1:7">
      <c r="A9" t="s">
        <v>96</v>
      </c>
      <c r="B9" t="s">
        <v>175</v>
      </c>
      <c r="C9">
        <v>7.0000000000000007E-2</v>
      </c>
      <c r="E9" s="2">
        <f>Table79[[#This Row],[Mil m3 '[2020']]]/1000</f>
        <v>0</v>
      </c>
      <c r="F9" s="2">
        <f>Table79[[#This Row],[TWh '[2020']]]*1000</f>
        <v>683.90000000000009</v>
      </c>
      <c r="G9" s="3">
        <f>IF(Table79[[#This Row],[Mil m3 '[2020']]]&gt;0,Table79[[#This Row],[Mrd m3 '[2020']2]],Table79[[#This Row],[Mrd m3 '[2020']]])*9.77</f>
        <v>0.68390000000000006</v>
      </c>
    </row>
    <row r="10" spans="1:7">
      <c r="A10" t="s">
        <v>155</v>
      </c>
      <c r="B10" t="s">
        <v>165</v>
      </c>
      <c r="C10">
        <v>151.74021373996112</v>
      </c>
      <c r="E10" s="2">
        <f>Table79[[#This Row],[Mil m3 '[2020']]]/1000</f>
        <v>0</v>
      </c>
      <c r="F10" s="2">
        <f>Table79[[#This Row],[TWh '[2020']]]*1000</f>
        <v>1482501.8882394203</v>
      </c>
      <c r="G10" s="3">
        <f>IF(Table79[[#This Row],[Mil m3 '[2020']]]&gt;0,Table79[[#This Row],[Mrd m3 '[2020']2]],Table79[[#This Row],[Mrd m3 '[2020']]])*9.77</f>
        <v>1482.5018882394202</v>
      </c>
    </row>
    <row r="11" spans="1:7">
      <c r="A11" t="s">
        <v>156</v>
      </c>
      <c r="B11" t="s">
        <v>166</v>
      </c>
      <c r="C11">
        <v>234.25835791543756</v>
      </c>
      <c r="E11" s="2">
        <f>Table79[[#This Row],[Mil m3 '[2020']]]/1000</f>
        <v>0</v>
      </c>
      <c r="F11" s="2">
        <f>Table79[[#This Row],[TWh '[2020']]]*1000</f>
        <v>2288704.1568338252</v>
      </c>
      <c r="G11" s="3">
        <f>IF(Table79[[#This Row],[Mil m3 '[2020']]]&gt;0,Table79[[#This Row],[Mrd m3 '[2020']2]],Table79[[#This Row],[Mrd m3 '[2020']]])*9.77</f>
        <v>2288.704156833825</v>
      </c>
    </row>
    <row r="12" spans="1:7">
      <c r="A12" t="s">
        <v>157</v>
      </c>
      <c r="B12" t="s">
        <v>167</v>
      </c>
      <c r="C12">
        <v>0</v>
      </c>
      <c r="E12" s="2">
        <f>Table79[[#This Row],[Mil m3 '[2020']]]/1000</f>
        <v>0</v>
      </c>
      <c r="F12" s="2">
        <f>Table79[[#This Row],[TWh '[2020']]]*1000</f>
        <v>0</v>
      </c>
      <c r="G12" s="3">
        <f>IF(Table79[[#This Row],[Mil m3 '[2020']]]&gt;0,Table79[[#This Row],[Mrd m3 '[2020']2]],Table79[[#This Row],[Mrd m3 '[2020']]])*9.77</f>
        <v>0</v>
      </c>
    </row>
    <row r="13" spans="1:7">
      <c r="A13" t="s">
        <v>158</v>
      </c>
      <c r="B13" t="s">
        <v>168</v>
      </c>
      <c r="C13">
        <v>31.585488535476742</v>
      </c>
      <c r="E13" s="2">
        <f>Table79[[#This Row],[Mil m3 '[2020']]]/1000</f>
        <v>0</v>
      </c>
      <c r="F13" s="2">
        <f>Table79[[#This Row],[TWh '[2020']]]*1000</f>
        <v>308590.22299160773</v>
      </c>
      <c r="G13" s="3">
        <f>IF(Table79[[#This Row],[Mil m3 '[2020']]]&gt;0,Table79[[#This Row],[Mrd m3 '[2020']2]],Table79[[#This Row],[Mrd m3 '[2020']]])*9.77</f>
        <v>308.59022299160773</v>
      </c>
    </row>
    <row r="14" spans="1:7">
      <c r="A14" t="s">
        <v>159</v>
      </c>
      <c r="B14" t="s">
        <v>169</v>
      </c>
      <c r="C14">
        <f>691.83903700697-C13-C11-C10-C12-C17</f>
        <v>128.91680453343903</v>
      </c>
      <c r="E14" s="2">
        <f>Table79[[#This Row],[Mil m3 '[2020']]]/1000</f>
        <v>0</v>
      </c>
      <c r="F14" s="2">
        <f>Table79[[#This Row],[TWh '[2020']]]*1000</f>
        <v>1259517.1802916992</v>
      </c>
      <c r="G14" s="3">
        <f>IF(Table79[[#This Row],[Mil m3 '[2020']]]&gt;0,Table79[[#This Row],[Mrd m3 '[2020']2]],Table79[[#This Row],[Mrd m3 '[2020']]])*9.77</f>
        <v>1259.5171802916993</v>
      </c>
    </row>
    <row r="15" spans="1:7">
      <c r="A15" t="s">
        <v>172</v>
      </c>
      <c r="B15" t="s">
        <v>173</v>
      </c>
      <c r="C15">
        <f>773.5530598751-586.382199872419</f>
        <v>187.17086000268091</v>
      </c>
      <c r="E15" s="2">
        <f>Table79[[#This Row],[Mil m3 '[2020']]]/1000</f>
        <v>0</v>
      </c>
      <c r="F15" s="2">
        <f>Table79[[#This Row],[TWh '[2020']]]*1000</f>
        <v>1828659.3022261926</v>
      </c>
      <c r="G15" s="3">
        <f>IF(Table79[[#This Row],[Mil m3 '[2020']]]&gt;0,Table79[[#This Row],[Mrd m3 '[2020']2]],Table79[[#This Row],[Mrd m3 '[2020']]])*9.77</f>
        <v>1828.6593022261925</v>
      </c>
    </row>
    <row r="16" spans="1:7">
      <c r="A16" t="s">
        <v>177</v>
      </c>
      <c r="B16" t="s">
        <v>178</v>
      </c>
      <c r="C16">
        <v>57.100413073730465</v>
      </c>
      <c r="E16" s="2">
        <f>Table79[[#This Row],[Mil m3 '[2020']]]/1000</f>
        <v>0</v>
      </c>
      <c r="F16" s="2">
        <f>Table79[[#This Row],[TWh '[2020']]]*1000</f>
        <v>557871.03573034669</v>
      </c>
      <c r="G16" s="3">
        <f>IF(Table79[[#This Row],[Mil m3 '[2020']]]&gt;0,Table79[[#This Row],[Mrd m3 '[2020']2]],Table79[[#This Row],[Mrd m3 '[2020']]])*9.77</f>
        <v>557.87103573034665</v>
      </c>
    </row>
    <row r="17" spans="1:7">
      <c r="A17" t="s">
        <v>192</v>
      </c>
      <c r="B17" t="s">
        <v>195</v>
      </c>
      <c r="C17">
        <f>64.2640381356325+81.074134147023</f>
        <v>145.33817228265551</v>
      </c>
      <c r="E17" s="2">
        <f>Table79[[#This Row],[Mil m3 '[2020']]]/1000</f>
        <v>0</v>
      </c>
      <c r="F17" s="2">
        <f>Table79[[#This Row],[TWh '[2020']]]*1000</f>
        <v>1419953.9432015442</v>
      </c>
      <c r="G17" s="3">
        <f>IF(Table79[[#This Row],[Mil m3 '[2020']]]&gt;0,Table79[[#This Row],[Mrd m3 '[2020']2]],Table79[[#This Row],[Mrd m3 '[2020']]])*9.77</f>
        <v>1419.9539432015442</v>
      </c>
    </row>
    <row r="20" spans="1:7">
      <c r="A20" t="s">
        <v>132</v>
      </c>
    </row>
    <row r="21" spans="1:7">
      <c r="A21" t="s">
        <v>272</v>
      </c>
      <c r="B21" t="s">
        <v>273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5B38-002A-48AE-A33D-051F4A624C81}">
  <dimension ref="A1:N49"/>
  <sheetViews>
    <sheetView workbookViewId="0">
      <selection activeCell="A46" sqref="A46:B46"/>
    </sheetView>
  </sheetViews>
  <sheetFormatPr defaultRowHeight="14.5"/>
  <cols>
    <col min="1" max="1" width="9.54296875" customWidth="1"/>
    <col min="2" max="2" width="12.54296875" customWidth="1"/>
    <col min="3" max="8" width="15" customWidth="1"/>
    <col min="11" max="11" width="9.26953125" bestFit="1" customWidth="1"/>
    <col min="12" max="12" width="10.81640625" bestFit="1" customWidth="1"/>
    <col min="16" max="16" width="15.453125" customWidth="1"/>
    <col min="17" max="17" width="18.1796875" customWidth="1"/>
    <col min="18" max="18" width="14.453125" customWidth="1"/>
  </cols>
  <sheetData>
    <row r="1" spans="1:14">
      <c r="A1" t="s">
        <v>16</v>
      </c>
      <c r="B1" t="s">
        <v>55</v>
      </c>
      <c r="C1" t="s">
        <v>303</v>
      </c>
      <c r="D1" t="s">
        <v>305</v>
      </c>
      <c r="E1" t="s">
        <v>121</v>
      </c>
      <c r="F1" t="s">
        <v>266</v>
      </c>
      <c r="G1" t="s">
        <v>104</v>
      </c>
      <c r="M1" t="s">
        <v>92</v>
      </c>
      <c r="N1" t="s">
        <v>93</v>
      </c>
    </row>
    <row r="2" spans="1:14">
      <c r="A2" t="s">
        <v>41</v>
      </c>
      <c r="B2" t="s">
        <v>73</v>
      </c>
      <c r="C2" s="3">
        <f>$J$6*(D2/$K$6)</f>
        <v>4.7470068416712932E-2</v>
      </c>
      <c r="D2" s="2">
        <v>527.10126999999989</v>
      </c>
      <c r="E2" s="2"/>
      <c r="F2" s="2">
        <f>Table2620[[#This Row],[TWh '[2020']]]*1000</f>
        <v>463.78256843128537</v>
      </c>
      <c r="G2" s="3">
        <f>(Table2620[[#This Row],[Mrd m3 '[2035'] SP]])*9.77</f>
        <v>0.46378256843128535</v>
      </c>
      <c r="H2" s="2"/>
      <c r="J2" t="s">
        <v>101</v>
      </c>
      <c r="M2" t="str">
        <f t="shared" ref="M2:M42" si="0">_xlfn.CONCAT(A2,$J$2)</f>
        <v>AL_Prod</v>
      </c>
      <c r="N2" t="str">
        <f>Table2620[[#This Row],[Country]]</f>
        <v>AL</v>
      </c>
    </row>
    <row r="3" spans="1:14">
      <c r="A3" t="s">
        <v>49</v>
      </c>
      <c r="B3" t="s">
        <v>78</v>
      </c>
      <c r="C3" s="2">
        <f>298*(101.54375/nodes_gas_prod_world_2035!$E$8)</f>
        <v>119.29857345694938</v>
      </c>
      <c r="D3" s="2">
        <v>992082.4375</v>
      </c>
      <c r="E3" s="2"/>
      <c r="F3" s="2">
        <f>Table2620[[#This Row],[TWh '[2020']]]*1000</f>
        <v>1165547.0626743955</v>
      </c>
      <c r="G3" s="3">
        <f>(Table2620[[#This Row],[Mrd m3 '[2035'] SP]])*9.77</f>
        <v>1165.5470626743954</v>
      </c>
      <c r="H3" s="2"/>
      <c r="M3" t="str">
        <f t="shared" si="0"/>
        <v>DZ_Prod</v>
      </c>
      <c r="N3" t="str">
        <f>Table2620[[#This Row],[Country]]</f>
        <v>DZ</v>
      </c>
    </row>
    <row r="4" spans="1:14">
      <c r="A4" t="s">
        <v>20</v>
      </c>
      <c r="B4" t="s">
        <v>57</v>
      </c>
      <c r="C4" s="3">
        <f>$J$5*(D4/$K$5)</f>
        <v>0.44373917368578852</v>
      </c>
      <c r="D4" s="2">
        <v>5354.6634399999994</v>
      </c>
      <c r="E4" s="2"/>
      <c r="F4" s="2">
        <f>Table2620[[#This Row],[TWh '[2020']]]*1000</f>
        <v>4335.3317269101535</v>
      </c>
      <c r="G4" s="3">
        <f>(Table2620[[#This Row],[Mrd m3 '[2035'] SP]])*9.77</f>
        <v>4.3353317269101534</v>
      </c>
      <c r="H4" s="2"/>
      <c r="J4" t="s">
        <v>306</v>
      </c>
      <c r="K4">
        <v>2024</v>
      </c>
      <c r="M4" t="str">
        <f t="shared" si="0"/>
        <v>AT_Prod</v>
      </c>
      <c r="N4" t="str">
        <f>Table2620[[#This Row],[Country]]</f>
        <v>AT</v>
      </c>
    </row>
    <row r="5" spans="1:14">
      <c r="A5" t="s">
        <v>52</v>
      </c>
      <c r="B5" t="s">
        <v>81</v>
      </c>
      <c r="C5" s="3">
        <f>$J$6*(D5/$K$6)</f>
        <v>0</v>
      </c>
      <c r="D5" s="2">
        <v>0</v>
      </c>
      <c r="E5" s="2"/>
      <c r="F5" s="2">
        <f>Table2620[[#This Row],[TWh '[2020']]]*1000</f>
        <v>0</v>
      </c>
      <c r="G5" s="3">
        <f>(Table2620[[#This Row],[Mrd m3 '[2035'] SP]])*9.77</f>
        <v>0</v>
      </c>
      <c r="H5" s="2"/>
      <c r="I5" t="s">
        <v>294</v>
      </c>
      <c r="J5">
        <v>29</v>
      </c>
      <c r="K5" s="2">
        <f>D4+D6+D8+D9+D10+D11+D12+D13+D14+D15+D16+D17+D18+D19+D20+D22+D23+D25+D28+D29+D30+D34+D35+D42</f>
        <v>349947.10624750337</v>
      </c>
      <c r="M5" t="str">
        <f t="shared" si="0"/>
        <v>BY_Prod</v>
      </c>
      <c r="N5" t="str">
        <f>Table2620[[#This Row],[Country]]</f>
        <v>BY</v>
      </c>
    </row>
    <row r="6" spans="1:14">
      <c r="A6" t="s">
        <v>17</v>
      </c>
      <c r="B6" t="s">
        <v>0</v>
      </c>
      <c r="C6" s="3">
        <f>$J$5*(D6/$K$5)</f>
        <v>1.214454963086388E-2</v>
      </c>
      <c r="D6" s="2">
        <v>146.54999999999998</v>
      </c>
      <c r="E6" s="2"/>
      <c r="F6" s="2">
        <f>Table2620[[#This Row],[TWh '[2020']]]*1000</f>
        <v>118.6522498935401</v>
      </c>
      <c r="G6" s="3">
        <f>(Table2620[[#This Row],[Mrd m3 '[2035'] SP]])*9.77</f>
        <v>0.1186522498935401</v>
      </c>
      <c r="H6" s="2"/>
      <c r="I6" t="s">
        <v>307</v>
      </c>
      <c r="J6">
        <f>181-J5</f>
        <v>152</v>
      </c>
      <c r="K6" s="2">
        <f>D2+D5+D7+D24+D26+D27+D32+D33+D36+D38+D39+D40</f>
        <v>1687787.6041103853</v>
      </c>
      <c r="M6" t="str">
        <f t="shared" si="0"/>
        <v>BE_Prod</v>
      </c>
      <c r="N6" t="str">
        <f>Table2620[[#This Row],[Country]]</f>
        <v>BE</v>
      </c>
    </row>
    <row r="7" spans="1:14">
      <c r="A7" t="s">
        <v>44</v>
      </c>
      <c r="B7" t="s">
        <v>75</v>
      </c>
      <c r="C7" s="3">
        <f>$J$6*(D7/$K$6)</f>
        <v>0</v>
      </c>
      <c r="D7" s="2">
        <v>0</v>
      </c>
      <c r="E7" s="2"/>
      <c r="F7" s="2">
        <f>Table2620[[#This Row],[TWh '[2020']]]*1000</f>
        <v>0</v>
      </c>
      <c r="G7" s="3">
        <f>(Table2620[[#This Row],[Mrd m3 '[2035'] SP]])*9.77</f>
        <v>0</v>
      </c>
      <c r="H7" s="2"/>
      <c r="M7" t="str">
        <f t="shared" si="0"/>
        <v>BA_Prod</v>
      </c>
      <c r="N7" t="str">
        <f>Table2620[[#This Row],[Country]]</f>
        <v>BA</v>
      </c>
    </row>
    <row r="8" spans="1:14">
      <c r="A8" t="s">
        <v>32</v>
      </c>
      <c r="B8" t="s">
        <v>64</v>
      </c>
      <c r="C8" s="3">
        <f t="shared" ref="C8:C20" si="1">$J$5*(D8/$K$5)</f>
        <v>6.5904422663488E-3</v>
      </c>
      <c r="D8" s="2">
        <v>79.527800000000013</v>
      </c>
      <c r="E8" s="2"/>
      <c r="F8" s="2">
        <f>Table2620[[#This Row],[TWh '[2020']]]*1000</f>
        <v>64.388620942227774</v>
      </c>
      <c r="G8" s="3">
        <f>(Table2620[[#This Row],[Mrd m3 '[2035'] SP]])*9.77</f>
        <v>6.4388620942227776E-2</v>
      </c>
      <c r="H8" s="2"/>
      <c r="K8" s="2"/>
      <c r="M8" t="str">
        <f t="shared" si="0"/>
        <v>BG_Prod</v>
      </c>
      <c r="N8" t="str">
        <f>Table2620[[#This Row],[Country]]</f>
        <v>BG</v>
      </c>
    </row>
    <row r="9" spans="1:14">
      <c r="A9" t="s">
        <v>24</v>
      </c>
      <c r="B9" t="s">
        <v>5</v>
      </c>
      <c r="C9" s="3">
        <f t="shared" si="1"/>
        <v>0.6105469917756301</v>
      </c>
      <c r="D9" s="2">
        <v>7367.5569999999998</v>
      </c>
      <c r="E9" s="2"/>
      <c r="F9" s="2">
        <f>Table2620[[#This Row],[TWh '[2020']]]*1000</f>
        <v>5965.0441096479053</v>
      </c>
      <c r="G9" s="3">
        <f>(Table2620[[#This Row],[Mrd m3 '[2035'] SP]])*9.77</f>
        <v>5.9650441096479057</v>
      </c>
      <c r="H9" s="2"/>
      <c r="K9" s="2"/>
      <c r="M9" t="str">
        <f t="shared" si="0"/>
        <v>HR_Prod</v>
      </c>
      <c r="N9" t="str">
        <f>Table2620[[#This Row],[Country]]</f>
        <v>HR</v>
      </c>
    </row>
    <row r="10" spans="1:14">
      <c r="A10" t="s">
        <v>28</v>
      </c>
      <c r="B10" t="s">
        <v>61</v>
      </c>
      <c r="C10" s="3">
        <f t="shared" si="1"/>
        <v>0.15097213500783715</v>
      </c>
      <c r="D10" s="2">
        <v>1821.8021300000003</v>
      </c>
      <c r="E10" s="2"/>
      <c r="F10" s="2">
        <f>Table2620[[#This Row],[TWh '[2020']]]*1000</f>
        <v>1474.9977590265692</v>
      </c>
      <c r="G10" s="3">
        <f>(Table2620[[#This Row],[Mrd m3 '[2035'] SP]])*9.77</f>
        <v>1.474997759026569</v>
      </c>
      <c r="H10" s="2"/>
      <c r="M10" t="str">
        <f t="shared" si="0"/>
        <v>CZ_Prod</v>
      </c>
      <c r="N10" t="str">
        <f>Table2620[[#This Row],[Country]]</f>
        <v>CZ</v>
      </c>
    </row>
    <row r="11" spans="1:14">
      <c r="A11" t="s">
        <v>26</v>
      </c>
      <c r="B11" t="s">
        <v>60</v>
      </c>
      <c r="C11" s="3">
        <f t="shared" si="1"/>
        <v>1.4585361215674901</v>
      </c>
      <c r="D11" s="2">
        <v>17600.3619</v>
      </c>
      <c r="E11" s="2"/>
      <c r="F11" s="2">
        <f>Table2620[[#This Row],[TWh '[2020']]]*1000</f>
        <v>14249.897907714378</v>
      </c>
      <c r="G11" s="3">
        <f>(Table2620[[#This Row],[Mrd m3 '[2035'] SP]])*9.77</f>
        <v>14.249897907714377</v>
      </c>
      <c r="H11" s="2"/>
      <c r="M11" t="str">
        <f t="shared" si="0"/>
        <v>DK_Prod</v>
      </c>
      <c r="N11" t="str">
        <f>Table2620[[#This Row],[Country]]</f>
        <v>DK</v>
      </c>
    </row>
    <row r="12" spans="1:14">
      <c r="A12" t="s">
        <v>53</v>
      </c>
      <c r="B12" t="s">
        <v>66</v>
      </c>
      <c r="C12" s="3">
        <f t="shared" si="1"/>
        <v>0</v>
      </c>
      <c r="D12" s="2">
        <v>0</v>
      </c>
      <c r="E12" s="2"/>
      <c r="F12" s="2">
        <f>Table2620[[#This Row],[TWh '[2020']]]*1000</f>
        <v>0</v>
      </c>
      <c r="G12" s="3">
        <f>(Table2620[[#This Row],[Mrd m3 '[2035'] SP]])*9.77</f>
        <v>0</v>
      </c>
      <c r="H12" s="2"/>
      <c r="M12" t="str">
        <f t="shared" si="0"/>
        <v>EE_Prod</v>
      </c>
      <c r="N12" t="str">
        <f>Table2620[[#This Row],[Country]]</f>
        <v>EE</v>
      </c>
    </row>
    <row r="13" spans="1:14">
      <c r="A13" t="s">
        <v>54</v>
      </c>
      <c r="B13" t="s">
        <v>85</v>
      </c>
      <c r="C13" s="3">
        <f t="shared" si="1"/>
        <v>0</v>
      </c>
      <c r="D13" s="2">
        <v>0</v>
      </c>
      <c r="E13" s="2"/>
      <c r="F13" s="2">
        <f>Table2620[[#This Row],[TWh '[2020']]]*1000</f>
        <v>0</v>
      </c>
      <c r="G13" s="3">
        <f>(Table2620[[#This Row],[Mrd m3 '[2035'] SP]])*9.77</f>
        <v>0</v>
      </c>
      <c r="H13" s="2"/>
      <c r="M13" t="str">
        <f t="shared" si="0"/>
        <v>FI_Prod</v>
      </c>
      <c r="N13" t="str">
        <f>Table2620[[#This Row],[Country]]</f>
        <v>FI</v>
      </c>
    </row>
    <row r="14" spans="1:14">
      <c r="A14" t="s">
        <v>25</v>
      </c>
      <c r="B14" t="s">
        <v>2</v>
      </c>
      <c r="C14" s="3">
        <f t="shared" si="1"/>
        <v>1.0020063082104758E-2</v>
      </c>
      <c r="D14" s="2">
        <v>120.91351999999998</v>
      </c>
      <c r="E14" s="2"/>
      <c r="F14" s="2">
        <f>Table2620[[#This Row],[TWh '[2020']]]*1000</f>
        <v>97.896016312163482</v>
      </c>
      <c r="G14" s="3">
        <f>(Table2620[[#This Row],[Mrd m3 '[2035'] SP]])*9.77</f>
        <v>9.7896016312163478E-2</v>
      </c>
      <c r="H14" s="2"/>
      <c r="M14" t="str">
        <f t="shared" si="0"/>
        <v>FR_Prod</v>
      </c>
      <c r="N14" t="str">
        <f>Table2620[[#This Row],[Country]]</f>
        <v>FR</v>
      </c>
    </row>
    <row r="15" spans="1:14">
      <c r="A15" t="s">
        <v>19</v>
      </c>
      <c r="B15" t="s">
        <v>56</v>
      </c>
      <c r="C15" s="3">
        <f t="shared" si="1"/>
        <v>3.1357227146890536</v>
      </c>
      <c r="D15" s="2">
        <v>37839.21</v>
      </c>
      <c r="E15" s="2"/>
      <c r="F15" s="2">
        <f>Table2620[[#This Row],[TWh '[2020']]]*1000</f>
        <v>30636.010922512054</v>
      </c>
      <c r="G15" s="3">
        <f>(Table2620[[#This Row],[Mrd m3 '[2035'] SP]])*9.77</f>
        <v>30.636010922512053</v>
      </c>
      <c r="H15" s="2"/>
      <c r="M15" t="str">
        <f t="shared" si="0"/>
        <v>DE_Prod</v>
      </c>
      <c r="N15" t="str">
        <f>Table2620[[#This Row],[Country]]</f>
        <v>DE</v>
      </c>
    </row>
    <row r="16" spans="1:14">
      <c r="A16" t="s">
        <v>264</v>
      </c>
      <c r="B16" t="s">
        <v>3</v>
      </c>
      <c r="C16" s="3">
        <f t="shared" si="1"/>
        <v>1.6119865543366659E-3</v>
      </c>
      <c r="D16" s="2">
        <v>19.452070000000003</v>
      </c>
      <c r="E16" s="2"/>
      <c r="F16" s="2">
        <f>Table2620[[#This Row],[TWh '[2020']]]*1000</f>
        <v>15.749108635869227</v>
      </c>
      <c r="G16" s="3">
        <f>(Table2620[[#This Row],[Mrd m3 '[2035'] SP]])*9.77</f>
        <v>1.5749108635869227E-2</v>
      </c>
      <c r="H16" s="2"/>
      <c r="M16" t="str">
        <f t="shared" si="0"/>
        <v>EL_Prod</v>
      </c>
      <c r="N16" t="str">
        <f>Table2620[[#This Row],[Country]]</f>
        <v>EL</v>
      </c>
    </row>
    <row r="17" spans="1:14">
      <c r="A17" t="s">
        <v>30</v>
      </c>
      <c r="B17" t="s">
        <v>63</v>
      </c>
      <c r="C17" s="3">
        <f t="shared" si="1"/>
        <v>1.3956516435788768</v>
      </c>
      <c r="D17" s="2">
        <v>16841.525999999998</v>
      </c>
      <c r="E17" s="2"/>
      <c r="F17" s="2">
        <f>Table2620[[#This Row],[TWh '[2020']]]*1000</f>
        <v>13635.516557765626</v>
      </c>
      <c r="G17" s="3">
        <f>(Table2620[[#This Row],[Mrd m3 '[2035'] SP]])*9.77</f>
        <v>13.635516557765627</v>
      </c>
      <c r="H17" s="2"/>
      <c r="M17" t="str">
        <f t="shared" si="0"/>
        <v>HU_Prod</v>
      </c>
      <c r="N17" t="str">
        <f>Table2620[[#This Row],[Country]]</f>
        <v>HU</v>
      </c>
    </row>
    <row r="18" spans="1:14">
      <c r="A18" t="s">
        <v>43</v>
      </c>
      <c r="B18" t="s">
        <v>135</v>
      </c>
      <c r="C18" s="3">
        <f t="shared" si="1"/>
        <v>0.8750431381862146</v>
      </c>
      <c r="D18" s="2">
        <v>10559.26945</v>
      </c>
      <c r="E18" s="2"/>
      <c r="F18" s="2">
        <f>Table2620[[#This Row],[TWh '[2020']]]*1000</f>
        <v>8549.1714600793166</v>
      </c>
      <c r="G18" s="3">
        <f>(Table2620[[#This Row],[Mrd m3 '[2035'] SP]])*9.77</f>
        <v>8.5491714600793163</v>
      </c>
      <c r="H18" s="2"/>
      <c r="M18" t="str">
        <f t="shared" si="0"/>
        <v>IE_Prod</v>
      </c>
      <c r="N18" t="str">
        <f>Table2620[[#This Row],[Country]]</f>
        <v>IE</v>
      </c>
    </row>
    <row r="19" spans="1:14">
      <c r="A19" t="s">
        <v>21</v>
      </c>
      <c r="B19" t="s">
        <v>4</v>
      </c>
      <c r="C19" s="3">
        <f t="shared" si="1"/>
        <v>2.3805292789899823</v>
      </c>
      <c r="D19" s="2">
        <v>28726.18388</v>
      </c>
      <c r="E19" s="2"/>
      <c r="F19" s="2">
        <f>Table2620[[#This Row],[TWh '[2020']]]*1000</f>
        <v>23257.77105573213</v>
      </c>
      <c r="G19" s="3">
        <f>(Table2620[[#This Row],[Mrd m3 '[2035'] SP]])*9.77</f>
        <v>23.257771055732128</v>
      </c>
      <c r="H19" s="2"/>
      <c r="M19" t="str">
        <f t="shared" si="0"/>
        <v>IT_Prod</v>
      </c>
      <c r="N19" t="str">
        <f>Table2620[[#This Row],[Country]]</f>
        <v>IT</v>
      </c>
    </row>
    <row r="20" spans="1:14">
      <c r="A20" t="s">
        <v>35</v>
      </c>
      <c r="B20" t="s">
        <v>65</v>
      </c>
      <c r="C20" s="3">
        <f t="shared" si="1"/>
        <v>0</v>
      </c>
      <c r="D20" s="2">
        <v>0</v>
      </c>
      <c r="E20" s="2"/>
      <c r="F20" s="2">
        <f>Table2620[[#This Row],[TWh '[2020']]]*1000</f>
        <v>0</v>
      </c>
      <c r="G20" s="3">
        <f>(Table2620[[#This Row],[Mrd m3 '[2035'] SP]])*9.77</f>
        <v>0</v>
      </c>
      <c r="H20" s="2"/>
      <c r="M20" t="str">
        <f t="shared" si="0"/>
        <v>LV_Prod</v>
      </c>
      <c r="N20" t="str">
        <f>Table2620[[#This Row],[Country]]</f>
        <v>LV</v>
      </c>
    </row>
    <row r="21" spans="1:14">
      <c r="A21" t="s">
        <v>51</v>
      </c>
      <c r="B21" t="s">
        <v>80</v>
      </c>
      <c r="C21" s="2">
        <f>298*(16.3076760417167/nodes_gas_prod_world_2035!$E$8)</f>
        <v>19.159056940233871</v>
      </c>
      <c r="D21" s="2">
        <v>159325.99492757182</v>
      </c>
      <c r="E21" s="2"/>
      <c r="F21" s="2">
        <f>Table2620[[#This Row],[TWh '[2020']]]*1000</f>
        <v>187183.9863060849</v>
      </c>
      <c r="G21" s="3">
        <f>(Table2620[[#This Row],[Mrd m3 '[2035'] SP]])*9.77</f>
        <v>187.1839863060849</v>
      </c>
      <c r="H21" s="2"/>
      <c r="M21" t="str">
        <f t="shared" si="0"/>
        <v>LY_Prod</v>
      </c>
      <c r="N21" t="str">
        <f>Table2620[[#This Row],[Country]]</f>
        <v>LY</v>
      </c>
    </row>
    <row r="22" spans="1:14">
      <c r="A22" t="s">
        <v>34</v>
      </c>
      <c r="B22" t="s">
        <v>6</v>
      </c>
      <c r="C22" s="3">
        <f>$J$5*(D22/$K$5)</f>
        <v>0</v>
      </c>
      <c r="D22" s="2">
        <v>0</v>
      </c>
      <c r="E22" s="2"/>
      <c r="F22" s="2">
        <f>Table2620[[#This Row],[TWh '[2020']]]*1000</f>
        <v>0</v>
      </c>
      <c r="G22" s="3">
        <f>(Table2620[[#This Row],[Mrd m3 '[2035'] SP]])*9.77</f>
        <v>0</v>
      </c>
      <c r="H22" s="2"/>
      <c r="M22" t="str">
        <f t="shared" si="0"/>
        <v>LT_Prod</v>
      </c>
      <c r="N22" t="str">
        <f>Table2620[[#This Row],[Country]]</f>
        <v>LT</v>
      </c>
    </row>
    <row r="23" spans="1:14">
      <c r="A23" t="s">
        <v>42</v>
      </c>
      <c r="B23" t="s">
        <v>70</v>
      </c>
      <c r="C23" s="3">
        <f>$J$5*(D23/$K$5)</f>
        <v>0</v>
      </c>
      <c r="D23" s="2">
        <v>0</v>
      </c>
      <c r="E23" s="2"/>
      <c r="F23" s="2">
        <f>Table2620[[#This Row],[TWh '[2020']]]*1000</f>
        <v>0</v>
      </c>
      <c r="G23" s="3">
        <f>(Table2620[[#This Row],[Mrd m3 '[2035'] SP]])*9.77</f>
        <v>0</v>
      </c>
      <c r="H23" s="2"/>
      <c r="M23" t="str">
        <f t="shared" si="0"/>
        <v>LU_Prod</v>
      </c>
      <c r="N23" t="str">
        <f>Table2620[[#This Row],[Country]]</f>
        <v>LU</v>
      </c>
    </row>
    <row r="24" spans="1:14">
      <c r="A24" t="s">
        <v>39</v>
      </c>
      <c r="B24" t="s">
        <v>68</v>
      </c>
      <c r="C24" s="3">
        <f>$J$6*(D24/$K$6)</f>
        <v>0</v>
      </c>
      <c r="D24" s="2">
        <v>0</v>
      </c>
      <c r="E24" s="2"/>
      <c r="F24" s="2">
        <f>Table2620[[#This Row],[TWh '[2020']]]*1000</f>
        <v>0</v>
      </c>
      <c r="G24" s="3">
        <f>(Table2620[[#This Row],[Mrd m3 '[2035'] SP]])*9.77</f>
        <v>0</v>
      </c>
      <c r="H24" s="2"/>
      <c r="M24" t="str">
        <f t="shared" si="0"/>
        <v>MD_Prod</v>
      </c>
      <c r="N24" t="str">
        <f>Table2620[[#This Row],[Country]]</f>
        <v>MD</v>
      </c>
    </row>
    <row r="25" spans="1:14">
      <c r="A25" t="s">
        <v>18</v>
      </c>
      <c r="B25" t="s">
        <v>7</v>
      </c>
      <c r="C25" s="3">
        <f>$J$5*(D25/$K$5)</f>
        <v>7.965831133686903</v>
      </c>
      <c r="D25" s="2">
        <v>96124.812210000018</v>
      </c>
      <c r="E25" s="2"/>
      <c r="F25" s="2">
        <f>Table2620[[#This Row],[TWh '[2020']]]*1000</f>
        <v>77826.170176121042</v>
      </c>
      <c r="G25" s="3">
        <f>(Table2620[[#This Row],[Mrd m3 '[2035'] SP]])*9.77</f>
        <v>77.826170176121039</v>
      </c>
      <c r="H25" s="2"/>
      <c r="M25" t="str">
        <f t="shared" si="0"/>
        <v>NL_Prod</v>
      </c>
      <c r="N25" t="str">
        <f>Table2620[[#This Row],[Country]]</f>
        <v>NL</v>
      </c>
    </row>
    <row r="26" spans="1:14">
      <c r="A26" t="s">
        <v>45</v>
      </c>
      <c r="B26" t="s">
        <v>76</v>
      </c>
      <c r="C26" s="3">
        <f>$J$6*(D26/$K$6)</f>
        <v>0</v>
      </c>
      <c r="D26" s="2">
        <v>0</v>
      </c>
      <c r="E26" s="2"/>
      <c r="F26" s="2">
        <f>Table2620[[#This Row],[TWh '[2020']]]*1000</f>
        <v>0</v>
      </c>
      <c r="G26" s="3">
        <f>(Table2620[[#This Row],[Mrd m3 '[2035'] SP]])*9.77</f>
        <v>0</v>
      </c>
      <c r="H26" s="2"/>
      <c r="M26" t="str">
        <f t="shared" si="0"/>
        <v>MK_Prod</v>
      </c>
      <c r="N26" t="str">
        <f>Table2620[[#This Row],[Country]]</f>
        <v>MK</v>
      </c>
    </row>
    <row r="27" spans="1:14">
      <c r="A27" t="s">
        <v>48</v>
      </c>
      <c r="B27" t="s">
        <v>71</v>
      </c>
      <c r="C27" s="3">
        <f>$J$6*(D27/$K$6)</f>
        <v>103.80126173135578</v>
      </c>
      <c r="D27" s="2">
        <v>1152595.2818499999</v>
      </c>
      <c r="E27" s="2"/>
      <c r="F27" s="2">
        <f>Table2620[[#This Row],[TWh '[2020']]]*1000</f>
        <v>1014138.3271153459</v>
      </c>
      <c r="G27" s="3">
        <f>(Table2620[[#This Row],[Mrd m3 '[2035'] SP]])*9.77</f>
        <v>1014.1383271153459</v>
      </c>
      <c r="H27" s="2"/>
      <c r="M27" t="str">
        <f t="shared" si="0"/>
        <v>NO_Prod</v>
      </c>
      <c r="N27" t="str">
        <f>Table2620[[#This Row],[Country]]</f>
        <v>NO</v>
      </c>
    </row>
    <row r="28" spans="1:14">
      <c r="A28" t="s">
        <v>27</v>
      </c>
      <c r="B28" t="s">
        <v>8</v>
      </c>
      <c r="C28" s="3">
        <f>$J$5*(D28/$K$5)</f>
        <v>2.9122735066618866</v>
      </c>
      <c r="D28" s="2">
        <v>35142.816767503326</v>
      </c>
      <c r="E28" s="2"/>
      <c r="F28" s="2">
        <f>Table2620[[#This Row],[TWh '[2020']]]*1000</f>
        <v>28452.912160086631</v>
      </c>
      <c r="G28" s="3">
        <f>(Table2620[[#This Row],[Mrd m3 '[2035'] SP]])*9.77</f>
        <v>28.45291216008663</v>
      </c>
      <c r="H28" s="2"/>
      <c r="M28" t="str">
        <f t="shared" si="0"/>
        <v>PL_Prod</v>
      </c>
      <c r="N28" t="str">
        <f>Table2620[[#This Row],[Country]]</f>
        <v>PL</v>
      </c>
    </row>
    <row r="29" spans="1:14">
      <c r="A29" t="s">
        <v>37</v>
      </c>
      <c r="B29" t="s">
        <v>1</v>
      </c>
      <c r="C29" s="3">
        <f>$J$5*(D29/$K$5)</f>
        <v>0</v>
      </c>
      <c r="D29" s="2">
        <v>0</v>
      </c>
      <c r="E29" s="2"/>
      <c r="F29" s="2">
        <f>Table2620[[#This Row],[TWh '[2020']]]*1000</f>
        <v>0</v>
      </c>
      <c r="G29" s="3">
        <f>(Table2620[[#This Row],[Mrd m3 '[2035'] SP]])*9.77</f>
        <v>0</v>
      </c>
      <c r="H29" s="2"/>
      <c r="M29" t="str">
        <f t="shared" si="0"/>
        <v>PT_Prod</v>
      </c>
      <c r="N29" t="str">
        <f>Table2620[[#This Row],[Country]]</f>
        <v>PT</v>
      </c>
    </row>
    <row r="30" spans="1:14">
      <c r="A30" t="s">
        <v>33</v>
      </c>
      <c r="B30" t="s">
        <v>86</v>
      </c>
      <c r="C30" s="3">
        <f>$J$5*(D30/$K$5)</f>
        <v>7.5879146093637511</v>
      </c>
      <c r="D30" s="2">
        <v>91564.439999999988</v>
      </c>
      <c r="E30" s="2"/>
      <c r="F30" s="2">
        <f>Table2620[[#This Row],[TWh '[2020']]]*1000</f>
        <v>74133.925733483848</v>
      </c>
      <c r="G30" s="3">
        <f>(Table2620[[#This Row],[Mrd m3 '[2035'] SP]])*9.77</f>
        <v>74.133925733483849</v>
      </c>
      <c r="H30" s="2"/>
      <c r="M30" t="str">
        <f t="shared" si="0"/>
        <v>RO_Prod</v>
      </c>
      <c r="N30" t="str">
        <f>Table2620[[#This Row],[Country]]</f>
        <v>RO</v>
      </c>
    </row>
    <row r="31" spans="1:14">
      <c r="A31" t="s">
        <v>40</v>
      </c>
      <c r="B31" t="s">
        <v>69</v>
      </c>
      <c r="C31" s="2">
        <f>896*(586.382199872419/nodes_gas_prod_world_2035!$E$15)</f>
        <v>679.20156785433676</v>
      </c>
      <c r="D31" s="2">
        <v>5728954.0927535305</v>
      </c>
      <c r="E31" s="2"/>
      <c r="F31" s="2">
        <f>Table2620[[#This Row],[TWh '[2020']]]*1000</f>
        <v>6635799.3179368693</v>
      </c>
      <c r="G31" s="3">
        <f>(Table2620[[#This Row],[Mrd m3 '[2035'] SP]])*9.77</f>
        <v>6635.7993179368696</v>
      </c>
      <c r="H31" s="2"/>
      <c r="M31" t="str">
        <f t="shared" si="0"/>
        <v>RU_Prod</v>
      </c>
      <c r="N31" t="str">
        <f>Table2620[[#This Row],[Country]]</f>
        <v>RU</v>
      </c>
    </row>
    <row r="32" spans="1:14">
      <c r="A32" t="s">
        <v>47</v>
      </c>
      <c r="B32" t="s">
        <v>77</v>
      </c>
      <c r="C32" s="3">
        <f>$J$6*(D32/$K$6)</f>
        <v>0</v>
      </c>
      <c r="D32" s="2">
        <v>0</v>
      </c>
      <c r="E32" s="2"/>
      <c r="F32" s="2">
        <f>Table2620[[#This Row],[TWh '[2020']]]*1000</f>
        <v>0</v>
      </c>
      <c r="G32" s="3">
        <f>(Table2620[[#This Row],[Mrd m3 '[2035'] SP]])*9.77</f>
        <v>0</v>
      </c>
      <c r="H32" s="2"/>
      <c r="M32" t="str">
        <f t="shared" si="0"/>
        <v>SM_Prod</v>
      </c>
      <c r="N32" t="str">
        <f>Table2620[[#This Row],[Country]]</f>
        <v>SM</v>
      </c>
    </row>
    <row r="33" spans="1:14">
      <c r="A33" t="s">
        <v>31</v>
      </c>
      <c r="B33" t="s">
        <v>72</v>
      </c>
      <c r="C33" s="3">
        <f>$J$6*(D33/$K$6)</f>
        <v>0.25956275477619167</v>
      </c>
      <c r="D33" s="2">
        <v>2882.1499999999996</v>
      </c>
      <c r="E33" s="2"/>
      <c r="F33" s="2">
        <f>Table2620[[#This Row],[TWh '[2020']]]*1000</f>
        <v>2535.9281141633928</v>
      </c>
      <c r="G33" s="3">
        <f>(Table2620[[#This Row],[Mrd m3 '[2035'] SP]])*9.77</f>
        <v>2.5359281141633927</v>
      </c>
      <c r="H33" s="2"/>
      <c r="M33" t="str">
        <f t="shared" si="0"/>
        <v>RS_Prod</v>
      </c>
      <c r="N33" t="str">
        <f>Table2620[[#This Row],[Country]]</f>
        <v>RS</v>
      </c>
    </row>
    <row r="34" spans="1:14">
      <c r="A34" t="s">
        <v>29</v>
      </c>
      <c r="B34" t="s">
        <v>62</v>
      </c>
      <c r="C34" s="3">
        <f>$J$5*(D34/$K$5)</f>
        <v>3.2415422238059807E-2</v>
      </c>
      <c r="D34" s="2">
        <v>391.16148999999996</v>
      </c>
      <c r="E34" s="2"/>
      <c r="F34" s="2">
        <f>Table2620[[#This Row],[TWh '[2020']]]*1000</f>
        <v>316.69867526584426</v>
      </c>
      <c r="G34" s="3">
        <f>(Table2620[[#This Row],[Mrd m3 '[2035'] SP]])*9.77</f>
        <v>0.31669867526584428</v>
      </c>
      <c r="H34" s="2"/>
      <c r="M34" t="str">
        <f t="shared" si="0"/>
        <v>SK_Prod</v>
      </c>
      <c r="N34" t="str">
        <f>Table2620[[#This Row],[Country]]</f>
        <v>SK</v>
      </c>
    </row>
    <row r="35" spans="1:14">
      <c r="A35" t="s">
        <v>23</v>
      </c>
      <c r="B35" t="s">
        <v>59</v>
      </c>
      <c r="C35" s="3">
        <f>$J$5*(D35/$K$5)</f>
        <v>3.0782385131029647E-3</v>
      </c>
      <c r="D35" s="2">
        <v>37.145539999999997</v>
      </c>
      <c r="E35" s="2"/>
      <c r="F35" s="2">
        <f>Table2620[[#This Row],[TWh '[2020']]]*1000</f>
        <v>30.074390273015965</v>
      </c>
      <c r="G35" s="3">
        <f>(Table2620[[#This Row],[Mrd m3 '[2035'] SP]])*9.77</f>
        <v>3.0074390273015963E-2</v>
      </c>
      <c r="H35" s="2"/>
      <c r="M35" t="str">
        <f t="shared" si="0"/>
        <v>SI_Prod</v>
      </c>
      <c r="N35" t="str">
        <f>Table2620[[#This Row],[Country]]</f>
        <v>SI</v>
      </c>
    </row>
    <row r="36" spans="1:14">
      <c r="A36" t="s">
        <v>22</v>
      </c>
      <c r="B36" t="s">
        <v>58</v>
      </c>
      <c r="C36" s="3">
        <f>$J$6*(D36/$K$6)</f>
        <v>0</v>
      </c>
      <c r="D36" s="2">
        <v>0</v>
      </c>
      <c r="E36" s="2"/>
      <c r="F36" s="2">
        <f>Table2620[[#This Row],[TWh '[2020']]]*1000</f>
        <v>0</v>
      </c>
      <c r="G36" s="3">
        <f>(Table2620[[#This Row],[Mrd m3 '[2035'] SP]])*9.77</f>
        <v>0</v>
      </c>
      <c r="H36" s="2"/>
      <c r="M36" t="str">
        <f t="shared" si="0"/>
        <v>CH_Prod</v>
      </c>
      <c r="N36" t="str">
        <f>Table2620[[#This Row],[Country]]</f>
        <v>CH</v>
      </c>
    </row>
    <row r="37" spans="1:14">
      <c r="A37" t="s">
        <v>50</v>
      </c>
      <c r="B37" t="s">
        <v>79</v>
      </c>
      <c r="C37" s="2">
        <f>298*(1.8432/nodes_gas_prod_world_2035!$E$8)</f>
        <v>2.1654816824851268</v>
      </c>
      <c r="D37" s="2">
        <v>18008.063999999998</v>
      </c>
      <c r="E37" s="2"/>
      <c r="F37" s="2">
        <f>Table2620[[#This Row],[TWh '[2020']]]*1000</f>
        <v>21156.756037879688</v>
      </c>
      <c r="G37" s="3">
        <f>(Table2620[[#This Row],[Mrd m3 '[2035'] SP]])*9.77</f>
        <v>21.156756037879688</v>
      </c>
      <c r="H37" s="2"/>
      <c r="M37" t="str">
        <f t="shared" si="0"/>
        <v>TN_Prod</v>
      </c>
      <c r="N37" t="str">
        <f>Table2620[[#This Row],[Country]]</f>
        <v>TN</v>
      </c>
    </row>
    <row r="38" spans="1:14">
      <c r="A38" t="s">
        <v>46</v>
      </c>
      <c r="B38" t="s">
        <v>10</v>
      </c>
      <c r="C38" s="3">
        <f>$J$6*(D38/$K$6)</f>
        <v>1.9877315760760759</v>
      </c>
      <c r="D38" s="2">
        <v>22071.504700000001</v>
      </c>
      <c r="E38" s="2"/>
      <c r="F38" s="2">
        <f>Table2620[[#This Row],[TWh '[2020']]]*1000</f>
        <v>19420.137498263259</v>
      </c>
      <c r="G38" s="3">
        <f>(Table2620[[#This Row],[Mrd m3 '[2035'] SP]])*9.77</f>
        <v>19.420137498263259</v>
      </c>
      <c r="H38" s="2"/>
      <c r="M38" t="str">
        <f t="shared" si="0"/>
        <v>TR_Prod</v>
      </c>
      <c r="N38" t="str">
        <f>Table2620[[#This Row],[Country]]</f>
        <v>TR</v>
      </c>
    </row>
    <row r="39" spans="1:14">
      <c r="A39" t="s">
        <v>11</v>
      </c>
      <c r="B39" t="s">
        <v>11</v>
      </c>
      <c r="C39" s="3">
        <f>$J$6*(D39/$K$6)</f>
        <v>30.332068689540982</v>
      </c>
      <c r="D39" s="2">
        <v>336803.22066600004</v>
      </c>
      <c r="E39" s="2"/>
      <c r="F39" s="2">
        <f>Table2620[[#This Row],[TWh '[2020']]]*1000</f>
        <v>296344.31109681539</v>
      </c>
      <c r="G39" s="3">
        <f>(Table2620[[#This Row],[Mrd m3 '[2035'] SP]])*9.77</f>
        <v>296.34431109681537</v>
      </c>
      <c r="H39" s="2"/>
      <c r="M39" t="str">
        <f t="shared" si="0"/>
        <v>UK_Prod</v>
      </c>
      <c r="N39" t="str">
        <f>Table2620[[#This Row],[Country]]</f>
        <v>UK</v>
      </c>
    </row>
    <row r="40" spans="1:14">
      <c r="A40" t="s">
        <v>38</v>
      </c>
      <c r="B40" t="s">
        <v>67</v>
      </c>
      <c r="C40" s="3">
        <f>$J$6*(D40/$K$6)</f>
        <v>15.571905179834273</v>
      </c>
      <c r="D40" s="2">
        <v>172908.34562438543</v>
      </c>
      <c r="E40" s="2"/>
      <c r="F40" s="2">
        <f>Table2620[[#This Row],[TWh '[2020']]]*1000</f>
        <v>152137.51360698082</v>
      </c>
      <c r="G40" s="3">
        <f>(Table2620[[#This Row],[Mrd m3 '[2035'] SP]])*9.77</f>
        <v>152.13751360698083</v>
      </c>
      <c r="H40" s="2"/>
      <c r="M40" t="str">
        <f t="shared" si="0"/>
        <v>UA_Prod</v>
      </c>
      <c r="N40" t="str">
        <f>Table2620[[#This Row],[Country]]</f>
        <v>UA</v>
      </c>
    </row>
    <row r="41" spans="1:14">
      <c r="A41" t="s">
        <v>87</v>
      </c>
      <c r="B41" t="s">
        <v>88</v>
      </c>
      <c r="C41" s="2"/>
      <c r="D41" s="2"/>
      <c r="E41" s="2"/>
      <c r="F41" s="2">
        <f>Table2620[[#This Row],[TWh '[2020']]]*1000</f>
        <v>0</v>
      </c>
      <c r="G41" s="3">
        <f>(Table2620[[#This Row],[Mrd m3 '[2035'] SP]])*9.77</f>
        <v>0</v>
      </c>
      <c r="H41" s="2"/>
      <c r="M41" t="str">
        <f t="shared" si="0"/>
        <v>OE_Prod</v>
      </c>
      <c r="N41" t="str">
        <f>Table2620[[#This Row],[Country]]</f>
        <v>OE</v>
      </c>
    </row>
    <row r="42" spans="1:14">
      <c r="A42" t="s">
        <v>36</v>
      </c>
      <c r="B42" t="s">
        <v>9</v>
      </c>
      <c r="C42" s="3">
        <f>$J$5*(D42/$K$5)</f>
        <v>1.7378850521766211E-2</v>
      </c>
      <c r="D42" s="2">
        <v>209.71305000000001</v>
      </c>
      <c r="E42" s="2"/>
      <c r="F42" s="2">
        <f>Table2620[[#This Row],[TWh '[2020']]]*1000</f>
        <v>169.79136959765586</v>
      </c>
      <c r="G42" s="3">
        <f>(Table2620[[#This Row],[Mrd m3 '[2035'] SP]])*9.77</f>
        <v>0.16979136959765587</v>
      </c>
      <c r="M42" t="str">
        <f t="shared" si="0"/>
        <v>ES_Prod</v>
      </c>
      <c r="N42" t="str">
        <f>Table2620[[#This Row],[Country]]</f>
        <v>ES</v>
      </c>
    </row>
    <row r="44" spans="1:14">
      <c r="C44" s="2">
        <f>SUM(Table2620[Mrd m3 '[2035'] SP])</f>
        <v>1000.8246799340053</v>
      </c>
      <c r="D44" s="2">
        <f>SUM(Table2620[Mil m3 EU '[2024']])/1000+C31+C37+C21+C3</f>
        <v>9755.9299794729995</v>
      </c>
      <c r="E44">
        <f>SUMIF(Table2620[Mil m3 EU '[2024']],"&gt;0",Table2620[Mrd m3 EU '[2020']])</f>
        <v>0</v>
      </c>
    </row>
    <row r="45" spans="1:14">
      <c r="C45" s="3">
        <f>C44-C37-C31-C3-C21-C5</f>
        <v>181.00000000000011</v>
      </c>
      <c r="E45" s="2"/>
      <c r="F45" s="2"/>
    </row>
    <row r="46" spans="1:14">
      <c r="A46" t="s">
        <v>295</v>
      </c>
      <c r="B46" t="s">
        <v>296</v>
      </c>
    </row>
    <row r="47" spans="1:14">
      <c r="A47" t="s">
        <v>132</v>
      </c>
    </row>
    <row r="48" spans="1:14">
      <c r="A48" t="s">
        <v>79</v>
      </c>
      <c r="B48" t="s">
        <v>136</v>
      </c>
      <c r="I48" t="s">
        <v>137</v>
      </c>
    </row>
    <row r="49" spans="1:2">
      <c r="A49" t="s">
        <v>122</v>
      </c>
      <c r="B49" t="s">
        <v>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61FF-3CAF-499E-B5E7-936081CDB469}">
  <dimension ref="A1:N49"/>
  <sheetViews>
    <sheetView topLeftCell="A37" workbookViewId="0">
      <selection activeCell="A46" sqref="A46:B46"/>
    </sheetView>
  </sheetViews>
  <sheetFormatPr defaultRowHeight="14.5"/>
  <cols>
    <col min="1" max="1" width="9.54296875" customWidth="1"/>
    <col min="2" max="2" width="12.54296875" customWidth="1"/>
    <col min="3" max="8" width="15" customWidth="1"/>
    <col min="11" max="11" width="9.26953125" bestFit="1" customWidth="1"/>
    <col min="12" max="12" width="10.81640625" bestFit="1" customWidth="1"/>
    <col min="16" max="16" width="15.453125" customWidth="1"/>
    <col min="17" max="17" width="18.1796875" customWidth="1"/>
    <col min="18" max="18" width="14.453125" customWidth="1"/>
  </cols>
  <sheetData>
    <row r="1" spans="1:14">
      <c r="A1" t="s">
        <v>16</v>
      </c>
      <c r="B1" t="s">
        <v>55</v>
      </c>
      <c r="C1" t="s">
        <v>303</v>
      </c>
      <c r="D1" t="s">
        <v>305</v>
      </c>
      <c r="E1" t="s">
        <v>121</v>
      </c>
      <c r="F1" t="s">
        <v>266</v>
      </c>
      <c r="G1" t="s">
        <v>104</v>
      </c>
      <c r="M1" t="s">
        <v>92</v>
      </c>
      <c r="N1" t="s">
        <v>93</v>
      </c>
    </row>
    <row r="2" spans="1:14">
      <c r="A2" t="s">
        <v>41</v>
      </c>
      <c r="B2" t="s">
        <v>73</v>
      </c>
      <c r="C2" s="3">
        <f>$J$6*(D2/$K$6)</f>
        <v>3.6851763639290304E-2</v>
      </c>
      <c r="D2" s="2">
        <v>527.10126999999989</v>
      </c>
      <c r="E2" s="2"/>
      <c r="F2" s="2">
        <f>Table262021[[#This Row],[TWh '[2020']]]*1000</f>
        <v>360.04173075586624</v>
      </c>
      <c r="G2" s="3">
        <f>(Table262021[[#This Row],[Mrd m3 '[2035'] SP]])*9.77</f>
        <v>0.36004173075586626</v>
      </c>
      <c r="H2" s="2"/>
      <c r="J2" t="s">
        <v>101</v>
      </c>
      <c r="M2" t="str">
        <f t="shared" ref="M2:M42" si="0">_xlfn.CONCAT(A2,$J$2)</f>
        <v>AL_Prod</v>
      </c>
      <c r="N2" t="str">
        <f>Table262021[[#This Row],[Country]]</f>
        <v>AL</v>
      </c>
    </row>
    <row r="3" spans="1:14">
      <c r="A3" t="s">
        <v>49</v>
      </c>
      <c r="B3" t="s">
        <v>78</v>
      </c>
      <c r="C3" s="2">
        <f>298*(101.54375/nodes_gas_prod_world_2035!$E$8)</f>
        <v>119.29857345694938</v>
      </c>
      <c r="D3" s="2">
        <v>992082.4375</v>
      </c>
      <c r="E3" s="2"/>
      <c r="F3" s="2">
        <f>Table262021[[#This Row],[TWh '[2020']]]*1000</f>
        <v>1165547.0626743955</v>
      </c>
      <c r="G3" s="3">
        <f>(Table262021[[#This Row],[Mrd m3 '[2035'] SP]])*9.77</f>
        <v>1165.5470626743954</v>
      </c>
      <c r="H3" s="2"/>
      <c r="M3" t="str">
        <f t="shared" si="0"/>
        <v>DZ_Prod</v>
      </c>
      <c r="N3" t="str">
        <f>Table262021[[#This Row],[Country]]</f>
        <v>DZ</v>
      </c>
    </row>
    <row r="4" spans="1:14">
      <c r="A4" t="s">
        <v>20</v>
      </c>
      <c r="B4" t="s">
        <v>57</v>
      </c>
      <c r="C4" s="3">
        <f>$J$5*(D4/$K$5)</f>
        <v>0.13771215735076195</v>
      </c>
      <c r="D4" s="2">
        <v>5354.6634399999994</v>
      </c>
      <c r="E4" s="2"/>
      <c r="F4" s="2">
        <f>Table262021[[#This Row],[TWh '[2020']]]*1000</f>
        <v>1345.4477773169442</v>
      </c>
      <c r="G4" s="3">
        <f>(Table262021[[#This Row],[Mrd m3 '[2035'] SP]])*9.77</f>
        <v>1.3454477773169442</v>
      </c>
      <c r="H4" s="2"/>
      <c r="J4" t="s">
        <v>306</v>
      </c>
      <c r="K4">
        <v>2024</v>
      </c>
      <c r="M4" t="str">
        <f t="shared" si="0"/>
        <v>AT_Prod</v>
      </c>
      <c r="N4" t="str">
        <f>Table262021[[#This Row],[Country]]</f>
        <v>AT</v>
      </c>
    </row>
    <row r="5" spans="1:14">
      <c r="A5" t="s">
        <v>52</v>
      </c>
      <c r="B5" t="s">
        <v>81</v>
      </c>
      <c r="C5" s="3">
        <f>$J$6*(D5/$K$6)</f>
        <v>0</v>
      </c>
      <c r="D5" s="2">
        <v>0</v>
      </c>
      <c r="E5" s="2"/>
      <c r="F5" s="2">
        <f>Table262021[[#This Row],[TWh '[2020']]]*1000</f>
        <v>0</v>
      </c>
      <c r="G5" s="3">
        <f>(Table262021[[#This Row],[Mrd m3 '[2035'] SP]])*9.77</f>
        <v>0</v>
      </c>
      <c r="H5" s="2"/>
      <c r="I5" t="s">
        <v>294</v>
      </c>
      <c r="J5">
        <v>9</v>
      </c>
      <c r="K5" s="2">
        <f>D4+D6+D8+D9+D10+D11+D12+D13+D14+D15+D16+D17+D18+D19+D20+D22+D23+D25+D28+D29+D30+D34+D35+D42</f>
        <v>349947.10624750337</v>
      </c>
      <c r="M5" t="str">
        <f t="shared" si="0"/>
        <v>BY_Prod</v>
      </c>
      <c r="N5" t="str">
        <f>Table262021[[#This Row],[Country]]</f>
        <v>BY</v>
      </c>
    </row>
    <row r="6" spans="1:14">
      <c r="A6" t="s">
        <v>17</v>
      </c>
      <c r="B6" t="s">
        <v>0</v>
      </c>
      <c r="C6" s="3">
        <f>$J$5*(D6/$K$5)</f>
        <v>3.7689981613025832E-3</v>
      </c>
      <c r="D6" s="2">
        <v>146.54999999999998</v>
      </c>
      <c r="E6" s="2"/>
      <c r="F6" s="2">
        <f>Table262021[[#This Row],[TWh '[2020']]]*1000</f>
        <v>36.823112035926236</v>
      </c>
      <c r="G6" s="3">
        <f>(Table262021[[#This Row],[Mrd m3 '[2035'] SP]])*9.77</f>
        <v>3.6823112035926239E-2</v>
      </c>
      <c r="H6" s="2"/>
      <c r="I6" t="s">
        <v>307</v>
      </c>
      <c r="J6">
        <f>127-J5</f>
        <v>118</v>
      </c>
      <c r="K6" s="2">
        <f>D2+D5+D7+D24+D26+D27+D32+D33+D36+D38+D39+D40</f>
        <v>1687787.6041103853</v>
      </c>
      <c r="M6" t="str">
        <f t="shared" si="0"/>
        <v>BE_Prod</v>
      </c>
      <c r="N6" t="str">
        <f>Table262021[[#This Row],[Country]]</f>
        <v>BE</v>
      </c>
    </row>
    <row r="7" spans="1:14">
      <c r="A7" t="s">
        <v>44</v>
      </c>
      <c r="B7" t="s">
        <v>75</v>
      </c>
      <c r="C7" s="3">
        <f>$J$6*(D7/$K$6)</f>
        <v>0</v>
      </c>
      <c r="D7" s="2">
        <v>0</v>
      </c>
      <c r="E7" s="2"/>
      <c r="F7" s="2">
        <f>Table262021[[#This Row],[TWh '[2020']]]*1000</f>
        <v>0</v>
      </c>
      <c r="G7" s="3">
        <f>(Table262021[[#This Row],[Mrd m3 '[2035'] SP]])*9.77</f>
        <v>0</v>
      </c>
      <c r="H7" s="2"/>
      <c r="M7" t="str">
        <f t="shared" si="0"/>
        <v>BA_Prod</v>
      </c>
      <c r="N7" t="str">
        <f>Table262021[[#This Row],[Country]]</f>
        <v>BA</v>
      </c>
    </row>
    <row r="8" spans="1:14">
      <c r="A8" t="s">
        <v>32</v>
      </c>
      <c r="B8" t="s">
        <v>64</v>
      </c>
      <c r="C8" s="3">
        <f t="shared" ref="C8:C20" si="1">$J$5*(D8/$K$5)</f>
        <v>2.0453096688668689E-3</v>
      </c>
      <c r="D8" s="2">
        <v>79.527800000000013</v>
      </c>
      <c r="E8" s="2"/>
      <c r="F8" s="2">
        <f>Table262021[[#This Row],[TWh '[2020']]]*1000</f>
        <v>19.98267546482931</v>
      </c>
      <c r="G8" s="3">
        <f>(Table262021[[#This Row],[Mrd m3 '[2035'] SP]])*9.77</f>
        <v>1.9982675464829309E-2</v>
      </c>
      <c r="H8" s="2"/>
      <c r="K8" s="2"/>
      <c r="M8" t="str">
        <f t="shared" si="0"/>
        <v>BG_Prod</v>
      </c>
      <c r="N8" t="str">
        <f>Table262021[[#This Row],[Country]]</f>
        <v>BG</v>
      </c>
    </row>
    <row r="9" spans="1:14">
      <c r="A9" t="s">
        <v>24</v>
      </c>
      <c r="B9" t="s">
        <v>5</v>
      </c>
      <c r="C9" s="3">
        <f t="shared" si="1"/>
        <v>0.18948010089588521</v>
      </c>
      <c r="D9" s="2">
        <v>7367.5569999999998</v>
      </c>
      <c r="E9" s="2"/>
      <c r="F9" s="2">
        <f>Table262021[[#This Row],[TWh '[2020']]]*1000</f>
        <v>1851.2205857527983</v>
      </c>
      <c r="G9" s="3">
        <f>(Table262021[[#This Row],[Mrd m3 '[2035'] SP]])*9.77</f>
        <v>1.8512205857527984</v>
      </c>
      <c r="H9" s="2"/>
      <c r="K9" s="2"/>
      <c r="M9" t="str">
        <f t="shared" si="0"/>
        <v>HR_Prod</v>
      </c>
      <c r="N9" t="str">
        <f>Table262021[[#This Row],[Country]]</f>
        <v>HR</v>
      </c>
    </row>
    <row r="10" spans="1:14">
      <c r="A10" t="s">
        <v>28</v>
      </c>
      <c r="B10" t="s">
        <v>61</v>
      </c>
      <c r="C10" s="3">
        <f t="shared" si="1"/>
        <v>4.6853421209328769E-2</v>
      </c>
      <c r="D10" s="2">
        <v>1821.8021300000003</v>
      </c>
      <c r="E10" s="2"/>
      <c r="F10" s="2">
        <f>Table262021[[#This Row],[TWh '[2020']]]*1000</f>
        <v>457.75792521514205</v>
      </c>
      <c r="G10" s="3">
        <f>(Table262021[[#This Row],[Mrd m3 '[2035'] SP]])*9.77</f>
        <v>0.45775792521514203</v>
      </c>
      <c r="H10" s="2"/>
      <c r="M10" t="str">
        <f t="shared" si="0"/>
        <v>CZ_Prod</v>
      </c>
      <c r="N10" t="str">
        <f>Table262021[[#This Row],[Country]]</f>
        <v>CZ</v>
      </c>
    </row>
    <row r="11" spans="1:14">
      <c r="A11" t="s">
        <v>26</v>
      </c>
      <c r="B11" t="s">
        <v>60</v>
      </c>
      <c r="C11" s="3">
        <f t="shared" si="1"/>
        <v>0.45264914117611765</v>
      </c>
      <c r="D11" s="2">
        <v>17600.3619</v>
      </c>
      <c r="E11" s="2"/>
      <c r="F11" s="2">
        <f>Table262021[[#This Row],[TWh '[2020']]]*1000</f>
        <v>4422.3821092906701</v>
      </c>
      <c r="G11" s="3">
        <f>(Table262021[[#This Row],[Mrd m3 '[2035'] SP]])*9.77</f>
        <v>4.4223821092906697</v>
      </c>
      <c r="H11" s="2"/>
      <c r="M11" t="str">
        <f t="shared" si="0"/>
        <v>DK_Prod</v>
      </c>
      <c r="N11" t="str">
        <f>Table262021[[#This Row],[Country]]</f>
        <v>DK</v>
      </c>
    </row>
    <row r="12" spans="1:14">
      <c r="A12" t="s">
        <v>53</v>
      </c>
      <c r="B12" t="s">
        <v>66</v>
      </c>
      <c r="C12" s="3">
        <f t="shared" si="1"/>
        <v>0</v>
      </c>
      <c r="D12" s="2">
        <v>0</v>
      </c>
      <c r="E12" s="2"/>
      <c r="F12" s="2">
        <f>Table262021[[#This Row],[TWh '[2020']]]*1000</f>
        <v>0</v>
      </c>
      <c r="G12" s="3">
        <f>(Table262021[[#This Row],[Mrd m3 '[2035'] SP]])*9.77</f>
        <v>0</v>
      </c>
      <c r="H12" s="2"/>
      <c r="M12" t="str">
        <f t="shared" si="0"/>
        <v>EE_Prod</v>
      </c>
      <c r="N12" t="str">
        <f>Table262021[[#This Row],[Country]]</f>
        <v>EE</v>
      </c>
    </row>
    <row r="13" spans="1:14">
      <c r="A13" t="s">
        <v>54</v>
      </c>
      <c r="B13" t="s">
        <v>85</v>
      </c>
      <c r="C13" s="3">
        <f t="shared" si="1"/>
        <v>0</v>
      </c>
      <c r="D13" s="2">
        <v>0</v>
      </c>
      <c r="E13" s="2"/>
      <c r="F13" s="2">
        <f>Table262021[[#This Row],[TWh '[2020']]]*1000</f>
        <v>0</v>
      </c>
      <c r="G13" s="3">
        <f>(Table262021[[#This Row],[Mrd m3 '[2035'] SP]])*9.77</f>
        <v>0</v>
      </c>
      <c r="H13" s="2"/>
      <c r="M13" t="str">
        <f t="shared" si="0"/>
        <v>FI_Prod</v>
      </c>
      <c r="N13" t="str">
        <f>Table262021[[#This Row],[Country]]</f>
        <v>FI</v>
      </c>
    </row>
    <row r="14" spans="1:14">
      <c r="A14" t="s">
        <v>25</v>
      </c>
      <c r="B14" t="s">
        <v>2</v>
      </c>
      <c r="C14" s="3">
        <f t="shared" si="1"/>
        <v>3.1096747496187176E-3</v>
      </c>
      <c r="D14" s="2">
        <v>120.91351999999998</v>
      </c>
      <c r="E14" s="2"/>
      <c r="F14" s="2">
        <f>Table262021[[#This Row],[TWh '[2020']]]*1000</f>
        <v>30.381522303774872</v>
      </c>
      <c r="G14" s="3">
        <f>(Table262021[[#This Row],[Mrd m3 '[2035'] SP]])*9.77</f>
        <v>3.0381522303774871E-2</v>
      </c>
      <c r="H14" s="2"/>
      <c r="M14" t="str">
        <f t="shared" si="0"/>
        <v>FR_Prod</v>
      </c>
      <c r="N14" t="str">
        <f>Table262021[[#This Row],[Country]]</f>
        <v>FR</v>
      </c>
    </row>
    <row r="15" spans="1:14">
      <c r="A15" t="s">
        <v>19</v>
      </c>
      <c r="B15" t="s">
        <v>56</v>
      </c>
      <c r="C15" s="3">
        <f t="shared" si="1"/>
        <v>0.97315532524832693</v>
      </c>
      <c r="D15" s="2">
        <v>37839.21</v>
      </c>
      <c r="E15" s="2"/>
      <c r="F15" s="2">
        <f>Table262021[[#This Row],[TWh '[2020']]]*1000</f>
        <v>9507.7275276761538</v>
      </c>
      <c r="G15" s="3">
        <f>(Table262021[[#This Row],[Mrd m3 '[2035'] SP]])*9.77</f>
        <v>9.5077275276761544</v>
      </c>
      <c r="H15" s="2"/>
      <c r="M15" t="str">
        <f t="shared" si="0"/>
        <v>DE_Prod</v>
      </c>
      <c r="N15" t="str">
        <f>Table262021[[#This Row],[Country]]</f>
        <v>DE</v>
      </c>
    </row>
    <row r="16" spans="1:14">
      <c r="A16" t="s">
        <v>264</v>
      </c>
      <c r="B16" t="s">
        <v>3</v>
      </c>
      <c r="C16" s="3">
        <f t="shared" si="1"/>
        <v>5.0027168927689624E-4</v>
      </c>
      <c r="D16" s="2">
        <v>19.452070000000003</v>
      </c>
      <c r="E16" s="2"/>
      <c r="F16" s="2">
        <f>Table262021[[#This Row],[TWh '[2020']]]*1000</f>
        <v>4.8876544042352759</v>
      </c>
      <c r="G16" s="3">
        <f>(Table262021[[#This Row],[Mrd m3 '[2035'] SP]])*9.77</f>
        <v>4.8876544042352763E-3</v>
      </c>
      <c r="H16" s="2"/>
      <c r="M16" t="str">
        <f t="shared" si="0"/>
        <v>EL_Prod</v>
      </c>
      <c r="N16" t="str">
        <f>Table262021[[#This Row],[Country]]</f>
        <v>EL</v>
      </c>
    </row>
    <row r="17" spans="1:14">
      <c r="A17" t="s">
        <v>30</v>
      </c>
      <c r="B17" t="s">
        <v>63</v>
      </c>
      <c r="C17" s="3">
        <f t="shared" si="1"/>
        <v>0.43313326869689284</v>
      </c>
      <c r="D17" s="2">
        <v>16841.525999999998</v>
      </c>
      <c r="E17" s="2"/>
      <c r="F17" s="2">
        <f>Table262021[[#This Row],[TWh '[2020']]]*1000</f>
        <v>4231.7120351686426</v>
      </c>
      <c r="G17" s="3">
        <f>(Table262021[[#This Row],[Mrd m3 '[2035'] SP]])*9.77</f>
        <v>4.231712035168643</v>
      </c>
      <c r="H17" s="2"/>
      <c r="M17" t="str">
        <f t="shared" si="0"/>
        <v>HU_Prod</v>
      </c>
      <c r="N17" t="str">
        <f>Table262021[[#This Row],[Country]]</f>
        <v>HU</v>
      </c>
    </row>
    <row r="18" spans="1:14">
      <c r="A18" t="s">
        <v>43</v>
      </c>
      <c r="B18" t="s">
        <v>135</v>
      </c>
      <c r="C18" s="3">
        <f t="shared" si="1"/>
        <v>0.27156511185089416</v>
      </c>
      <c r="D18" s="2">
        <v>10559.26945</v>
      </c>
      <c r="E18" s="2"/>
      <c r="F18" s="2">
        <f>Table262021[[#This Row],[TWh '[2020']]]*1000</f>
        <v>2653.191142783236</v>
      </c>
      <c r="G18" s="3">
        <f>(Table262021[[#This Row],[Mrd m3 '[2035'] SP]])*9.77</f>
        <v>2.653191142783236</v>
      </c>
      <c r="H18" s="2"/>
      <c r="M18" t="str">
        <f t="shared" si="0"/>
        <v>IE_Prod</v>
      </c>
      <c r="N18" t="str">
        <f>Table262021[[#This Row],[Country]]</f>
        <v>IE</v>
      </c>
    </row>
    <row r="19" spans="1:14">
      <c r="A19" t="s">
        <v>21</v>
      </c>
      <c r="B19" t="s">
        <v>4</v>
      </c>
      <c r="C19" s="3">
        <f t="shared" si="1"/>
        <v>0.73878494865206357</v>
      </c>
      <c r="D19" s="2">
        <v>28726.18388</v>
      </c>
      <c r="E19" s="2"/>
      <c r="F19" s="2">
        <f>Table262021[[#This Row],[TWh '[2020']]]*1000</f>
        <v>7217.9289483306611</v>
      </c>
      <c r="G19" s="3">
        <f>(Table262021[[#This Row],[Mrd m3 '[2035'] SP]])*9.77</f>
        <v>7.2179289483306608</v>
      </c>
      <c r="H19" s="2"/>
      <c r="M19" t="str">
        <f t="shared" si="0"/>
        <v>IT_Prod</v>
      </c>
      <c r="N19" t="str">
        <f>Table262021[[#This Row],[Country]]</f>
        <v>IT</v>
      </c>
    </row>
    <row r="20" spans="1:14">
      <c r="A20" t="s">
        <v>35</v>
      </c>
      <c r="B20" t="s">
        <v>65</v>
      </c>
      <c r="C20" s="3">
        <f t="shared" si="1"/>
        <v>0</v>
      </c>
      <c r="D20" s="2">
        <v>0</v>
      </c>
      <c r="E20" s="2"/>
      <c r="F20" s="2">
        <f>Table262021[[#This Row],[TWh '[2020']]]*1000</f>
        <v>0</v>
      </c>
      <c r="G20" s="3">
        <f>(Table262021[[#This Row],[Mrd m3 '[2035'] SP]])*9.77</f>
        <v>0</v>
      </c>
      <c r="H20" s="2"/>
      <c r="M20" t="str">
        <f t="shared" si="0"/>
        <v>LV_Prod</v>
      </c>
      <c r="N20" t="str">
        <f>Table262021[[#This Row],[Country]]</f>
        <v>LV</v>
      </c>
    </row>
    <row r="21" spans="1:14">
      <c r="A21" t="s">
        <v>51</v>
      </c>
      <c r="B21" t="s">
        <v>80</v>
      </c>
      <c r="C21" s="2">
        <f>298*(16.3076760417167/nodes_gas_prod_world_2035!$E$8)</f>
        <v>19.159056940233871</v>
      </c>
      <c r="D21" s="2">
        <v>159325.99492757182</v>
      </c>
      <c r="E21" s="2"/>
      <c r="F21" s="2">
        <f>Table262021[[#This Row],[TWh '[2020']]]*1000</f>
        <v>187183.9863060849</v>
      </c>
      <c r="G21" s="3">
        <f>(Table262021[[#This Row],[Mrd m3 '[2035'] SP]])*9.77</f>
        <v>187.1839863060849</v>
      </c>
      <c r="H21" s="2"/>
      <c r="M21" t="str">
        <f t="shared" si="0"/>
        <v>LY_Prod</v>
      </c>
      <c r="N21" t="str">
        <f>Table262021[[#This Row],[Country]]</f>
        <v>LY</v>
      </c>
    </row>
    <row r="22" spans="1:14">
      <c r="A22" t="s">
        <v>34</v>
      </c>
      <c r="B22" t="s">
        <v>6</v>
      </c>
      <c r="C22" s="3">
        <f>$J$5*(D22/$K$5)</f>
        <v>0</v>
      </c>
      <c r="D22" s="2">
        <v>0</v>
      </c>
      <c r="E22" s="2"/>
      <c r="F22" s="2">
        <f>Table262021[[#This Row],[TWh '[2020']]]*1000</f>
        <v>0</v>
      </c>
      <c r="G22" s="3">
        <f>(Table262021[[#This Row],[Mrd m3 '[2035'] SP]])*9.77</f>
        <v>0</v>
      </c>
      <c r="H22" s="2"/>
      <c r="M22" t="str">
        <f t="shared" si="0"/>
        <v>LT_Prod</v>
      </c>
      <c r="N22" t="str">
        <f>Table262021[[#This Row],[Country]]</f>
        <v>LT</v>
      </c>
    </row>
    <row r="23" spans="1:14">
      <c r="A23" t="s">
        <v>42</v>
      </c>
      <c r="B23" t="s">
        <v>70</v>
      </c>
      <c r="C23" s="3">
        <f>$J$5*(D23/$K$5)</f>
        <v>0</v>
      </c>
      <c r="D23" s="2">
        <v>0</v>
      </c>
      <c r="E23" s="2"/>
      <c r="F23" s="2">
        <f>Table262021[[#This Row],[TWh '[2020']]]*1000</f>
        <v>0</v>
      </c>
      <c r="G23" s="3">
        <f>(Table262021[[#This Row],[Mrd m3 '[2035'] SP]])*9.77</f>
        <v>0</v>
      </c>
      <c r="H23" s="2"/>
      <c r="M23" t="str">
        <f t="shared" si="0"/>
        <v>LU_Prod</v>
      </c>
      <c r="N23" t="str">
        <f>Table262021[[#This Row],[Country]]</f>
        <v>LU</v>
      </c>
    </row>
    <row r="24" spans="1:14">
      <c r="A24" t="s">
        <v>39</v>
      </c>
      <c r="B24" t="s">
        <v>68</v>
      </c>
      <c r="C24" s="3">
        <f>$J$6*(D24/$K$6)</f>
        <v>0</v>
      </c>
      <c r="D24" s="2">
        <v>0</v>
      </c>
      <c r="E24" s="2"/>
      <c r="F24" s="2">
        <f>Table262021[[#This Row],[TWh '[2020']]]*1000</f>
        <v>0</v>
      </c>
      <c r="G24" s="3">
        <f>(Table262021[[#This Row],[Mrd m3 '[2035'] SP]])*9.77</f>
        <v>0</v>
      </c>
      <c r="H24" s="2"/>
      <c r="M24" t="str">
        <f t="shared" si="0"/>
        <v>MD_Prod</v>
      </c>
      <c r="N24" t="str">
        <f>Table262021[[#This Row],[Country]]</f>
        <v>MD</v>
      </c>
    </row>
    <row r="25" spans="1:14">
      <c r="A25" t="s">
        <v>18</v>
      </c>
      <c r="B25" t="s">
        <v>7</v>
      </c>
      <c r="C25" s="3">
        <f>$J$5*(D25/$K$5)</f>
        <v>2.4721544897649008</v>
      </c>
      <c r="D25" s="2">
        <v>96124.812210000018</v>
      </c>
      <c r="E25" s="2"/>
      <c r="F25" s="2">
        <f>Table262021[[#This Row],[TWh '[2020']]]*1000</f>
        <v>24152.949365003082</v>
      </c>
      <c r="G25" s="3">
        <f>(Table262021[[#This Row],[Mrd m3 '[2035'] SP]])*9.77</f>
        <v>24.152949365003082</v>
      </c>
      <c r="H25" s="2"/>
      <c r="M25" t="str">
        <f t="shared" si="0"/>
        <v>NL_Prod</v>
      </c>
      <c r="N25" t="str">
        <f>Table262021[[#This Row],[Country]]</f>
        <v>NL</v>
      </c>
    </row>
    <row r="26" spans="1:14">
      <c r="A26" t="s">
        <v>45</v>
      </c>
      <c r="B26" t="s">
        <v>76</v>
      </c>
      <c r="C26" s="3">
        <f>$J$6*(D26/$K$6)</f>
        <v>0</v>
      </c>
      <c r="D26" s="2">
        <v>0</v>
      </c>
      <c r="E26" s="2"/>
      <c r="F26" s="2">
        <f>Table262021[[#This Row],[TWh '[2020']]]*1000</f>
        <v>0</v>
      </c>
      <c r="G26" s="3">
        <f>(Table262021[[#This Row],[Mrd m3 '[2035'] SP]])*9.77</f>
        <v>0</v>
      </c>
      <c r="H26" s="2"/>
      <c r="M26" t="str">
        <f t="shared" si="0"/>
        <v>MK_Prod</v>
      </c>
      <c r="N26" t="str">
        <f>Table262021[[#This Row],[Country]]</f>
        <v>MK</v>
      </c>
    </row>
    <row r="27" spans="1:14">
      <c r="A27" t="s">
        <v>48</v>
      </c>
      <c r="B27" t="s">
        <v>71</v>
      </c>
      <c r="C27" s="3">
        <f>$J$6*(D27/$K$6)</f>
        <v>80.582558449341988</v>
      </c>
      <c r="D27" s="2">
        <v>1152595.2818499999</v>
      </c>
      <c r="E27" s="2"/>
      <c r="F27" s="2">
        <f>Table262021[[#This Row],[TWh '[2020']]]*1000</f>
        <v>787291.59605007118</v>
      </c>
      <c r="G27" s="3">
        <f>(Table262021[[#This Row],[Mrd m3 '[2035'] SP]])*9.77</f>
        <v>787.29159605007123</v>
      </c>
      <c r="H27" s="2"/>
      <c r="M27" t="str">
        <f t="shared" si="0"/>
        <v>NO_Prod</v>
      </c>
      <c r="N27" t="str">
        <f>Table262021[[#This Row],[Country]]</f>
        <v>NO</v>
      </c>
    </row>
    <row r="28" spans="1:14">
      <c r="A28" t="s">
        <v>27</v>
      </c>
      <c r="B28" t="s">
        <v>8</v>
      </c>
      <c r="C28" s="3">
        <f>$J$5*(D28/$K$5)</f>
        <v>0.90380901930886137</v>
      </c>
      <c r="D28" s="2">
        <v>35142.816767503326</v>
      </c>
      <c r="E28" s="2"/>
      <c r="F28" s="2">
        <f>Table262021[[#This Row],[TWh '[2020']]]*1000</f>
        <v>8830.2141186475747</v>
      </c>
      <c r="G28" s="3">
        <f>(Table262021[[#This Row],[Mrd m3 '[2035'] SP]])*9.77</f>
        <v>8.8302141186475751</v>
      </c>
      <c r="H28" s="2"/>
      <c r="M28" t="str">
        <f t="shared" si="0"/>
        <v>PL_Prod</v>
      </c>
      <c r="N28" t="str">
        <f>Table262021[[#This Row],[Country]]</f>
        <v>PL</v>
      </c>
    </row>
    <row r="29" spans="1:14">
      <c r="A29" t="s">
        <v>37</v>
      </c>
      <c r="B29" t="s">
        <v>1</v>
      </c>
      <c r="C29" s="3">
        <f>$J$5*(D29/$K$5)</f>
        <v>0</v>
      </c>
      <c r="D29" s="2">
        <v>0</v>
      </c>
      <c r="E29" s="2"/>
      <c r="F29" s="2">
        <f>Table262021[[#This Row],[TWh '[2020']]]*1000</f>
        <v>0</v>
      </c>
      <c r="G29" s="3">
        <f>(Table262021[[#This Row],[Mrd m3 '[2035'] SP]])*9.77</f>
        <v>0</v>
      </c>
      <c r="H29" s="2"/>
      <c r="M29" t="str">
        <f t="shared" si="0"/>
        <v>PT_Prod</v>
      </c>
      <c r="N29" t="str">
        <f>Table262021[[#This Row],[Country]]</f>
        <v>PT</v>
      </c>
    </row>
    <row r="30" spans="1:14">
      <c r="A30" t="s">
        <v>33</v>
      </c>
      <c r="B30" t="s">
        <v>86</v>
      </c>
      <c r="C30" s="3">
        <f>$J$5*(D30/$K$5)</f>
        <v>2.3548700511818539</v>
      </c>
      <c r="D30" s="2">
        <v>91564.439999999988</v>
      </c>
      <c r="E30" s="2"/>
      <c r="F30" s="2">
        <f>Table262021[[#This Row],[TWh '[2020']]]*1000</f>
        <v>23007.080400046711</v>
      </c>
      <c r="G30" s="3">
        <f>(Table262021[[#This Row],[Mrd m3 '[2035'] SP]])*9.77</f>
        <v>23.007080400046711</v>
      </c>
      <c r="H30" s="2"/>
      <c r="M30" t="str">
        <f t="shared" si="0"/>
        <v>RO_Prod</v>
      </c>
      <c r="N30" t="str">
        <f>Table262021[[#This Row],[Country]]</f>
        <v>RO</v>
      </c>
    </row>
    <row r="31" spans="1:14">
      <c r="A31" t="s">
        <v>40</v>
      </c>
      <c r="B31" t="s">
        <v>69</v>
      </c>
      <c r="C31" s="2">
        <f>896*(586.382199872419/nodes_gas_prod_world_2035!$E$15)</f>
        <v>679.20156785433676</v>
      </c>
      <c r="D31" s="2">
        <v>5728954.0927535305</v>
      </c>
      <c r="E31" s="2"/>
      <c r="F31" s="2">
        <f>Table262021[[#This Row],[TWh '[2020']]]*1000</f>
        <v>6635799.3179368693</v>
      </c>
      <c r="G31" s="3">
        <f>(Table262021[[#This Row],[Mrd m3 '[2035'] SP]])*9.77</f>
        <v>6635.7993179368696</v>
      </c>
      <c r="H31" s="2"/>
      <c r="M31" t="str">
        <f t="shared" si="0"/>
        <v>RU_Prod</v>
      </c>
      <c r="N31" t="str">
        <f>Table262021[[#This Row],[Country]]</f>
        <v>RU</v>
      </c>
    </row>
    <row r="32" spans="1:14">
      <c r="A32" t="s">
        <v>47</v>
      </c>
      <c r="B32" t="s">
        <v>77</v>
      </c>
      <c r="C32" s="3">
        <f>$J$6*(D32/$K$6)</f>
        <v>0</v>
      </c>
      <c r="D32" s="2">
        <v>0</v>
      </c>
      <c r="E32" s="2"/>
      <c r="F32" s="2">
        <f>Table262021[[#This Row],[TWh '[2020']]]*1000</f>
        <v>0</v>
      </c>
      <c r="G32" s="3">
        <f>(Table262021[[#This Row],[Mrd m3 '[2035'] SP]])*9.77</f>
        <v>0</v>
      </c>
      <c r="H32" s="2"/>
      <c r="M32" t="str">
        <f t="shared" si="0"/>
        <v>SM_Prod</v>
      </c>
      <c r="N32" t="str">
        <f>Table262021[[#This Row],[Country]]</f>
        <v>SM</v>
      </c>
    </row>
    <row r="33" spans="1:14">
      <c r="A33" t="s">
        <v>31</v>
      </c>
      <c r="B33" t="s">
        <v>72</v>
      </c>
      <c r="C33" s="3">
        <f>$J$6*(D33/$K$6)</f>
        <v>0.20150266489204352</v>
      </c>
      <c r="D33" s="2">
        <v>2882.1499999999996</v>
      </c>
      <c r="E33" s="2"/>
      <c r="F33" s="2">
        <f>Table262021[[#This Row],[TWh '[2020']]]*1000</f>
        <v>1968.6810359952651</v>
      </c>
      <c r="G33" s="3">
        <f>(Table262021[[#This Row],[Mrd m3 '[2035'] SP]])*9.77</f>
        <v>1.9686810359952651</v>
      </c>
      <c r="H33" s="2"/>
      <c r="M33" t="str">
        <f t="shared" si="0"/>
        <v>RS_Prod</v>
      </c>
      <c r="N33" t="str">
        <f>Table262021[[#This Row],[Country]]</f>
        <v>RS</v>
      </c>
    </row>
    <row r="34" spans="1:14">
      <c r="A34" t="s">
        <v>29</v>
      </c>
      <c r="B34" t="s">
        <v>62</v>
      </c>
      <c r="C34" s="3">
        <f>$J$5*(D34/$K$5)</f>
        <v>1.0059958625604768E-2</v>
      </c>
      <c r="D34" s="2">
        <v>391.16148999999996</v>
      </c>
      <c r="E34" s="2"/>
      <c r="F34" s="2">
        <f>Table262021[[#This Row],[TWh '[2020']]]*1000</f>
        <v>98.285795772158579</v>
      </c>
      <c r="G34" s="3">
        <f>(Table262021[[#This Row],[Mrd m3 '[2035'] SP]])*9.77</f>
        <v>9.8285795772158582E-2</v>
      </c>
      <c r="H34" s="2"/>
      <c r="M34" t="str">
        <f t="shared" si="0"/>
        <v>SK_Prod</v>
      </c>
      <c r="N34" t="str">
        <f>Table262021[[#This Row],[Country]]</f>
        <v>SK</v>
      </c>
    </row>
    <row r="35" spans="1:14">
      <c r="A35" t="s">
        <v>23</v>
      </c>
      <c r="B35" t="s">
        <v>59</v>
      </c>
      <c r="C35" s="3">
        <f>$J$5*(D35/$K$5)</f>
        <v>9.5531540061816146E-4</v>
      </c>
      <c r="D35" s="2">
        <v>37.145539999999997</v>
      </c>
      <c r="E35" s="2"/>
      <c r="F35" s="2">
        <f>Table262021[[#This Row],[TWh '[2020']]]*1000</f>
        <v>9.3334314640394371</v>
      </c>
      <c r="G35" s="3">
        <f>(Table262021[[#This Row],[Mrd m3 '[2035'] SP]])*9.77</f>
        <v>9.3334314640394368E-3</v>
      </c>
      <c r="H35" s="2"/>
      <c r="M35" t="str">
        <f t="shared" si="0"/>
        <v>SI_Prod</v>
      </c>
      <c r="N35" t="str">
        <f>Table262021[[#This Row],[Country]]</f>
        <v>SI</v>
      </c>
    </row>
    <row r="36" spans="1:14">
      <c r="A36" t="s">
        <v>22</v>
      </c>
      <c r="B36" t="s">
        <v>58</v>
      </c>
      <c r="C36" s="3">
        <f>$J$6*(D36/$K$6)</f>
        <v>0</v>
      </c>
      <c r="D36" s="2">
        <v>0</v>
      </c>
      <c r="E36" s="2"/>
      <c r="F36" s="2">
        <f>Table262021[[#This Row],[TWh '[2020']]]*1000</f>
        <v>0</v>
      </c>
      <c r="G36" s="3">
        <f>(Table262021[[#This Row],[Mrd m3 '[2035'] SP]])*9.77</f>
        <v>0</v>
      </c>
      <c r="H36" s="2"/>
      <c r="M36" t="str">
        <f t="shared" si="0"/>
        <v>CH_Prod</v>
      </c>
      <c r="N36" t="str">
        <f>Table262021[[#This Row],[Country]]</f>
        <v>CH</v>
      </c>
    </row>
    <row r="37" spans="1:14">
      <c r="A37" t="s">
        <v>50</v>
      </c>
      <c r="B37" t="s">
        <v>79</v>
      </c>
      <c r="C37" s="2">
        <f>298*(1.8432/nodes_gas_prod_world_2035!$E$8)</f>
        <v>2.1654816824851268</v>
      </c>
      <c r="D37" s="2">
        <v>18008.063999999998</v>
      </c>
      <c r="E37" s="2"/>
      <c r="F37" s="2">
        <f>Table262021[[#This Row],[TWh '[2020']]]*1000</f>
        <v>21156.756037879688</v>
      </c>
      <c r="G37" s="3">
        <f>(Table262021[[#This Row],[Mrd m3 '[2035'] SP]])*9.77</f>
        <v>21.156756037879688</v>
      </c>
      <c r="H37" s="2"/>
      <c r="M37" t="str">
        <f t="shared" si="0"/>
        <v>TN_Prod</v>
      </c>
      <c r="N37" t="str">
        <f>Table262021[[#This Row],[Country]]</f>
        <v>TN</v>
      </c>
    </row>
    <row r="38" spans="1:14">
      <c r="A38" t="s">
        <v>46</v>
      </c>
      <c r="B38" t="s">
        <v>10</v>
      </c>
      <c r="C38" s="3">
        <f>$J$6*(D38/$K$6)</f>
        <v>1.5431074077432694</v>
      </c>
      <c r="D38" s="2">
        <v>22071.504700000001</v>
      </c>
      <c r="E38" s="2"/>
      <c r="F38" s="2">
        <f>Table262021[[#This Row],[TWh '[2020']]]*1000</f>
        <v>15076.159373651741</v>
      </c>
      <c r="G38" s="3">
        <f>(Table262021[[#This Row],[Mrd m3 '[2035'] SP]])*9.77</f>
        <v>15.076159373651741</v>
      </c>
      <c r="H38" s="2"/>
      <c r="M38" t="str">
        <f t="shared" si="0"/>
        <v>TR_Prod</v>
      </c>
      <c r="N38" t="str">
        <f>Table262021[[#This Row],[Country]]</f>
        <v>TR</v>
      </c>
    </row>
    <row r="39" spans="1:14">
      <c r="A39" t="s">
        <v>11</v>
      </c>
      <c r="B39" t="s">
        <v>11</v>
      </c>
      <c r="C39" s="3">
        <f>$J$6*(D39/$K$6)</f>
        <v>23.547263851091024</v>
      </c>
      <c r="D39" s="2">
        <v>336803.22066600004</v>
      </c>
      <c r="E39" s="2"/>
      <c r="F39" s="2">
        <f>Table262021[[#This Row],[TWh '[2020']]]*1000</f>
        <v>230056.7678251593</v>
      </c>
      <c r="G39" s="3">
        <f>(Table262021[[#This Row],[Mrd m3 '[2035'] SP]])*9.77</f>
        <v>230.05676782515931</v>
      </c>
      <c r="H39" s="2"/>
      <c r="M39" t="str">
        <f t="shared" si="0"/>
        <v>UK_Prod</v>
      </c>
      <c r="N39" t="str">
        <f>Table262021[[#This Row],[Country]]</f>
        <v>UK</v>
      </c>
    </row>
    <row r="40" spans="1:14">
      <c r="A40" t="s">
        <v>38</v>
      </c>
      <c r="B40" t="s">
        <v>67</v>
      </c>
      <c r="C40" s="3">
        <f>$J$6*(D40/$K$6)</f>
        <v>12.088715863292396</v>
      </c>
      <c r="D40" s="2">
        <v>172908.34562438543</v>
      </c>
      <c r="E40" s="2"/>
      <c r="F40" s="2">
        <f>Table262021[[#This Row],[TWh '[2020']]]*1000</f>
        <v>118106.7539843667</v>
      </c>
      <c r="G40" s="3">
        <f>(Table262021[[#This Row],[Mrd m3 '[2035'] SP]])*9.77</f>
        <v>118.1067539843667</v>
      </c>
      <c r="H40" s="2"/>
      <c r="M40" t="str">
        <f t="shared" si="0"/>
        <v>UA_Prod</v>
      </c>
      <c r="N40" t="str">
        <f>Table262021[[#This Row],[Country]]</f>
        <v>UA</v>
      </c>
    </row>
    <row r="41" spans="1:14">
      <c r="A41" t="s">
        <v>87</v>
      </c>
      <c r="B41" t="s">
        <v>88</v>
      </c>
      <c r="C41" s="2"/>
      <c r="D41" s="2"/>
      <c r="E41" s="2"/>
      <c r="F41" s="2">
        <f>Table262021[[#This Row],[TWh '[2020']]]*1000</f>
        <v>0</v>
      </c>
      <c r="G41" s="3">
        <f>(Table262021[[#This Row],[Mrd m3 '[2035'] SP]])*9.77</f>
        <v>0</v>
      </c>
      <c r="H41" s="2"/>
      <c r="M41" t="str">
        <f t="shared" si="0"/>
        <v>OE_Prod</v>
      </c>
      <c r="N41" t="str">
        <f>Table262021[[#This Row],[Country]]</f>
        <v>OE</v>
      </c>
    </row>
    <row r="42" spans="1:14">
      <c r="A42" t="s">
        <v>36</v>
      </c>
      <c r="B42" t="s">
        <v>9</v>
      </c>
      <c r="C42" s="3">
        <f>$J$5*(D42/$K$5)</f>
        <v>5.3934363688239971E-3</v>
      </c>
      <c r="D42" s="2">
        <v>209.71305000000001</v>
      </c>
      <c r="E42" s="2"/>
      <c r="F42" s="2">
        <f>Table262021[[#This Row],[TWh '[2020']]]*1000</f>
        <v>52.693873323410443</v>
      </c>
      <c r="G42" s="3">
        <f>(Table262021[[#This Row],[Mrd m3 '[2035'] SP]])*9.77</f>
        <v>5.2693873323410446E-2</v>
      </c>
      <c r="M42" t="str">
        <f t="shared" si="0"/>
        <v>ES_Prod</v>
      </c>
      <c r="N42" t="str">
        <f>Table262021[[#This Row],[Country]]</f>
        <v>ES</v>
      </c>
    </row>
    <row r="44" spans="1:14">
      <c r="C44" s="2">
        <f>SUM(Table262021[Mrd m3 '[2035'] SP])</f>
        <v>946.82467993400508</v>
      </c>
      <c r="D44" s="2">
        <f>SUM(Table262021[Mil m3 EU '[2024']])/1000+C31+C37+C21+C3</f>
        <v>9755.9299794729995</v>
      </c>
      <c r="E44">
        <f>SUMIF(Table262021[Mil m3 EU '[2024']],"&gt;0",Table262021[Mrd m3 EU '[2020']])</f>
        <v>0</v>
      </c>
    </row>
    <row r="45" spans="1:14">
      <c r="C45" s="3">
        <f>C44-C37-C31-C3-C21-C5</f>
        <v>126.9999999999999</v>
      </c>
      <c r="E45" s="2"/>
      <c r="F45" s="2"/>
    </row>
    <row r="46" spans="1:14">
      <c r="A46" t="s">
        <v>295</v>
      </c>
      <c r="B46" t="s">
        <v>296</v>
      </c>
    </row>
    <row r="47" spans="1:14">
      <c r="A47" t="s">
        <v>132</v>
      </c>
    </row>
    <row r="48" spans="1:14">
      <c r="A48" t="s">
        <v>79</v>
      </c>
      <c r="B48" t="s">
        <v>136</v>
      </c>
      <c r="I48" t="s">
        <v>137</v>
      </c>
    </row>
    <row r="49" spans="1:2">
      <c r="A49" t="s">
        <v>122</v>
      </c>
      <c r="B49" t="s">
        <v>120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CD06-E0FC-4391-8CB7-FEB185F8EE0B}">
  <dimension ref="A1:G21"/>
  <sheetViews>
    <sheetView topLeftCell="A7" workbookViewId="0">
      <selection activeCell="A19" sqref="A19:B19"/>
    </sheetView>
  </sheetViews>
  <sheetFormatPr defaultRowHeight="14.5"/>
  <cols>
    <col min="1" max="1" width="9.54296875" customWidth="1"/>
    <col min="2" max="2" width="12.54296875" customWidth="1"/>
    <col min="3" max="8" width="15" customWidth="1"/>
    <col min="12" max="12" width="10.81640625" bestFit="1" customWidth="1"/>
    <col min="16" max="16" width="15.453125" customWidth="1"/>
    <col min="17" max="17" width="18.1796875" customWidth="1"/>
    <col min="18" max="18" width="14.453125" customWidth="1"/>
  </cols>
  <sheetData>
    <row r="1" spans="1:7">
      <c r="A1" s="12" t="s">
        <v>16</v>
      </c>
      <c r="B1" s="12" t="s">
        <v>55</v>
      </c>
      <c r="C1" s="12" t="s">
        <v>84</v>
      </c>
      <c r="D1" s="12" t="s">
        <v>304</v>
      </c>
      <c r="E1" s="12" t="s">
        <v>171</v>
      </c>
      <c r="F1" s="12" t="s">
        <v>266</v>
      </c>
      <c r="G1" s="13" t="s">
        <v>104</v>
      </c>
    </row>
    <row r="2" spans="1:7">
      <c r="A2" t="s">
        <v>149</v>
      </c>
      <c r="B2" s="6" t="s">
        <v>149</v>
      </c>
      <c r="C2" s="7">
        <f>1241*(D2/($D$2+$D$3))</f>
        <v>1018.7669682739473</v>
      </c>
      <c r="D2" s="7">
        <v>1035.2966874829399</v>
      </c>
      <c r="E2" s="7"/>
      <c r="F2" s="14">
        <f>Table7919[[#This Row],[TWh '[2020']]]*1000</f>
        <v>9953353.2800364643</v>
      </c>
      <c r="G2" s="3">
        <f>(Table7919[[#This Row],[Mrd m3 '[2020']]])*9.77</f>
        <v>9953.3532800364646</v>
      </c>
    </row>
    <row r="3" spans="1:7">
      <c r="A3" t="s">
        <v>196</v>
      </c>
      <c r="B3" t="s">
        <v>160</v>
      </c>
      <c r="C3" s="2">
        <f>1241*(D3/($D$2+$D$3))</f>
        <v>222.23303172605264</v>
      </c>
      <c r="D3">
        <v>225.83881177958006</v>
      </c>
      <c r="E3" s="2"/>
      <c r="F3" s="2">
        <f>Table7919[[#This Row],[TWh '[2020']]]*1000</f>
        <v>2171216.7199635343</v>
      </c>
      <c r="G3" s="3">
        <f>(Table7919[[#This Row],[Mrd m3 '[2020']]])*9.77</f>
        <v>2171.2167199635342</v>
      </c>
    </row>
    <row r="4" spans="1:7">
      <c r="A4" t="s">
        <v>150</v>
      </c>
      <c r="B4" t="s">
        <v>161</v>
      </c>
      <c r="C4" s="7">
        <f>170*(D4/($D$4+$D$5))</f>
        <v>143.77561867071384</v>
      </c>
      <c r="D4">
        <v>137.02787213632018</v>
      </c>
      <c r="E4" s="2"/>
      <c r="F4" s="2">
        <f>Table7919[[#This Row],[TWh '[2020']]]*1000</f>
        <v>1404687.7944128742</v>
      </c>
      <c r="G4" s="3">
        <f>(Table7919[[#This Row],[Mrd m3 '[2020']]])*9.77</f>
        <v>1404.6877944128742</v>
      </c>
    </row>
    <row r="5" spans="1:7">
      <c r="A5" t="s">
        <v>151</v>
      </c>
      <c r="B5" t="s">
        <v>162</v>
      </c>
      <c r="C5" s="2">
        <f>170*(D5/($D$4+$D$5))</f>
        <v>26.224381329286157</v>
      </c>
      <c r="D5">
        <v>24.9936060429938</v>
      </c>
      <c r="E5" s="2"/>
      <c r="F5" s="2">
        <f>Table7919[[#This Row],[TWh '[2020']]]*1000</f>
        <v>256212.20558712576</v>
      </c>
      <c r="G5" s="3">
        <f>(Table7919[[#This Row],[Mrd m3 '[2020']]])*9.77</f>
        <v>256.21220558712577</v>
      </c>
    </row>
    <row r="6" spans="1:7">
      <c r="A6" t="s">
        <v>152</v>
      </c>
      <c r="B6" t="s">
        <v>163</v>
      </c>
      <c r="C6" s="7">
        <f>962*(D6/($D$6+$D$7))</f>
        <v>717.71980204489614</v>
      </c>
      <c r="D6">
        <v>531.72742192180203</v>
      </c>
      <c r="E6" s="2"/>
      <c r="F6" s="2">
        <f>Table7919[[#This Row],[TWh '[2020']]]*1000</f>
        <v>7012122.4659786345</v>
      </c>
      <c r="G6" s="3">
        <f>(Table7919[[#This Row],[Mrd m3 '[2020']]])*9.77</f>
        <v>7012.1224659786349</v>
      </c>
    </row>
    <row r="7" spans="1:7">
      <c r="A7" t="s">
        <v>153</v>
      </c>
      <c r="B7" t="s">
        <v>174</v>
      </c>
      <c r="C7" s="2">
        <f>962*(D7/($D$6+$D$7))</f>
        <v>244.28019795510389</v>
      </c>
      <c r="D7">
        <v>180.976586566424</v>
      </c>
      <c r="E7" s="2"/>
      <c r="F7" s="2">
        <f>Table7919[[#This Row],[TWh '[2020']]]*1000</f>
        <v>2386617.534021365</v>
      </c>
      <c r="G7" s="3">
        <f>(Table7919[[#This Row],[Mrd m3 '[2020']]])*9.77</f>
        <v>2386.6175340213649</v>
      </c>
    </row>
    <row r="8" spans="1:7">
      <c r="A8" t="s">
        <v>154</v>
      </c>
      <c r="B8" t="s">
        <v>164</v>
      </c>
      <c r="C8" s="2">
        <f>298*(D8/$E$8)</f>
        <v>90.29252454495321</v>
      </c>
      <c r="D8">
        <v>76.854578169538883</v>
      </c>
      <c r="E8" s="2">
        <v>253.64961728498599</v>
      </c>
      <c r="F8" s="2">
        <f>Table7919[[#This Row],[TWh '[2020']]]*1000</f>
        <v>882157.96480419277</v>
      </c>
      <c r="G8" s="3">
        <f>(Table7919[[#This Row],[Mrd m3 '[2020']]])*9.77</f>
        <v>882.15796480419283</v>
      </c>
    </row>
    <row r="9" spans="1:7">
      <c r="A9" t="s">
        <v>96</v>
      </c>
      <c r="B9" t="s">
        <v>175</v>
      </c>
      <c r="C9" s="2">
        <f>298*(D9/$E$8)</f>
        <v>8.2239430215906531E-2</v>
      </c>
      <c r="D9">
        <v>7.0000000000000007E-2</v>
      </c>
      <c r="E9" s="2"/>
      <c r="F9" s="2">
        <f>Table7919[[#This Row],[TWh '[2020']]]*1000</f>
        <v>803.47923320940674</v>
      </c>
      <c r="G9" s="3">
        <f>(Table7919[[#This Row],[Mrd m3 '[2020']]])*9.77</f>
        <v>0.80347923320940673</v>
      </c>
    </row>
    <row r="10" spans="1:7">
      <c r="A10" t="s">
        <v>155</v>
      </c>
      <c r="B10" t="s">
        <v>165</v>
      </c>
      <c r="C10">
        <f>(675-$C$17)*(D10/($D$10+$D$11+$D$14+$D$13))</f>
        <v>155.63739368951246</v>
      </c>
      <c r="D10">
        <v>151.74021373996112</v>
      </c>
      <c r="E10" s="2"/>
      <c r="F10" s="2">
        <f>Table7919[[#This Row],[TWh '[2020']]]*1000</f>
        <v>1520577.3363465366</v>
      </c>
      <c r="G10" s="3">
        <f>(Table7919[[#This Row],[Mrd m3 '[2020']]])*9.77</f>
        <v>1520.5773363465366</v>
      </c>
    </row>
    <row r="11" spans="1:7">
      <c r="A11" t="s">
        <v>156</v>
      </c>
      <c r="B11" t="s">
        <v>166</v>
      </c>
      <c r="C11">
        <f>(675-$C$17)*(D11/($D$10+$D$11+$D$14+$D$13))</f>
        <v>240.27487096086793</v>
      </c>
      <c r="D11">
        <v>234.25835791543756</v>
      </c>
      <c r="E11" s="2"/>
      <c r="F11" s="2">
        <f>Table7919[[#This Row],[TWh '[2020']]]*1000</f>
        <v>2347485.4892876795</v>
      </c>
      <c r="G11" s="3">
        <f>(Table7919[[#This Row],[Mrd m3 '[2020']]])*9.77</f>
        <v>2347.4854892876797</v>
      </c>
    </row>
    <row r="12" spans="1:7">
      <c r="A12" t="s">
        <v>157</v>
      </c>
      <c r="B12" t="s">
        <v>167</v>
      </c>
      <c r="C12">
        <v>0</v>
      </c>
      <c r="D12">
        <v>0</v>
      </c>
      <c r="E12" s="2"/>
      <c r="F12" s="2">
        <f>Table7919[[#This Row],[TWh '[2020']]]*1000</f>
        <v>0</v>
      </c>
      <c r="G12" s="3">
        <f>(Table7919[[#This Row],[Mrd m3 '[2020']]])*9.77</f>
        <v>0</v>
      </c>
    </row>
    <row r="13" spans="1:7">
      <c r="A13" t="s">
        <v>158</v>
      </c>
      <c r="B13" t="s">
        <v>168</v>
      </c>
      <c r="C13">
        <f>(675-$C$17)*(D13/($D$10+$D$11+$D$14+$D$13))</f>
        <v>32.396706139454764</v>
      </c>
      <c r="D13">
        <v>31.585488535476742</v>
      </c>
      <c r="E13" s="2"/>
      <c r="F13" s="2">
        <f>Table7919[[#This Row],[TWh '[2020']]]*1000</f>
        <v>316515.81898247305</v>
      </c>
      <c r="G13" s="3">
        <f>(Table7919[[#This Row],[Mrd m3 '[2020']]])*9.77</f>
        <v>316.51581898247304</v>
      </c>
    </row>
    <row r="14" spans="1:7">
      <c r="A14" t="s">
        <v>159</v>
      </c>
      <c r="B14" t="s">
        <v>169</v>
      </c>
      <c r="C14">
        <f>(675-$C$17)*(D14/($D$10+$D$11+$D$14+$D$13))</f>
        <v>132.22780544351377</v>
      </c>
      <c r="D14">
        <v>128.91680453343903</v>
      </c>
      <c r="E14" s="2"/>
      <c r="F14" s="2">
        <f>Table7919[[#This Row],[TWh '[2020']]]*1000</f>
        <v>1291865.6591831294</v>
      </c>
      <c r="G14" s="3">
        <f>(Table7919[[#This Row],[Mrd m3 '[2020']]])*9.77</f>
        <v>1291.8656591831295</v>
      </c>
    </row>
    <row r="15" spans="1:7">
      <c r="A15" t="s">
        <v>172</v>
      </c>
      <c r="B15" t="s">
        <v>173</v>
      </c>
      <c r="C15" s="2">
        <f>896*(D15/$E$15)</f>
        <v>216.79843214566333</v>
      </c>
      <c r="D15">
        <v>187.17086000268091</v>
      </c>
      <c r="E15" s="2">
        <v>773.55305987509996</v>
      </c>
      <c r="F15" s="2">
        <f>Table7919[[#This Row],[TWh '[2020']]]*1000</f>
        <v>2118120.6820631307</v>
      </c>
      <c r="G15" s="3">
        <f>(Table7919[[#This Row],[Mrd m3 '[2020']]])*9.77</f>
        <v>2118.1206820631305</v>
      </c>
    </row>
    <row r="16" spans="1:7">
      <c r="A16" t="s">
        <v>177</v>
      </c>
      <c r="B16" t="s">
        <v>178</v>
      </c>
      <c r="C16" s="2">
        <f>298*(D16/$E$8)</f>
        <v>67.084363375378459</v>
      </c>
      <c r="D16">
        <v>57.100413073730465</v>
      </c>
      <c r="E16" s="2"/>
      <c r="F16" s="2">
        <f>Table7919[[#This Row],[TWh '[2020']]]*1000</f>
        <v>655414.23017744755</v>
      </c>
      <c r="G16" s="3">
        <f>(Table7919[[#This Row],[Mrd m3 '[2020']]])*9.77</f>
        <v>655.41423017744751</v>
      </c>
    </row>
    <row r="17" spans="1:7">
      <c r="A17" t="s">
        <v>192</v>
      </c>
      <c r="B17" t="s">
        <v>195</v>
      </c>
      <c r="C17">
        <f>D17*(E17)</f>
        <v>114.46322376665097</v>
      </c>
      <c r="D17">
        <v>145.33817228265551</v>
      </c>
      <c r="E17" s="2">
        <f>152/193</f>
        <v>0.78756476683937826</v>
      </c>
      <c r="F17" s="2">
        <f>Table7919[[#This Row],[TWh '[2020']]]*1000</f>
        <v>1118305.6962001799</v>
      </c>
      <c r="G17" s="3">
        <f>(Table7919[[#This Row],[Mrd m3 '[2020']]])*9.77</f>
        <v>1118.3056962001799</v>
      </c>
    </row>
    <row r="19" spans="1:7">
      <c r="A19" t="s">
        <v>295</v>
      </c>
      <c r="B19" t="s">
        <v>296</v>
      </c>
    </row>
    <row r="20" spans="1:7">
      <c r="A20" t="s">
        <v>132</v>
      </c>
    </row>
    <row r="21" spans="1:7">
      <c r="A21" t="s">
        <v>272</v>
      </c>
      <c r="B21" t="s">
        <v>273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996C-4401-4161-B17D-CF2A8462856A}">
  <dimension ref="A1:G53"/>
  <sheetViews>
    <sheetView workbookViewId="0">
      <selection activeCell="G6" sqref="G6"/>
    </sheetView>
  </sheetViews>
  <sheetFormatPr defaultRowHeight="14.5"/>
  <cols>
    <col min="1" max="1" width="9.54296875" customWidth="1"/>
    <col min="2" max="2" width="12.54296875" customWidth="1"/>
    <col min="3" max="3" width="15" customWidth="1"/>
    <col min="4" max="4" width="12" customWidth="1"/>
    <col min="5" max="5" width="22.1796875" customWidth="1"/>
    <col min="14" max="14" width="11.81640625" bestFit="1" customWidth="1"/>
  </cols>
  <sheetData>
    <row r="1" spans="1:7">
      <c r="A1" t="s">
        <v>16</v>
      </c>
      <c r="B1" t="s">
        <v>55</v>
      </c>
      <c r="C1" t="s">
        <v>84</v>
      </c>
      <c r="D1" t="s">
        <v>104</v>
      </c>
      <c r="E1" t="s">
        <v>107</v>
      </c>
      <c r="F1" t="s">
        <v>118</v>
      </c>
      <c r="G1" t="s">
        <v>266</v>
      </c>
    </row>
    <row r="2" spans="1:7">
      <c r="A2" t="s">
        <v>41</v>
      </c>
      <c r="B2" t="s">
        <v>73</v>
      </c>
      <c r="C2" s="2"/>
      <c r="D2">
        <f>Table1[[#This Row],[Mrd m3 '[2020']]]*9.77*-1</f>
        <v>0</v>
      </c>
      <c r="E2">
        <v>2846</v>
      </c>
      <c r="F2">
        <f>IF(Table1[[#This Row],[TWh '[2020']]]=0,$D$27*(E2/$E$27),0)</f>
        <v>-7.7179334425266708</v>
      </c>
      <c r="G2">
        <f>MIN(Table1[[#This Row],[TWh '[2020']]],Table1[[#This Row],[TWh by share]])*1000</f>
        <v>-7717.9334425266707</v>
      </c>
    </row>
    <row r="3" spans="1:7">
      <c r="A3" t="s">
        <v>20</v>
      </c>
      <c r="B3" t="s">
        <v>57</v>
      </c>
      <c r="C3" s="2">
        <v>8.5272482121300026</v>
      </c>
      <c r="D3">
        <f>Table1[[#This Row],[Mrd m3 '[2020']]]*9.77*-1</f>
        <v>-83.31121503251012</v>
      </c>
      <c r="E3">
        <v>8901.1</v>
      </c>
      <c r="F3">
        <f>IF(Table1[[#This Row],[TWh '[2020']]]=0,$D$27*(E3/$E$27),0)</f>
        <v>0</v>
      </c>
      <c r="G3">
        <f>MIN(Table1[[#This Row],[TWh '[2020']]],Table1[[#This Row],[TWh by share]])*1000</f>
        <v>-83311.215032510125</v>
      </c>
    </row>
    <row r="4" spans="1:7">
      <c r="A4" t="s">
        <v>17</v>
      </c>
      <c r="B4" t="s">
        <v>0</v>
      </c>
      <c r="C4" s="2">
        <v>16.998179999999998</v>
      </c>
      <c r="D4">
        <f>Table1[[#This Row],[Mrd m3 '[2020']]]*9.77*-1</f>
        <v>-166.07221859999999</v>
      </c>
      <c r="E4">
        <v>11549.9</v>
      </c>
      <c r="F4">
        <f>IF(Table1[[#This Row],[TWh '[2020']]]=0,$D$27*(E4/$E$27),0)</f>
        <v>0</v>
      </c>
      <c r="G4">
        <f>MIN(Table1[[#This Row],[TWh '[2020']]],Table1[[#This Row],[TWh by share]])*1000</f>
        <v>-166072.21859999999</v>
      </c>
    </row>
    <row r="5" spans="1:7">
      <c r="A5" t="s">
        <v>44</v>
      </c>
      <c r="B5" t="s">
        <v>75</v>
      </c>
      <c r="C5" s="2"/>
      <c r="D5">
        <f>Table1[[#This Row],[Mrd m3 '[2020']]]*9.77*-1</f>
        <v>0</v>
      </c>
      <c r="E5">
        <v>3492</v>
      </c>
      <c r="F5">
        <f>IF(Table1[[#This Row],[TWh '[2020']]]=0,$D$27*(E5/$E$27),0)</f>
        <v>-9.4697904361571084</v>
      </c>
      <c r="G5">
        <v>-5110</v>
      </c>
    </row>
    <row r="6" spans="1:7">
      <c r="A6" t="s">
        <v>32</v>
      </c>
      <c r="B6" t="s">
        <v>64</v>
      </c>
      <c r="C6" s="2">
        <v>2.9206500000000002</v>
      </c>
      <c r="D6">
        <f>Table1[[#This Row],[Mrd m3 '[2020']]]*9.77*-1</f>
        <v>-28.534750500000001</v>
      </c>
      <c r="E6">
        <v>6951.5</v>
      </c>
      <c r="F6">
        <f>IF(Table1[[#This Row],[TWh '[2020']]]=0,$D$27*(E6/$E$27),0)</f>
        <v>0</v>
      </c>
      <c r="G6">
        <f>MIN(Table1[[#This Row],[TWh '[2020']]],Table1[[#This Row],[TWh by share]])*1000</f>
        <v>-28534.750500000002</v>
      </c>
    </row>
    <row r="7" spans="1:7">
      <c r="A7" t="s">
        <v>24</v>
      </c>
      <c r="B7" t="s">
        <v>5</v>
      </c>
      <c r="C7" s="2">
        <v>2.9368094170890702</v>
      </c>
      <c r="D7">
        <f>Table1[[#This Row],[Mrd m3 '[2020']]]*9.77*-1</f>
        <v>-28.692628004960213</v>
      </c>
      <c r="E7">
        <v>4058.2</v>
      </c>
      <c r="F7">
        <f>IF(Table1[[#This Row],[TWh '[2020']]]=0,$D$27*(E7/$E$27),0)</f>
        <v>0</v>
      </c>
      <c r="G7">
        <f>MIN(Table1[[#This Row],[TWh '[2020']]],Table1[[#This Row],[TWh by share]])*1000</f>
        <v>-28692.628004960214</v>
      </c>
    </row>
    <row r="8" spans="1:7">
      <c r="A8" t="s">
        <v>28</v>
      </c>
      <c r="B8" t="s">
        <v>61</v>
      </c>
      <c r="C8" s="2">
        <v>8.4623749999999998</v>
      </c>
      <c r="D8">
        <f>Table1[[#This Row],[Mrd m3 '[2020']]]*9.77*-1</f>
        <v>-82.677403749999996</v>
      </c>
      <c r="E8">
        <v>10693.9</v>
      </c>
      <c r="F8">
        <f>IF(Table1[[#This Row],[TWh '[2020']]]=0,$D$27*(E8/$E$27),0)</f>
        <v>0</v>
      </c>
      <c r="G8">
        <f>MIN(Table1[[#This Row],[TWh '[2020']]],Table1[[#This Row],[TWh by share]])*1000</f>
        <v>-82677.403749999998</v>
      </c>
    </row>
    <row r="9" spans="1:7">
      <c r="A9" t="s">
        <v>26</v>
      </c>
      <c r="B9" t="s">
        <v>60</v>
      </c>
      <c r="C9" s="2">
        <v>2.3225881808696536</v>
      </c>
      <c r="D9">
        <f>Table1[[#This Row],[Mrd m3 '[2020']]]*9.77*-1</f>
        <v>-22.691686527096515</v>
      </c>
      <c r="E9">
        <v>5822.8</v>
      </c>
      <c r="F9">
        <f>IF(Table1[[#This Row],[TWh '[2020']]]=0,$D$27*(E9/$E$27),0)</f>
        <v>0</v>
      </c>
      <c r="G9">
        <f>MIN(Table1[[#This Row],[TWh '[2020']]],Table1[[#This Row],[TWh by share]])*1000</f>
        <v>-22691.686527096514</v>
      </c>
    </row>
    <row r="10" spans="1:7">
      <c r="A10" t="s">
        <v>53</v>
      </c>
      <c r="B10" t="s">
        <v>66</v>
      </c>
      <c r="C10" s="2">
        <v>0.43005000000000004</v>
      </c>
      <c r="D10">
        <f>Table1[[#This Row],[Mrd m3 '[2020']]]*9.77*-1</f>
        <v>-4.2015885000000006</v>
      </c>
      <c r="E10">
        <v>1329</v>
      </c>
      <c r="F10">
        <f>IF(Table1[[#This Row],[TWh '[2020']]]=0,$D$27*(E10/$E$27),0)</f>
        <v>0</v>
      </c>
      <c r="G10">
        <f>MIN(Table1[[#This Row],[TWh '[2020']]],Table1[[#This Row],[TWh by share]])*1000</f>
        <v>-4201.5885000000007</v>
      </c>
    </row>
    <row r="11" spans="1:7">
      <c r="A11" t="s">
        <v>54</v>
      </c>
      <c r="B11" t="s">
        <v>85</v>
      </c>
      <c r="C11" s="2">
        <v>2.0718055555555557</v>
      </c>
      <c r="D11">
        <f>Table1[[#This Row],[Mrd m3 '[2020']]]*9.77*-1</f>
        <v>-20.241540277777776</v>
      </c>
      <c r="E11">
        <v>5525.3</v>
      </c>
      <c r="F11">
        <f>IF(Table1[[#This Row],[TWh '[2020']]]=0,$D$27*(E11/$E$27),0)</f>
        <v>0</v>
      </c>
      <c r="G11">
        <f>MIN(Table1[[#This Row],[TWh '[2020']]],Table1[[#This Row],[TWh by share]])*1000</f>
        <v>-20241.540277777778</v>
      </c>
    </row>
    <row r="12" spans="1:7">
      <c r="A12" t="s">
        <v>25</v>
      </c>
      <c r="B12" t="s">
        <v>2</v>
      </c>
      <c r="C12" s="2">
        <v>40.582840274999995</v>
      </c>
      <c r="D12">
        <f>Table1[[#This Row],[Mrd m3 '[2020']]]*9.77*-1</f>
        <v>-396.49434948674991</v>
      </c>
      <c r="E12">
        <v>67098.8</v>
      </c>
      <c r="F12">
        <f>IF(Table1[[#This Row],[TWh '[2020']]]=0,$D$27*(E12/$E$27),0)</f>
        <v>0</v>
      </c>
      <c r="G12">
        <f>MIN(Table1[[#This Row],[TWh '[2020']]],Table1[[#This Row],[TWh by share]])*1000</f>
        <v>-396494.34948674991</v>
      </c>
    </row>
    <row r="13" spans="1:7">
      <c r="A13" t="s">
        <v>19</v>
      </c>
      <c r="B13" t="s">
        <v>56</v>
      </c>
      <c r="C13" s="2">
        <v>87.107500000000002</v>
      </c>
      <c r="D13">
        <f>Table1[[#This Row],[Mrd m3 '[2020']]]*9.77*-1</f>
        <v>-851.04027499999995</v>
      </c>
      <c r="E13">
        <v>83166.7</v>
      </c>
      <c r="F13">
        <f>IF(Table1[[#This Row],[TWh '[2020']]]=0,$D$27*(E13/$E$27),0)</f>
        <v>0</v>
      </c>
      <c r="G13">
        <f>MIN(Table1[[#This Row],[TWh '[2020']]],Table1[[#This Row],[TWh by share]])*1000</f>
        <v>-851040.27499999991</v>
      </c>
    </row>
    <row r="14" spans="1:7">
      <c r="A14" t="s">
        <v>264</v>
      </c>
      <c r="B14" t="s">
        <v>3</v>
      </c>
      <c r="C14" s="2">
        <v>6.3426600000000004</v>
      </c>
      <c r="D14">
        <f>Table1[[#This Row],[Mrd m3 '[2020']]]*9.77*-1</f>
        <v>-61.967788200000001</v>
      </c>
      <c r="E14">
        <v>10709.7</v>
      </c>
      <c r="F14">
        <f>IF(Table1[[#This Row],[TWh '[2020']]]=0,$D$27*(E14/$E$27),0)</f>
        <v>0</v>
      </c>
      <c r="G14">
        <f>MIN(Table1[[#This Row],[TWh '[2020']]],Table1[[#This Row],[TWh by share]])*1000</f>
        <v>-61967.788200000003</v>
      </c>
    </row>
    <row r="15" spans="1:7">
      <c r="A15" t="s">
        <v>30</v>
      </c>
      <c r="B15" t="s">
        <v>63</v>
      </c>
      <c r="C15" s="2">
        <v>10.192972222222224</v>
      </c>
      <c r="D15">
        <f>Table1[[#This Row],[Mrd m3 '[2020']]]*9.77*-1</f>
        <v>-99.585338611111126</v>
      </c>
      <c r="E15">
        <v>9769.5</v>
      </c>
      <c r="F15">
        <f>IF(Table1[[#This Row],[TWh '[2020']]]=0,$D$27*(E15/$E$27),0)</f>
        <v>0</v>
      </c>
      <c r="G15">
        <f>MIN(Table1[[#This Row],[TWh '[2020']]],Table1[[#This Row],[TWh by share]])*1000</f>
        <v>-99585.338611111132</v>
      </c>
    </row>
    <row r="16" spans="1:7">
      <c r="A16" t="s">
        <v>43</v>
      </c>
      <c r="B16" t="s">
        <v>74</v>
      </c>
      <c r="C16" s="2">
        <v>5.3080830939788495</v>
      </c>
      <c r="D16">
        <f>Table1[[#This Row],[Mrd m3 '[2020']]]*9.77*-1</f>
        <v>-51.859971828173357</v>
      </c>
      <c r="E16">
        <v>4963.8</v>
      </c>
      <c r="F16">
        <f>IF(Table1[[#This Row],[TWh '[2020']]]=0,$D$27*(E16/$E$27),0)</f>
        <v>0</v>
      </c>
      <c r="G16">
        <f>MIN(Table1[[#This Row],[TWh '[2020']]],Table1[[#This Row],[TWh by share]])*1000</f>
        <v>-51859.971828173359</v>
      </c>
    </row>
    <row r="17" spans="1:7">
      <c r="A17" t="s">
        <v>21</v>
      </c>
      <c r="B17" t="s">
        <v>4</v>
      </c>
      <c r="C17" s="2">
        <v>67.625157295559788</v>
      </c>
      <c r="D17">
        <f>Table1[[#This Row],[Mrd m3 '[2020']]]*9.77*-1</f>
        <v>-660.69778677761906</v>
      </c>
      <c r="E17">
        <v>60244.6</v>
      </c>
      <c r="F17">
        <f>IF(Table1[[#This Row],[TWh '[2020']]]=0,$D$27*(E17/$E$27),0)</f>
        <v>0</v>
      </c>
      <c r="G17">
        <f>MIN(Table1[[#This Row],[TWh '[2020']]],Table1[[#This Row],[TWh by share]])*1000</f>
        <v>-660697.78677761904</v>
      </c>
    </row>
    <row r="18" spans="1:7">
      <c r="A18" t="s">
        <v>35</v>
      </c>
      <c r="B18" t="s">
        <v>65</v>
      </c>
      <c r="C18" s="2">
        <v>1.0731875</v>
      </c>
      <c r="D18">
        <f>Table1[[#This Row],[Mrd m3 '[2020']]]*9.77*-1</f>
        <v>-10.485041874999999</v>
      </c>
      <c r="E18">
        <v>1907.7</v>
      </c>
      <c r="F18">
        <f>IF(Table1[[#This Row],[TWh '[2020']]]=0,$D$27*(E18/$E$27),0)</f>
        <v>0</v>
      </c>
      <c r="G18">
        <f>MIN(Table1[[#This Row],[TWh '[2020']]],Table1[[#This Row],[TWh by share]])*1000</f>
        <v>-10485.041874999999</v>
      </c>
    </row>
    <row r="19" spans="1:7">
      <c r="A19" t="s">
        <v>34</v>
      </c>
      <c r="B19" t="s">
        <v>6</v>
      </c>
      <c r="C19" s="2">
        <v>2.3604840000000005</v>
      </c>
      <c r="D19">
        <f>Table1[[#This Row],[Mrd m3 '[2020']]]*9.77*-1</f>
        <v>-23.061928680000005</v>
      </c>
      <c r="E19">
        <v>2794.1</v>
      </c>
      <c r="F19">
        <f>IF(Table1[[#This Row],[TWh '[2020']]]=0,$D$27*(E19/$E$27),0)</f>
        <v>0</v>
      </c>
      <c r="G19">
        <f>MIN(Table1[[#This Row],[TWh '[2020']]],Table1[[#This Row],[TWh by share]])*1000</f>
        <v>-23061.928680000005</v>
      </c>
    </row>
    <row r="20" spans="1:7">
      <c r="A20" t="s">
        <v>42</v>
      </c>
      <c r="B20" t="s">
        <v>70</v>
      </c>
      <c r="C20" s="2">
        <v>0.722536175</v>
      </c>
      <c r="D20">
        <f>Table1[[#This Row],[Mrd m3 '[2020']]]*9.77*-1</f>
        <v>-7.0591784297499993</v>
      </c>
      <c r="E20">
        <v>626.1</v>
      </c>
      <c r="F20">
        <f>IF(Table1[[#This Row],[TWh '[2020']]]=0,$D$27*(E20/$E$27),0)</f>
        <v>0</v>
      </c>
      <c r="G20">
        <f>MIN(Table1[[#This Row],[TWh '[2020']]],Table1[[#This Row],[TWh by share]])*1000</f>
        <v>-7059.1784297499989</v>
      </c>
    </row>
    <row r="21" spans="1:7">
      <c r="A21" t="s">
        <v>110</v>
      </c>
      <c r="B21" t="s">
        <v>91</v>
      </c>
      <c r="C21" s="2"/>
      <c r="D21">
        <f>Table1[[#This Row],[Mrd m3 '[2020']]]*9.77*-1</f>
        <v>0</v>
      </c>
      <c r="E21">
        <v>514.6</v>
      </c>
      <c r="F21">
        <f>IF(Table1[[#This Row],[TWh '[2020']]]=0,$D$27*(E21/$E$27),0)</f>
        <v>-1.395519518455455</v>
      </c>
      <c r="G21">
        <f>MIN(Table1[[#This Row],[TWh '[2020']]],Table1[[#This Row],[TWh by share]])*1000</f>
        <v>-1395.519518455455</v>
      </c>
    </row>
    <row r="22" spans="1:7">
      <c r="A22" t="s">
        <v>39</v>
      </c>
      <c r="B22" t="s">
        <v>68</v>
      </c>
      <c r="C22" s="2"/>
      <c r="D22">
        <f>Table1[[#This Row],[Mrd m3 '[2020']]]*9.77*-1</f>
        <v>0</v>
      </c>
      <c r="E22">
        <v>2579</v>
      </c>
      <c r="F22">
        <f>IF(Table1[[#This Row],[TWh '[2020']]]=0,$D$27*(E22/$E$27),0)</f>
        <v>-6.9938687098651737</v>
      </c>
      <c r="G22">
        <f>MIN(Table1[[#This Row],[TWh '[2020']]],Table1[[#This Row],[TWh by share]])*1000</f>
        <v>-6993.8687098651735</v>
      </c>
    </row>
    <row r="23" spans="1:7">
      <c r="B23" t="s">
        <v>111</v>
      </c>
      <c r="C23" s="2"/>
      <c r="D23">
        <f>Table1[[#This Row],[Mrd m3 '[2020']]]*9.77*-1</f>
        <v>0</v>
      </c>
      <c r="E23">
        <v>621.9</v>
      </c>
      <c r="F23">
        <f>IF(Table1[[#This Row],[TWh '[2020']]]=0,$D$27*(E23/$E$27),0)</f>
        <v>-1.6865013379857121</v>
      </c>
      <c r="G23">
        <f>MIN(Table1[[#This Row],[TWh '[2020']]],Table1[[#This Row],[TWh by share]])*1000</f>
        <v>-1686.5013379857121</v>
      </c>
    </row>
    <row r="24" spans="1:7">
      <c r="A24" t="s">
        <v>18</v>
      </c>
      <c r="B24" t="s">
        <v>7</v>
      </c>
      <c r="C24" s="2">
        <v>36.094444444444456</v>
      </c>
      <c r="D24">
        <f>Table1[[#This Row],[Mrd m3 '[2020']]]*9.77*-1</f>
        <v>-352.64272222222229</v>
      </c>
      <c r="E24">
        <v>17407.599999999999</v>
      </c>
      <c r="F24">
        <f>IF(Table1[[#This Row],[TWh '[2020']]]=0,$D$27*(E24/$E$27),0)</f>
        <v>0</v>
      </c>
      <c r="G24">
        <f>MIN(Table1[[#This Row],[TWh '[2020']]],Table1[[#This Row],[TWh by share]])*1000</f>
        <v>-352642.72222222231</v>
      </c>
    </row>
    <row r="25" spans="1:7">
      <c r="A25" t="s">
        <v>45</v>
      </c>
      <c r="B25" t="s">
        <v>76</v>
      </c>
      <c r="C25" s="2">
        <v>0.324946535664</v>
      </c>
      <c r="D25">
        <f>Table1[[#This Row],[Mrd m3 '[2020']]]*9.77*-1</f>
        <v>-3.1747276534372797</v>
      </c>
      <c r="E25">
        <v>2076.3000000000002</v>
      </c>
      <c r="F25">
        <f>IF(Table1[[#This Row],[TWh '[2020']]]=0,$D$27*(E25/$E$27),0)</f>
        <v>0</v>
      </c>
      <c r="G25">
        <f>MIN(Table1[[#This Row],[TWh '[2020']]],Table1[[#This Row],[TWh by share]])*1000</f>
        <v>-3174.7276534372795</v>
      </c>
    </row>
    <row r="26" spans="1:7">
      <c r="A26" t="s">
        <v>48</v>
      </c>
      <c r="B26" t="s">
        <v>71</v>
      </c>
      <c r="C26" s="2">
        <v>4.4535245861624997</v>
      </c>
      <c r="D26">
        <f>Table1[[#This Row],[Mrd m3 '[2020']]]*9.77*-1</f>
        <v>-43.510935206807623</v>
      </c>
      <c r="E26">
        <v>5367.6</v>
      </c>
      <c r="F26">
        <f>IF(Table1[[#This Row],[TWh '[2020']]]=0,$D$27*(E26/$E$27),0)</f>
        <v>0</v>
      </c>
      <c r="G26">
        <f>MIN(Table1[[#This Row],[TWh '[2020']]],Table1[[#This Row],[TWh by share]])*1000</f>
        <v>-43510.935206807626</v>
      </c>
    </row>
    <row r="27" spans="1:7">
      <c r="A27" t="s">
        <v>87</v>
      </c>
      <c r="B27" t="s">
        <v>88</v>
      </c>
      <c r="C27" s="2">
        <v>5.4542940093096091</v>
      </c>
      <c r="D27">
        <f>Table1[[#This Row],[Mrd m3 '[2020']]]*9.77*-1</f>
        <v>-53.28845247095488</v>
      </c>
      <c r="E27">
        <f>SUMIF(D2:D26,"=0",E2:E26)+SUMIF(D28:D42,"=0",E28:E42)</f>
        <v>19650.2</v>
      </c>
      <c r="F27">
        <f>IF(Table1[[#This Row],[TWh '[2020']]]=0,$D$27*(E27/$E$27),0)</f>
        <v>0</v>
      </c>
      <c r="G27">
        <f>MIN(Table1[[#This Row],[TWh '[2020']]],Table1[[#This Row],[TWh by share]])*1000</f>
        <v>-53288.452470954879</v>
      </c>
    </row>
    <row r="28" spans="1:7">
      <c r="A28" t="s">
        <v>27</v>
      </c>
      <c r="B28" t="s">
        <v>8</v>
      </c>
      <c r="C28" s="2">
        <v>21.064583333333339</v>
      </c>
      <c r="D28">
        <f>Table1[[#This Row],[Mrd m3 '[2020']]]*9.77*-1</f>
        <v>-205.80097916666671</v>
      </c>
      <c r="E28">
        <v>37958.1</v>
      </c>
      <c r="F28">
        <f>IF(Table1[[#This Row],[TWh '[2020']]]=0,$D$27*(E28/$E$27),0)</f>
        <v>0</v>
      </c>
      <c r="G28">
        <f>MIN(Table1[[#This Row],[TWh '[2020']]],Table1[[#This Row],[TWh by share]])*1000</f>
        <v>-205800.97916666672</v>
      </c>
    </row>
    <row r="29" spans="1:7">
      <c r="A29" t="s">
        <v>37</v>
      </c>
      <c r="B29" t="s">
        <v>1</v>
      </c>
      <c r="C29" s="2">
        <v>6.0366596174639984</v>
      </c>
      <c r="D29">
        <f>Table1[[#This Row],[Mrd m3 '[2020']]]*9.77*-1</f>
        <v>-58.978164462623262</v>
      </c>
      <c r="E29">
        <v>10295.9</v>
      </c>
      <c r="F29">
        <f>IF(Table1[[#This Row],[TWh '[2020']]]=0,$D$27*(E29/$E$27),0)</f>
        <v>0</v>
      </c>
      <c r="G29">
        <f>MIN(Table1[[#This Row],[TWh '[2020']]],Table1[[#This Row],[TWh by share]])*1000</f>
        <v>-58978.164462623259</v>
      </c>
    </row>
    <row r="30" spans="1:7">
      <c r="A30" t="s">
        <v>33</v>
      </c>
      <c r="B30" t="s">
        <v>86</v>
      </c>
      <c r="C30" s="2">
        <v>11.262552972222222</v>
      </c>
      <c r="D30">
        <f>Table1[[#This Row],[Mrd m3 '[2020']]]*9.77*-1</f>
        <v>-110.03514253861111</v>
      </c>
      <c r="E30">
        <v>19318</v>
      </c>
      <c r="F30">
        <f>IF(Table1[[#This Row],[TWh '[2020']]]=0,$D$27*(E30/$E$27),0)</f>
        <v>0</v>
      </c>
      <c r="G30">
        <f>MIN(Table1[[#This Row],[TWh '[2020']]],Table1[[#This Row],[TWh by share]])*1000</f>
        <v>-110035.14253861111</v>
      </c>
    </row>
    <row r="31" spans="1:7">
      <c r="A31" t="s">
        <v>47</v>
      </c>
      <c r="B31" t="s">
        <v>77</v>
      </c>
      <c r="C31" s="2"/>
      <c r="D31">
        <f>Table1[[#This Row],[Mrd m3 '[2020']]]*9.77*-1</f>
        <v>0</v>
      </c>
      <c r="E31">
        <v>0</v>
      </c>
      <c r="F31">
        <f>IF(Table1[[#This Row],[TWh '[2020']]]=0,$D$27*(E31/$E$27),0)</f>
        <v>0</v>
      </c>
      <c r="G31">
        <f>MIN(Table1[[#This Row],[TWh '[2020']]],Table1[[#This Row],[TWh by share]])*1000</f>
        <v>0</v>
      </c>
    </row>
    <row r="32" spans="1:7">
      <c r="A32" t="s">
        <v>31</v>
      </c>
      <c r="B32" t="s">
        <v>72</v>
      </c>
      <c r="C32" s="2"/>
      <c r="D32">
        <f>Table1[[#This Row],[Mrd m3 '[2020']]]*9.77*-1</f>
        <v>0</v>
      </c>
      <c r="E32">
        <v>6926.7</v>
      </c>
      <c r="F32">
        <f>IF(Table1[[#This Row],[TWh '[2020']]]=0,$D$27*(E32/$E$27),0)</f>
        <v>-18.784191699349783</v>
      </c>
      <c r="G32">
        <f>MIN(Table1[[#This Row],[TWh '[2020']]],Table1[[#This Row],[TWh by share]])*1000</f>
        <v>-18784.191699349783</v>
      </c>
    </row>
    <row r="33" spans="1:7">
      <c r="A33" t="s">
        <v>29</v>
      </c>
      <c r="B33" t="s">
        <v>62</v>
      </c>
      <c r="C33" s="2">
        <v>4.754638388888889</v>
      </c>
      <c r="D33">
        <f>Table1[[#This Row],[Mrd m3 '[2020']]]*9.77*-1</f>
        <v>-46.452817059444442</v>
      </c>
      <c r="E33">
        <v>5457.9</v>
      </c>
      <c r="F33">
        <f>IF(Table1[[#This Row],[TWh '[2020']]]=0,$D$27*(E33/$E$27),0)</f>
        <v>0</v>
      </c>
      <c r="G33">
        <f>MIN(Table1[[#This Row],[TWh '[2020']]],Table1[[#This Row],[TWh by share]])*1000</f>
        <v>-46452.817059444438</v>
      </c>
    </row>
    <row r="34" spans="1:7">
      <c r="A34" t="s">
        <v>23</v>
      </c>
      <c r="B34" t="s">
        <v>59</v>
      </c>
      <c r="C34" s="2">
        <v>0.85516059371380015</v>
      </c>
      <c r="D34">
        <f>Table1[[#This Row],[Mrd m3 '[2020']]]*9.77*-1</f>
        <v>-8.354919000583827</v>
      </c>
      <c r="E34">
        <v>2095.9</v>
      </c>
      <c r="F34">
        <f>IF(Table1[[#This Row],[TWh '[2020']]]=0,$D$27*(E34/$E$27),0)</f>
        <v>0</v>
      </c>
      <c r="G34">
        <f>MIN(Table1[[#This Row],[TWh '[2020']]],Table1[[#This Row],[TWh by share]])*1000</f>
        <v>-8354.9190005838263</v>
      </c>
    </row>
    <row r="35" spans="1:7">
      <c r="A35" t="s">
        <v>36</v>
      </c>
      <c r="B35" t="s">
        <v>9</v>
      </c>
      <c r="C35" s="2">
        <v>32.490230910000008</v>
      </c>
      <c r="D35">
        <f>Table1[[#This Row],[Mrd m3 '[2020']]]*9.77*-1</f>
        <v>-317.42955599070007</v>
      </c>
      <c r="E35">
        <v>47330</v>
      </c>
      <c r="F35">
        <f>IF(Table1[[#This Row],[TWh '[2020']]]=0,$D$27*(E35/$E$27),0)</f>
        <v>0</v>
      </c>
      <c r="G35">
        <f>MIN(Table1[[#This Row],[TWh '[2020']]],Table1[[#This Row],[TWh by share]])*1000</f>
        <v>-317429.55599070009</v>
      </c>
    </row>
    <row r="36" spans="1:7">
      <c r="A36" t="s">
        <v>82</v>
      </c>
      <c r="B36" t="s">
        <v>83</v>
      </c>
      <c r="C36" s="2">
        <v>0.99092500000000006</v>
      </c>
      <c r="D36">
        <f>Table1[[#This Row],[Mrd m3 '[2020']]]*9.77*-1</f>
        <v>-9.6813372500000003</v>
      </c>
      <c r="E36">
        <v>10327.6</v>
      </c>
      <c r="F36">
        <f>IF(Table1[[#This Row],[TWh '[2020']]]=0,$D$27*(E36/$E$27),0)</f>
        <v>0</v>
      </c>
      <c r="G36">
        <f>MIN(Table1[[#This Row],[TWh '[2020']]],Table1[[#This Row],[TWh by share]])*1000</f>
        <v>-9681.3372500000005</v>
      </c>
    </row>
    <row r="37" spans="1:7">
      <c r="A37" t="s">
        <v>22</v>
      </c>
      <c r="B37" t="s">
        <v>58</v>
      </c>
      <c r="C37" s="2">
        <v>3.3147222222222226</v>
      </c>
      <c r="D37">
        <f>Table1[[#This Row],[Mrd m3 '[2020']]]*9.77*-1</f>
        <v>-32.384836111111113</v>
      </c>
      <c r="E37">
        <v>8606</v>
      </c>
      <c r="F37">
        <f>IF(Table1[[#This Row],[TWh '[2020']]]=0,$D$27*(E37/$E$27),0)</f>
        <v>0</v>
      </c>
      <c r="G37">
        <f>MIN(Table1[[#This Row],[TWh '[2020']]],Table1[[#This Row],[TWh by share]])*1000</f>
        <v>-32384.836111111112</v>
      </c>
    </row>
    <row r="38" spans="1:7">
      <c r="A38" t="s">
        <v>46</v>
      </c>
      <c r="B38" t="s">
        <v>10</v>
      </c>
      <c r="C38" s="2">
        <v>46.209907500000007</v>
      </c>
      <c r="D38">
        <f>Table1[[#This Row],[Mrd m3 '[2020']]]*9.77*-1</f>
        <v>-451.47079627500005</v>
      </c>
      <c r="E38">
        <v>83155</v>
      </c>
      <c r="F38">
        <f>IF(Table1[[#This Row],[TWh '[2020']]]=0,$D$27*(E38/$E$27),0)</f>
        <v>0</v>
      </c>
      <c r="G38">
        <f>MIN(Table1[[#This Row],[TWh '[2020']]],Table1[[#This Row],[TWh by share]])*1000</f>
        <v>-451470.79627500003</v>
      </c>
    </row>
    <row r="39" spans="1:7">
      <c r="A39" t="s">
        <v>11</v>
      </c>
      <c r="B39" t="s">
        <v>11</v>
      </c>
      <c r="C39" s="2">
        <v>73.145389499999993</v>
      </c>
      <c r="D39">
        <f>Table1[[#This Row],[Mrd m3 '[2020']]]*9.77*-1</f>
        <v>-714.63045541499991</v>
      </c>
      <c r="E39">
        <v>67025.5</v>
      </c>
      <c r="F39">
        <f>IF(Table1[[#This Row],[TWh '[2020']]]=0,$D$27*(E39/$E$27),0)</f>
        <v>0</v>
      </c>
      <c r="G39">
        <f>MIN(Table1[[#This Row],[TWh '[2020']]],Table1[[#This Row],[TWh by share]])*1000</f>
        <v>-714630.45541499986</v>
      </c>
    </row>
    <row r="40" spans="1:7">
      <c r="A40" t="s">
        <v>38</v>
      </c>
      <c r="B40" t="s">
        <v>67</v>
      </c>
      <c r="C40" s="2">
        <v>29.338741396263522</v>
      </c>
      <c r="D40">
        <f>Table1[[#This Row],[Mrd m3 '[2020']]]*9.77*-1</f>
        <v>-286.63950344149458</v>
      </c>
      <c r="E40">
        <v>41733</v>
      </c>
      <c r="F40">
        <f>IF(Table1[[#This Row],[TWh '[2020']]]=0,$D$27*(E40/$E$27),0)</f>
        <v>0</v>
      </c>
      <c r="G40">
        <f>MIN(Table1[[#This Row],[TWh '[2020']]],Table1[[#This Row],[TWh by share]])*1000</f>
        <v>-286639.5034414946</v>
      </c>
    </row>
    <row r="41" spans="1:7">
      <c r="A41" t="s">
        <v>108</v>
      </c>
      <c r="B41" t="s">
        <v>109</v>
      </c>
      <c r="C41" s="2"/>
      <c r="D41">
        <f>Table1[[#This Row],[Mrd m3 '[2020']]]*9.77*-1</f>
        <v>0</v>
      </c>
      <c r="E41">
        <v>888</v>
      </c>
      <c r="F41">
        <f>IF(Table1[[#This Row],[TWh '[2020']]]=0,$D$27*(E41/$E$27),0)</f>
        <v>-2.4081254030090244</v>
      </c>
      <c r="G41">
        <f>MIN(Table1[[#This Row],[TWh '[2020']]],Table1[[#This Row],[TWh by share]])*1000</f>
        <v>-2408.1254030090245</v>
      </c>
    </row>
    <row r="42" spans="1:7">
      <c r="B42" t="s">
        <v>117</v>
      </c>
      <c r="C42" s="2"/>
      <c r="D42">
        <f>Table1[[#This Row],[Mrd m3 '[2020']]]*9.77*-1</f>
        <v>0</v>
      </c>
      <c r="E42">
        <v>1782</v>
      </c>
      <c r="F42">
        <f>IF(Table1[[#This Row],[TWh '[2020']]]=0,$D$27*(E42/$E$27),0)</f>
        <v>-4.8325219236059471</v>
      </c>
      <c r="G42">
        <f>MIN(Table1[[#This Row],[TWh '[2020']]],Table1[[#This Row],[TWh by share]])*1000</f>
        <v>-4832.5219236059474</v>
      </c>
    </row>
    <row r="44" spans="1:7">
      <c r="C44" s="2">
        <f>SUM(Table1[Mrd m3 '[2020']])</f>
        <v>541.77584793709366</v>
      </c>
    </row>
    <row r="50" spans="1:2">
      <c r="A50" t="s">
        <v>132</v>
      </c>
    </row>
    <row r="51" spans="1:2">
      <c r="A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057-E499-4FE6-95AB-7A9B585F85EC}">
  <dimension ref="A1:I25"/>
  <sheetViews>
    <sheetView workbookViewId="0">
      <selection activeCell="A19" sqref="A19"/>
    </sheetView>
  </sheetViews>
  <sheetFormatPr defaultRowHeight="14.5"/>
  <cols>
    <col min="1" max="1" width="9.54296875" customWidth="1"/>
    <col min="2" max="2" width="12.54296875" customWidth="1"/>
    <col min="3" max="3" width="15" customWidth="1"/>
    <col min="4" max="4" width="12" customWidth="1"/>
    <col min="5" max="6" width="22.1796875" customWidth="1"/>
    <col min="15" max="15" width="11.81640625" bestFit="1" customWidth="1"/>
  </cols>
  <sheetData>
    <row r="1" spans="1:7">
      <c r="A1" s="8" t="s">
        <v>16</v>
      </c>
      <c r="B1" s="9" t="s">
        <v>55</v>
      </c>
      <c r="C1" s="9" t="s">
        <v>84</v>
      </c>
      <c r="D1" s="9" t="s">
        <v>170</v>
      </c>
      <c r="E1" s="9" t="s">
        <v>171</v>
      </c>
      <c r="F1" s="9" t="s">
        <v>266</v>
      </c>
      <c r="G1" s="10" t="s">
        <v>104</v>
      </c>
    </row>
    <row r="2" spans="1:7">
      <c r="A2" t="s">
        <v>149</v>
      </c>
      <c r="B2" s="6" t="s">
        <v>149</v>
      </c>
      <c r="C2" s="7">
        <v>834.54962782115695</v>
      </c>
      <c r="D2" s="7"/>
      <c r="E2" s="7">
        <f>Table7910[[#This Row],[Mil m3 '[2020']]]/1000</f>
        <v>0</v>
      </c>
      <c r="F2" s="14">
        <f>Table7910[[#This Row],[TWh '[2020']]]*1000</f>
        <v>-8153549.8638127027</v>
      </c>
      <c r="G2" s="3">
        <f>IF(Table7910[[#This Row],[Mil m3 '[2020']]]&gt;0,Table7910[[#This Row],[Mrd m3 '[2020']2]],Table7910[[#This Row],[Mrd m3 '[2020']]])*9.77*(-1)</f>
        <v>-8153.5498638127028</v>
      </c>
    </row>
    <row r="3" spans="1:7">
      <c r="A3" t="s">
        <v>196</v>
      </c>
      <c r="B3" t="s">
        <v>160</v>
      </c>
      <c r="C3">
        <f>1042.08498320178-834.549627821157</f>
        <v>207.53535538062306</v>
      </c>
      <c r="E3" s="2">
        <f>Table7910[[#This Row],[Mil m3 '[2020']]]/1000</f>
        <v>0</v>
      </c>
      <c r="F3" s="2">
        <f>Table7910[[#This Row],[TWh '[2020']]]*1000</f>
        <v>-2027620.4220686874</v>
      </c>
      <c r="G3" s="3">
        <f>IF(Table7910[[#This Row],[Mil m3 '[2020']]]&gt;0,Table7910[[#This Row],[Mrd m3 '[2020']2]],Table7910[[#This Row],[Mrd m3 '[2020']]])*9.77*(-1)</f>
        <v>-2027.6204220686873</v>
      </c>
    </row>
    <row r="4" spans="1:7">
      <c r="A4" t="s">
        <v>150</v>
      </c>
      <c r="B4" t="s">
        <v>161</v>
      </c>
      <c r="C4">
        <f>148.570059919613-15.1856471767803</f>
        <v>133.38441274283269</v>
      </c>
      <c r="E4" s="2">
        <f>Table7910[[#This Row],[Mil m3 '[2020']]]/1000</f>
        <v>0</v>
      </c>
      <c r="F4" s="2">
        <f>Table7910[[#This Row],[TWh '[2020']]]*1000</f>
        <v>-1303165.7124974753</v>
      </c>
      <c r="G4" s="3">
        <f>IF(Table7910[[#This Row],[Mil m3 '[2020']]]&gt;0,Table7910[[#This Row],[Mrd m3 '[2020']2]],Table7910[[#This Row],[Mrd m3 '[2020']]])*9.77*(-1)</f>
        <v>-1303.1657124974754</v>
      </c>
    </row>
    <row r="5" spans="1:7">
      <c r="A5" t="s">
        <v>151</v>
      </c>
      <c r="B5" t="s">
        <v>162</v>
      </c>
      <c r="C5">
        <f>15.1856471767803</f>
        <v>15.1856471767803</v>
      </c>
      <c r="E5" s="2">
        <f>Table7910[[#This Row],[Mil m3 '[2020']]]/1000</f>
        <v>0</v>
      </c>
      <c r="F5" s="2">
        <f>Table7910[[#This Row],[TWh '[2020']]]*1000</f>
        <v>-148363.77291714353</v>
      </c>
      <c r="G5" s="3">
        <f>IF(Table7910[[#This Row],[Mil m3 '[2020']]]&gt;0,Table7910[[#This Row],[Mrd m3 '[2020']2]],Table7910[[#This Row],[Mrd m3 '[2020']]])*9.77*(-1)</f>
        <v>-148.36377291714354</v>
      </c>
    </row>
    <row r="6" spans="1:7">
      <c r="A6" t="s">
        <v>152</v>
      </c>
      <c r="B6" t="s">
        <v>163</v>
      </c>
      <c r="C6" s="2">
        <f>552.897499957585-38.4132347090566</f>
        <v>514.48426524852835</v>
      </c>
      <c r="E6" s="2">
        <f>Table7910[[#This Row],[Mil m3 '[2020']]]/1000</f>
        <v>0</v>
      </c>
      <c r="F6" s="2">
        <f>Table7910[[#This Row],[TWh '[2020']]]*1000</f>
        <v>-5026511.2714781221</v>
      </c>
      <c r="G6" s="3">
        <f>IF(Table7910[[#This Row],[Mil m3 '[2020']]]&gt;0,Table7910[[#This Row],[Mrd m3 '[2020']2]],Table7910[[#This Row],[Mrd m3 '[2020']]])*9.77*(-1)</f>
        <v>-5026.5112714781217</v>
      </c>
    </row>
    <row r="7" spans="1:7">
      <c r="A7" t="s">
        <v>153</v>
      </c>
      <c r="B7" t="s">
        <v>174</v>
      </c>
      <c r="C7">
        <v>38.413234709056603</v>
      </c>
      <c r="E7" s="2">
        <f>Table7910[[#This Row],[Mil m3 '[2020']]]/1000</f>
        <v>0</v>
      </c>
      <c r="F7" s="2">
        <f>Table7910[[#This Row],[TWh '[2020']]]*1000</f>
        <v>-375297.30310748302</v>
      </c>
      <c r="G7" s="3">
        <f>IF(Table7910[[#This Row],[Mil m3 '[2020']]]&gt;0,Table7910[[#This Row],[Mrd m3 '[2020']2]],Table7910[[#This Row],[Mrd m3 '[2020']]])*9.77*(-1)</f>
        <v>-375.297303107483</v>
      </c>
    </row>
    <row r="8" spans="1:7">
      <c r="A8" t="s">
        <v>154</v>
      </c>
      <c r="B8" t="s">
        <v>164</v>
      </c>
      <c r="C8" s="2">
        <f>154.184349315883-C16-C17-C18-C19-C20</f>
        <v>40.449273476568081</v>
      </c>
      <c r="E8" s="2">
        <f>Table7910[[#This Row],[Mil m3 '[2020']]]/1000</f>
        <v>0</v>
      </c>
      <c r="F8" s="2">
        <f>Table7910[[#This Row],[TWh '[2020']]]*1000</f>
        <v>-395189.40186607011</v>
      </c>
      <c r="G8" s="3">
        <f>IF(Table7910[[#This Row],[Mil m3 '[2020']]]&gt;0,Table7910[[#This Row],[Mrd m3 '[2020']2]],Table7910[[#This Row],[Mrd m3 '[2020']]])*9.77*(-1)</f>
        <v>-395.18940186607011</v>
      </c>
    </row>
    <row r="9" spans="1:7">
      <c r="A9" t="s">
        <v>155</v>
      </c>
      <c r="B9" t="s">
        <v>165</v>
      </c>
      <c r="C9">
        <v>42.317339828787539</v>
      </c>
      <c r="E9" s="2">
        <f>Table7910[[#This Row],[Mil m3 '[2020']]]/1000</f>
        <v>0</v>
      </c>
      <c r="F9" s="2">
        <f>Table7910[[#This Row],[TWh '[2020']]]*1000</f>
        <v>-413440.4101272542</v>
      </c>
      <c r="G9" s="3">
        <f>IF(Table7910[[#This Row],[Mil m3 '[2020']]]&gt;0,Table7910[[#This Row],[Mrd m3 '[2020']2]],Table7910[[#This Row],[Mrd m3 '[2020']]])*9.77*(-1)</f>
        <v>-413.44041012725421</v>
      </c>
    </row>
    <row r="10" spans="1:7">
      <c r="A10" t="s">
        <v>156</v>
      </c>
      <c r="B10" t="s">
        <v>166</v>
      </c>
      <c r="C10">
        <v>336.61725663716805</v>
      </c>
      <c r="E10" s="2">
        <f>Table7910[[#This Row],[Mil m3 '[2020']]]/1000</f>
        <v>0</v>
      </c>
      <c r="F10" s="2">
        <f>Table7910[[#This Row],[TWh '[2020']]]*1000</f>
        <v>-3288750.5973451314</v>
      </c>
      <c r="G10" s="3">
        <f>IF(Table7910[[#This Row],[Mil m3 '[2020']]]&gt;0,Table7910[[#This Row],[Mrd m3 '[2020']2]],Table7910[[#This Row],[Mrd m3 '[2020']]])*9.77*(-1)</f>
        <v>-3288.7505973451316</v>
      </c>
    </row>
    <row r="11" spans="1:7">
      <c r="A11" t="s">
        <v>157</v>
      </c>
      <c r="B11" t="s">
        <v>167</v>
      </c>
      <c r="C11">
        <f>104.1275049683+57.53730834</f>
        <v>161.66481330830001</v>
      </c>
      <c r="E11" s="2">
        <f>Table7910[[#This Row],[Mil m3 '[2020']]]/1000</f>
        <v>0</v>
      </c>
      <c r="F11" s="2">
        <f>Table7910[[#This Row],[TWh '[2020']]]*1000</f>
        <v>-1579465.226022091</v>
      </c>
      <c r="G11" s="3">
        <f>IF(Table7910[[#This Row],[Mil m3 '[2020']]]&gt;0,Table7910[[#This Row],[Mrd m3 '[2020']2]],Table7910[[#This Row],[Mrd m3 '[2020']]])*9.77*(-1)</f>
        <v>-1579.465226022091</v>
      </c>
    </row>
    <row r="12" spans="1:7">
      <c r="A12" t="s">
        <v>158</v>
      </c>
      <c r="B12" t="s">
        <v>168</v>
      </c>
      <c r="C12">
        <v>60.360121323378813</v>
      </c>
      <c r="E12" s="2">
        <f>Table7910[[#This Row],[Mil m3 '[2020']]]/1000</f>
        <v>0</v>
      </c>
      <c r="F12" s="2">
        <f>Table7910[[#This Row],[TWh '[2020']]]*1000</f>
        <v>-589718.3853294109</v>
      </c>
      <c r="G12" s="3">
        <f>IF(Table7910[[#This Row],[Mil m3 '[2020']]]&gt;0,Table7910[[#This Row],[Mrd m3 '[2020']2]],Table7910[[#This Row],[Mrd m3 '[2020']]])*9.77*(-1)</f>
        <v>-589.71838532941092</v>
      </c>
    </row>
    <row r="13" spans="1:7">
      <c r="A13" t="s">
        <v>159</v>
      </c>
      <c r="B13" t="s">
        <v>169</v>
      </c>
      <c r="C13">
        <f>876.9412368709-C12-C10-C9-C11-C21</f>
        <v>189.7875106376263</v>
      </c>
      <c r="E13" s="2">
        <f>Table7910[[#This Row],[Mil m3 '[2020']]]/1000</f>
        <v>0</v>
      </c>
      <c r="F13" s="2">
        <f>Table7910[[#This Row],[TWh '[2020']]]*1000</f>
        <v>-1854223.9789296088</v>
      </c>
      <c r="G13" s="3">
        <f>IF(Table7910[[#This Row],[Mil m3 '[2020']]]&gt;0,Table7910[[#This Row],[Mrd m3 '[2020']2]],Table7910[[#This Row],[Mrd m3 '[2020']]])*9.77*(-1)</f>
        <v>-1854.2239789296088</v>
      </c>
    </row>
    <row r="14" spans="1:7">
      <c r="A14" t="s">
        <v>172</v>
      </c>
      <c r="B14" t="s">
        <v>173</v>
      </c>
      <c r="C14">
        <f>554.955290969357-423.483407079646-17.7510088495575</f>
        <v>113.72087504015346</v>
      </c>
      <c r="E14" s="2">
        <f>Table7910[[#This Row],[Mil m3 '[2020']]]/1000</f>
        <v>0</v>
      </c>
      <c r="F14" s="2">
        <f>Table7910[[#This Row],[TWh '[2020']]]*1000</f>
        <v>-1111052.9491422991</v>
      </c>
      <c r="G14" s="3">
        <f>IF(Table7910[[#This Row],[Mil m3 '[2020']]]&gt;0,Table7910[[#This Row],[Mrd m3 '[2020']2]],Table7910[[#This Row],[Mrd m3 '[2020']]])*9.77*(-1)</f>
        <v>-1111.0529491422992</v>
      </c>
    </row>
    <row r="15" spans="1:7">
      <c r="A15" t="s">
        <v>40</v>
      </c>
      <c r="B15" t="s">
        <v>69</v>
      </c>
      <c r="C15">
        <v>423.48340707964599</v>
      </c>
      <c r="E15" s="2">
        <f>Table7910[[#This Row],[Mil m3 '[2020']]]/1000</f>
        <v>0</v>
      </c>
      <c r="F15" s="2">
        <f>Table7910[[#This Row],[TWh '[2020']]]*1000</f>
        <v>-4137432.8871681411</v>
      </c>
      <c r="G15" s="3">
        <f>IF(Table7910[[#This Row],[Mil m3 '[2020']]]&gt;0,Table7910[[#This Row],[Mrd m3 '[2020']2]],Table7910[[#This Row],[Mrd m3 '[2020']]])*9.77*(-1)</f>
        <v>-4137.432887168141</v>
      </c>
    </row>
    <row r="16" spans="1:7">
      <c r="A16" t="s">
        <v>49</v>
      </c>
      <c r="B16" t="s">
        <v>78</v>
      </c>
      <c r="C16">
        <v>43.350037499999999</v>
      </c>
      <c r="E16" s="2">
        <f>Table7910[[#This Row],[Mil m3 '[2020']]]/1000</f>
        <v>0</v>
      </c>
      <c r="F16" s="2">
        <f>Table7910[[#This Row],[TWh '[2020']]]*1000</f>
        <v>-423529.86637499998</v>
      </c>
      <c r="G16" s="3">
        <f>IF(Table7910[[#This Row],[Mil m3 '[2020']]]&gt;0,Table7910[[#This Row],[Mrd m3 '[2020']2]],Table7910[[#This Row],[Mrd m3 '[2020']]])*9.77*(-1)</f>
        <v>-423.52986637499998</v>
      </c>
    </row>
    <row r="17" spans="1:9">
      <c r="A17" t="s">
        <v>51</v>
      </c>
      <c r="B17" t="s">
        <v>80</v>
      </c>
      <c r="C17">
        <v>7.7</v>
      </c>
      <c r="E17" s="2">
        <f>Table7910[[#This Row],[Mil m3 '[2020']]]/1000</f>
        <v>0</v>
      </c>
      <c r="F17" s="2">
        <f>Table7910[[#This Row],[TWh '[2020']]]*1000</f>
        <v>-75229</v>
      </c>
      <c r="G17" s="3">
        <f>IF(Table7910[[#This Row],[Mil m3 '[2020']]]&gt;0,Table7910[[#This Row],[Mrd m3 '[2020']2]],Table7910[[#This Row],[Mrd m3 '[2020']]])*9.77*(-1)</f>
        <v>-75.228999999999999</v>
      </c>
    </row>
    <row r="18" spans="1:9">
      <c r="A18" t="s">
        <v>50</v>
      </c>
      <c r="B18" t="s">
        <v>79</v>
      </c>
      <c r="C18">
        <v>3.5904531497162</v>
      </c>
      <c r="E18" s="2">
        <f>Table7910[[#This Row],[Mil m3 '[2020']]]/1000</f>
        <v>0</v>
      </c>
      <c r="F18" s="2">
        <f>Table7910[[#This Row],[TWh '[2020']]]*1000</f>
        <v>-35078.727272727272</v>
      </c>
      <c r="G18" s="3">
        <f>IF(Table7910[[#This Row],[Mil m3 '[2020']]]&gt;0,Table7910[[#This Row],[Mrd m3 '[2020']2]],Table7910[[#This Row],[Mrd m3 '[2020']]])*9.77*(-1)</f>
        <v>-35.078727272727271</v>
      </c>
    </row>
    <row r="19" spans="1:9">
      <c r="A19" t="s">
        <v>96</v>
      </c>
      <c r="B19" t="s">
        <v>175</v>
      </c>
      <c r="C19">
        <v>0.78666131450805166</v>
      </c>
      <c r="E19" s="2">
        <f>Table7910[[#This Row],[Mil m3 '[2020']]]/1000</f>
        <v>0</v>
      </c>
      <c r="F19" s="2">
        <f>Table7910[[#This Row],[TWh '[2020']]]*1000</f>
        <v>-7685.681042743664</v>
      </c>
      <c r="G19" s="3">
        <f>IF(Table7910[[#This Row],[Mil m3 '[2020']]]&gt;0,Table7910[[#This Row],[Mrd m3 '[2020']2]],Table7910[[#This Row],[Mrd m3 '[2020']]])*9.77*(-1)</f>
        <v>-7.6856810427436644</v>
      </c>
    </row>
    <row r="20" spans="1:9">
      <c r="A20" t="s">
        <v>177</v>
      </c>
      <c r="B20" t="s">
        <v>178</v>
      </c>
      <c r="C20">
        <v>58.307923875090665</v>
      </c>
      <c r="E20" s="2">
        <f>Table7910[[#This Row],[Mil m3 '[2020']]]/1000</f>
        <v>0</v>
      </c>
      <c r="F20" s="2">
        <f>Table7910[[#This Row],[TWh '[2020']]]*1000</f>
        <v>-569668.41625963582</v>
      </c>
      <c r="G20" s="3">
        <f>IF(Table7910[[#This Row],[Mil m3 '[2020']]]&gt;0,Table7910[[#This Row],[Mrd m3 '[2020']2]],Table7910[[#This Row],[Mrd m3 '[2020']]])*9.77*(-1)</f>
        <v>-569.66841625963582</v>
      </c>
    </row>
    <row r="21" spans="1:9">
      <c r="A21" t="s">
        <v>192</v>
      </c>
      <c r="B21" t="s">
        <v>195</v>
      </c>
      <c r="C21">
        <f>42.5805321356392+43.613663</f>
        <v>86.194195135639205</v>
      </c>
      <c r="E21" s="2">
        <f>Table7910[[#This Row],[Mil m3 '[2020']]]/1000</f>
        <v>0</v>
      </c>
      <c r="F21" s="2">
        <f>Table7910[[#This Row],[TWh '[2020']]]*1000</f>
        <v>-842117.28647519497</v>
      </c>
      <c r="G21" s="3">
        <f>IF(Table7910[[#This Row],[Mil m3 '[2020']]]&gt;0,Table7910[[#This Row],[Mrd m3 '[2020']2]],Table7910[[#This Row],[Mrd m3 '[2020']]])*9.77*(-1)</f>
        <v>-842.11728647519499</v>
      </c>
    </row>
    <row r="22" spans="1:9">
      <c r="A22" t="s">
        <v>52</v>
      </c>
      <c r="B22" t="s">
        <v>81</v>
      </c>
      <c r="C22">
        <v>17.7510088495575</v>
      </c>
      <c r="E22" s="2">
        <f>Table7910[[#This Row],[Mil m3 '[2020']]]/1000</f>
        <v>0</v>
      </c>
      <c r="F22" s="2">
        <f>Table7910[[#This Row],[TWh '[2020']]]*1000</f>
        <v>-173427.35646017679</v>
      </c>
      <c r="G22" s="3">
        <f>IF(Table7910[[#This Row],[Mil m3 '[2020']]]&gt;0,Table7910[[#This Row],[Mrd m3 '[2020']2]],Table7910[[#This Row],[Mrd m3 '[2020']]])*9.77*(-1)</f>
        <v>-173.42735646017678</v>
      </c>
    </row>
    <row r="24" spans="1:9">
      <c r="A24" t="s">
        <v>79</v>
      </c>
      <c r="B24" t="s">
        <v>136</v>
      </c>
      <c r="I24" t="s">
        <v>137</v>
      </c>
    </row>
    <row r="25" spans="1:9">
      <c r="A25" t="s">
        <v>80</v>
      </c>
      <c r="B25" t="s">
        <v>176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BB83-8C6D-4234-B52F-BC23EBBF1927}">
  <dimension ref="A1:G53"/>
  <sheetViews>
    <sheetView workbookViewId="0">
      <selection activeCell="F6" sqref="F6"/>
    </sheetView>
  </sheetViews>
  <sheetFormatPr defaultRowHeight="14.5"/>
  <cols>
    <col min="1" max="1" width="9.54296875" customWidth="1"/>
    <col min="2" max="2" width="20.36328125" customWidth="1"/>
    <col min="3" max="3" width="15" customWidth="1"/>
    <col min="4" max="4" width="12" customWidth="1"/>
    <col min="5" max="5" width="22.1796875" customWidth="1"/>
  </cols>
  <sheetData>
    <row r="1" spans="1:7">
      <c r="A1" t="s">
        <v>16</v>
      </c>
      <c r="B1" t="s">
        <v>55</v>
      </c>
      <c r="C1" t="s">
        <v>134</v>
      </c>
      <c r="D1" t="s">
        <v>133</v>
      </c>
      <c r="E1" t="s">
        <v>107</v>
      </c>
      <c r="F1" t="s">
        <v>266</v>
      </c>
      <c r="G1" t="s">
        <v>118</v>
      </c>
    </row>
    <row r="2" spans="1:7">
      <c r="A2" t="s">
        <v>41</v>
      </c>
      <c r="B2" t="s">
        <v>73</v>
      </c>
      <c r="C2" s="2"/>
      <c r="D2">
        <f>Table15[[#This Row],[Mrd m3 '[2023']]]*9.77*-1</f>
        <v>0</v>
      </c>
      <c r="E2">
        <v>2846</v>
      </c>
      <c r="F2">
        <f>MIN(Table15[[#This Row],[TWh '[2023']]],Table15[[#This Row],[TWh by share]])*1000</f>
        <v>-9856.3519374511106</v>
      </c>
      <c r="G2">
        <f>IF(Table15[[#This Row],[TWh '[2023']]]=0,$D$27*(E2/$E$27),0)</f>
        <v>-9.8563519374511106</v>
      </c>
    </row>
    <row r="3" spans="1:7">
      <c r="A3" t="s">
        <v>20</v>
      </c>
      <c r="B3" t="s">
        <v>57</v>
      </c>
      <c r="C3" s="2">
        <v>6.881278581090001</v>
      </c>
      <c r="D3">
        <f>Table15[[#This Row],[Mrd m3 '[2023']]]*9.77*-1</f>
        <v>-67.23009173724931</v>
      </c>
      <c r="E3">
        <v>8901.1</v>
      </c>
      <c r="F3">
        <f>MIN(Table15[[#This Row],[TWh '[2023']]],Table15[[#This Row],[TWh by share]])*1000</f>
        <v>-67230.091737249313</v>
      </c>
      <c r="G3">
        <f>IF(Table15[[#This Row],[TWh '[2023']]]=0,$D$27*(E3/$E$27),0)</f>
        <v>0</v>
      </c>
    </row>
    <row r="4" spans="1:7">
      <c r="A4" t="s">
        <v>17</v>
      </c>
      <c r="B4" t="s">
        <v>0</v>
      </c>
      <c r="C4" s="2">
        <v>13.70613731198001</v>
      </c>
      <c r="D4">
        <f>Table15[[#This Row],[Mrd m3 '[2023']]]*9.77*-1</f>
        <v>-133.90896153804468</v>
      </c>
      <c r="E4">
        <v>11549.9</v>
      </c>
      <c r="F4">
        <f>MIN(Table15[[#This Row],[TWh '[2023']]],Table15[[#This Row],[TWh by share]])*1000</f>
        <v>-133908.96153804468</v>
      </c>
      <c r="G4">
        <f>IF(Table15[[#This Row],[TWh '[2023']]]=0,$D$27*(E4/$E$27),0)</f>
        <v>0</v>
      </c>
    </row>
    <row r="5" spans="1:7">
      <c r="A5" t="s">
        <v>44</v>
      </c>
      <c r="B5" t="s">
        <v>75</v>
      </c>
      <c r="C5" s="2"/>
      <c r="D5">
        <f>Table15[[#This Row],[Mrd m3 '[2023']]]*9.77*-1</f>
        <v>0</v>
      </c>
      <c r="E5">
        <v>3492</v>
      </c>
      <c r="F5">
        <v>-5110</v>
      </c>
      <c r="G5">
        <f>IF(Table15[[#This Row],[TWh '[2023']]]=0,$D$27*(E5/$E$27),0)</f>
        <v>-12.093598371601995</v>
      </c>
    </row>
    <row r="6" spans="1:7">
      <c r="A6" t="s">
        <v>32</v>
      </c>
      <c r="B6" t="s">
        <v>64</v>
      </c>
      <c r="C6" s="2">
        <v>2.5260000000000002</v>
      </c>
      <c r="D6">
        <f>Table15[[#This Row],[Mrd m3 '[2023']]]*9.77*-1</f>
        <v>-24.679020000000001</v>
      </c>
      <c r="E6">
        <v>6951.5</v>
      </c>
      <c r="F6">
        <f>MIN(Table15[[#This Row],[TWh '[2023']]],Table15[[#This Row],[TWh by share]])*1000</f>
        <v>-24679.02</v>
      </c>
      <c r="G6">
        <f>IF(Table15[[#This Row],[TWh '[2023']]]=0,$D$27*(E6/$E$27),0)</f>
        <v>0</v>
      </c>
    </row>
    <row r="7" spans="1:7">
      <c r="A7" t="s">
        <v>24</v>
      </c>
      <c r="B7" t="s">
        <v>5</v>
      </c>
      <c r="C7" s="2">
        <v>2.500143698008789</v>
      </c>
      <c r="D7">
        <f>Table15[[#This Row],[Mrd m3 '[2023']]]*9.77*-1</f>
        <v>-24.426403929545867</v>
      </c>
      <c r="E7">
        <v>4058.2</v>
      </c>
      <c r="F7">
        <f>MIN(Table15[[#This Row],[TWh '[2023']]],Table15[[#This Row],[TWh by share]])*1000</f>
        <v>-24426.403929545868</v>
      </c>
      <c r="G7">
        <f>IF(Table15[[#This Row],[TWh '[2023']]]=0,$D$27*(E7/$E$27),0)</f>
        <v>0</v>
      </c>
    </row>
    <row r="8" spans="1:7">
      <c r="A8" t="s">
        <v>28</v>
      </c>
      <c r="B8" t="s">
        <v>61</v>
      </c>
      <c r="C8" s="2">
        <v>6.6974999999999998</v>
      </c>
      <c r="D8">
        <f>Table15[[#This Row],[Mrd m3 '[2023']]]*9.77*-1</f>
        <v>-65.434574999999995</v>
      </c>
      <c r="E8">
        <v>10693.9</v>
      </c>
      <c r="F8">
        <f>MIN(Table15[[#This Row],[TWh '[2023']]],Table15[[#This Row],[TWh by share]])*1000</f>
        <v>-65434.574999999997</v>
      </c>
      <c r="G8">
        <f>IF(Table15[[#This Row],[TWh '[2023']]]=0,$D$27*(E8/$E$27),0)</f>
        <v>0</v>
      </c>
    </row>
    <row r="9" spans="1:7">
      <c r="A9" t="s">
        <v>26</v>
      </c>
      <c r="B9" t="s">
        <v>60</v>
      </c>
      <c r="C9" s="2">
        <v>1.6302510017201839</v>
      </c>
      <c r="D9">
        <f>Table15[[#This Row],[Mrd m3 '[2023']]]*9.77*-1</f>
        <v>-15.927552286806195</v>
      </c>
      <c r="E9">
        <v>5822.8</v>
      </c>
      <c r="F9">
        <f>MIN(Table15[[#This Row],[TWh '[2023']]],Table15[[#This Row],[TWh by share]])*1000</f>
        <v>-15927.552286806194</v>
      </c>
      <c r="G9">
        <f>IF(Table15[[#This Row],[TWh '[2023']]]=0,$D$27*(E9/$E$27),0)</f>
        <v>0</v>
      </c>
    </row>
    <row r="10" spans="1:7">
      <c r="A10" t="s">
        <v>53</v>
      </c>
      <c r="B10" t="s">
        <v>66</v>
      </c>
      <c r="C10" s="2">
        <v>0.36988437623824216</v>
      </c>
      <c r="D10">
        <f>Table15[[#This Row],[Mrd m3 '[2023']]]*9.77*-1</f>
        <v>-3.6137703558476257</v>
      </c>
      <c r="E10">
        <v>1329</v>
      </c>
      <c r="F10">
        <f>MIN(Table15[[#This Row],[TWh '[2023']]],Table15[[#This Row],[TWh by share]])*1000</f>
        <v>-3613.7703558476255</v>
      </c>
      <c r="G10">
        <f>IF(Table15[[#This Row],[TWh '[2023']]]=0,$D$27*(E10/$E$27),0)</f>
        <v>0</v>
      </c>
    </row>
    <row r="11" spans="1:7">
      <c r="A11" t="s">
        <v>54</v>
      </c>
      <c r="B11" t="s">
        <v>85</v>
      </c>
      <c r="C11" s="2">
        <v>1.1944166666666667</v>
      </c>
      <c r="D11">
        <f>Table15[[#This Row],[Mrd m3 '[2023']]]*9.77*-1</f>
        <v>-11.669450833333332</v>
      </c>
      <c r="E11">
        <v>5525.3</v>
      </c>
      <c r="F11">
        <f>MIN(Table15[[#This Row],[TWh '[2023']]],Table15[[#This Row],[TWh by share]])*1000</f>
        <v>-11669.450833333332</v>
      </c>
      <c r="G11">
        <f>IF(Table15[[#This Row],[TWh '[2023']]]=0,$D$27*(E11/$E$27),0)</f>
        <v>0</v>
      </c>
    </row>
    <row r="12" spans="1:7">
      <c r="A12" t="s">
        <v>25</v>
      </c>
      <c r="B12" t="s">
        <v>2</v>
      </c>
      <c r="C12" s="2">
        <v>33.864162380796365</v>
      </c>
      <c r="D12">
        <f>Table15[[#This Row],[Mrd m3 '[2023']]]*9.77*-1</f>
        <v>-330.85286646038048</v>
      </c>
      <c r="E12">
        <v>67098.8</v>
      </c>
      <c r="F12">
        <f>MIN(Table15[[#This Row],[TWh '[2023']]],Table15[[#This Row],[TWh by share]])*1000</f>
        <v>-330852.86646038049</v>
      </c>
      <c r="G12">
        <f>IF(Table15[[#This Row],[TWh '[2023']]]=0,$D$27*(E12/$E$27),0)</f>
        <v>0</v>
      </c>
    </row>
    <row r="13" spans="1:7">
      <c r="A13" t="s">
        <v>19</v>
      </c>
      <c r="B13" t="s">
        <v>56</v>
      </c>
      <c r="C13" s="2">
        <v>75.663813855200303</v>
      </c>
      <c r="D13">
        <f>Table15[[#This Row],[Mrd m3 '[2023']]]*9.77*-1</f>
        <v>-739.23546136530695</v>
      </c>
      <c r="E13">
        <v>83166.7</v>
      </c>
      <c r="F13">
        <f>MIN(Table15[[#This Row],[TWh '[2023']]],Table15[[#This Row],[TWh by share]])*1000</f>
        <v>-739235.46136530698</v>
      </c>
      <c r="G13">
        <f>IF(Table15[[#This Row],[TWh '[2023']]]=0,$D$27*(E13/$E$27),0)</f>
        <v>0</v>
      </c>
    </row>
    <row r="14" spans="1:7">
      <c r="A14" t="s">
        <v>264</v>
      </c>
      <c r="B14" t="s">
        <v>3</v>
      </c>
      <c r="C14" s="2">
        <v>5.3821999999999992</v>
      </c>
      <c r="D14">
        <f>Table15[[#This Row],[Mrd m3 '[2023']]]*9.77*-1</f>
        <v>-52.584093999999993</v>
      </c>
      <c r="E14">
        <v>10709.7</v>
      </c>
      <c r="F14">
        <f>MIN(Table15[[#This Row],[TWh '[2023']]],Table15[[#This Row],[TWh by share]])*1000</f>
        <v>-52584.09399999999</v>
      </c>
      <c r="G14">
        <f>IF(Table15[[#This Row],[TWh '[2023']]]=0,$D$27*(E14/$E$27),0)</f>
        <v>0</v>
      </c>
    </row>
    <row r="15" spans="1:7">
      <c r="A15" t="s">
        <v>30</v>
      </c>
      <c r="B15" t="s">
        <v>63</v>
      </c>
      <c r="C15" s="2">
        <v>8.1848333333333336</v>
      </c>
      <c r="D15">
        <f>Table15[[#This Row],[Mrd m3 '[2023']]]*9.77*-1</f>
        <v>-79.96582166666667</v>
      </c>
      <c r="E15">
        <v>9769.5</v>
      </c>
      <c r="F15">
        <f>MIN(Table15[[#This Row],[TWh '[2023']]],Table15[[#This Row],[TWh by share]])*1000</f>
        <v>-79965.82166666667</v>
      </c>
      <c r="G15">
        <f>IF(Table15[[#This Row],[TWh '[2023']]]=0,$D$27*(E15/$E$27),0)</f>
        <v>0</v>
      </c>
    </row>
    <row r="16" spans="1:7">
      <c r="A16" t="s">
        <v>43</v>
      </c>
      <c r="B16" t="s">
        <v>74</v>
      </c>
      <c r="C16" s="2">
        <v>4.8234356462169234</v>
      </c>
      <c r="D16">
        <f>Table15[[#This Row],[Mrd m3 '[2023']]]*9.77*-1</f>
        <v>-47.124966263539342</v>
      </c>
      <c r="E16">
        <v>4963.8</v>
      </c>
      <c r="F16">
        <f>MIN(Table15[[#This Row],[TWh '[2023']]],Table15[[#This Row],[TWh by share]])*1000</f>
        <v>-47124.96626353934</v>
      </c>
      <c r="G16">
        <f>IF(Table15[[#This Row],[TWh '[2023']]]=0,$D$27*(E16/$E$27),0)</f>
        <v>0</v>
      </c>
    </row>
    <row r="17" spans="1:7">
      <c r="A17" t="s">
        <v>21</v>
      </c>
      <c r="B17" t="s">
        <v>4</v>
      </c>
      <c r="C17" s="2">
        <v>58.597640207836605</v>
      </c>
      <c r="D17">
        <f>Table15[[#This Row],[Mrd m3 '[2023']]]*9.77*-1</f>
        <v>-572.49894483056357</v>
      </c>
      <c r="E17">
        <v>60244.6</v>
      </c>
      <c r="F17">
        <f>MIN(Table15[[#This Row],[TWh '[2023']]],Table15[[#This Row],[TWh by share]])*1000</f>
        <v>-572498.94483056362</v>
      </c>
      <c r="G17">
        <f>IF(Table15[[#This Row],[TWh '[2023']]]=0,$D$27*(E17/$E$27),0)</f>
        <v>0</v>
      </c>
    </row>
    <row r="18" spans="1:7">
      <c r="A18" t="s">
        <v>35</v>
      </c>
      <c r="B18" t="s">
        <v>65</v>
      </c>
      <c r="C18" s="2">
        <v>0.76711249999999997</v>
      </c>
      <c r="D18">
        <f>Table15[[#This Row],[Mrd m3 '[2023']]]*9.77*-1</f>
        <v>-7.4946891249999998</v>
      </c>
      <c r="E18">
        <v>1907.7</v>
      </c>
      <c r="F18">
        <f>MIN(Table15[[#This Row],[TWh '[2023']]],Table15[[#This Row],[TWh by share]])*1000</f>
        <v>-7494.6891249999999</v>
      </c>
      <c r="G18">
        <f>IF(Table15[[#This Row],[TWh '[2023']]]=0,$D$27*(E18/$E$27),0)</f>
        <v>0</v>
      </c>
    </row>
    <row r="19" spans="1:7">
      <c r="A19" t="s">
        <v>34</v>
      </c>
      <c r="B19" t="s">
        <v>6</v>
      </c>
      <c r="C19" s="2">
        <v>1.5655230000000002</v>
      </c>
      <c r="D19">
        <f>Table15[[#This Row],[Mrd m3 '[2023']]]*9.77*-1</f>
        <v>-15.295159710000002</v>
      </c>
      <c r="E19">
        <v>2794.1</v>
      </c>
      <c r="F19">
        <f>MIN(Table15[[#This Row],[TWh '[2023']]],Table15[[#This Row],[TWh by share]])*1000</f>
        <v>-15295.159710000002</v>
      </c>
      <c r="G19">
        <f>IF(Table15[[#This Row],[TWh '[2023']]]=0,$D$27*(E19/$E$27),0)</f>
        <v>0</v>
      </c>
    </row>
    <row r="20" spans="1:7">
      <c r="A20" t="s">
        <v>42</v>
      </c>
      <c r="B20" t="s">
        <v>70</v>
      </c>
      <c r="C20" s="2">
        <v>0.57345708050874755</v>
      </c>
      <c r="D20">
        <f>Table15[[#This Row],[Mrd m3 '[2023']]]*9.77*-1</f>
        <v>-5.6026756765704633</v>
      </c>
      <c r="E20">
        <v>626.1</v>
      </c>
      <c r="F20">
        <f>MIN(Table15[[#This Row],[TWh '[2023']]],Table15[[#This Row],[TWh by share]])*1000</f>
        <v>-5602.6756765704631</v>
      </c>
      <c r="G20">
        <f>IF(Table15[[#This Row],[TWh '[2023']]]=0,$D$27*(E20/$E$27),0)</f>
        <v>0</v>
      </c>
    </row>
    <row r="21" spans="1:7">
      <c r="A21" t="s">
        <v>110</v>
      </c>
      <c r="B21" t="s">
        <v>91</v>
      </c>
      <c r="C21" s="2"/>
      <c r="D21">
        <f>Table15[[#This Row],[Mrd m3 '[2023']]]*9.77*-1</f>
        <v>0</v>
      </c>
      <c r="E21">
        <v>514.6</v>
      </c>
      <c r="F21">
        <f>MIN(Table15[[#This Row],[TWh '[2023']]],Table15[[#This Row],[TWh by share]])*1000</f>
        <v>-1782.1780418174076</v>
      </c>
      <c r="G21">
        <f>IF(Table15[[#This Row],[TWh '[2023']]]=0,$D$27*(E21/$E$27),0)</f>
        <v>-1.7821780418174076</v>
      </c>
    </row>
    <row r="22" spans="1:7">
      <c r="A22" t="s">
        <v>39</v>
      </c>
      <c r="B22" t="s">
        <v>68</v>
      </c>
      <c r="C22" s="2"/>
      <c r="D22">
        <f>Table15[[#This Row],[Mrd m3 '[2023']]]*9.77*-1</f>
        <v>0</v>
      </c>
      <c r="E22">
        <v>2579</v>
      </c>
      <c r="F22">
        <f>MIN(Table15[[#This Row],[TWh '[2023']]],Table15[[#This Row],[TWh by share]])*1000</f>
        <v>-8931.6695877324019</v>
      </c>
      <c r="G22">
        <f>IF(Table15[[#This Row],[TWh '[2023']]]=0,$D$27*(E22/$E$27),0)</f>
        <v>-8.9316695877324026</v>
      </c>
    </row>
    <row r="23" spans="1:7">
      <c r="B23" t="s">
        <v>111</v>
      </c>
      <c r="C23" s="2"/>
      <c r="D23">
        <f>Table15[[#This Row],[Mrd m3 '[2023']]]*9.77*-1</f>
        <v>0</v>
      </c>
      <c r="E23">
        <v>621.9</v>
      </c>
      <c r="F23">
        <f>MIN(Table15[[#This Row],[TWh '[2023']]],Table15[[#This Row],[TWh by share]])*1000</f>
        <v>-2153.7825965920051</v>
      </c>
      <c r="G23">
        <f>IF(Table15[[#This Row],[TWh '[2023']]]=0,$D$27*(E23/$E$27),0)</f>
        <v>-2.1537825965920052</v>
      </c>
    </row>
    <row r="24" spans="1:7">
      <c r="A24" t="s">
        <v>18</v>
      </c>
      <c r="B24" t="s">
        <v>7</v>
      </c>
      <c r="C24" s="2">
        <v>25.772222222222222</v>
      </c>
      <c r="D24">
        <f>Table15[[#This Row],[Mrd m3 '[2023']]]*9.77*-1</f>
        <v>-251.7946111111111</v>
      </c>
      <c r="E24">
        <v>17407.599999999999</v>
      </c>
      <c r="F24">
        <f>MIN(Table15[[#This Row],[TWh '[2023']]],Table15[[#This Row],[TWh by share]])*1000</f>
        <v>-251794.61111111109</v>
      </c>
      <c r="G24">
        <f>IF(Table15[[#This Row],[TWh '[2023']]]=0,$D$27*(E24/$E$27),0)</f>
        <v>0</v>
      </c>
    </row>
    <row r="25" spans="1:7">
      <c r="A25" t="s">
        <v>45</v>
      </c>
      <c r="B25" t="s">
        <v>76</v>
      </c>
      <c r="C25" s="2">
        <v>0.35287261590049462</v>
      </c>
      <c r="D25">
        <f>Table15[[#This Row],[Mrd m3 '[2023']]]*9.77*-1</f>
        <v>-3.4475654573478325</v>
      </c>
      <c r="E25">
        <v>2076.3000000000002</v>
      </c>
      <c r="F25">
        <f>MIN(Table15[[#This Row],[TWh '[2023']]],Table15[[#This Row],[TWh by share]])*1000</f>
        <v>-3447.5654573478323</v>
      </c>
      <c r="G25">
        <f>IF(Table15[[#This Row],[TWh '[2023']]]=0,$D$27*(E25/$E$27),0)</f>
        <v>0</v>
      </c>
    </row>
    <row r="26" spans="1:7">
      <c r="A26" t="s">
        <v>48</v>
      </c>
      <c r="B26" t="s">
        <v>71</v>
      </c>
      <c r="C26" s="2">
        <v>3.7932103112550002</v>
      </c>
      <c r="D26">
        <f>Table15[[#This Row],[Mrd m3 '[2023']]]*9.77*-1</f>
        <v>-37.059664740961352</v>
      </c>
      <c r="E26">
        <v>5367.6</v>
      </c>
      <c r="F26">
        <f>MIN(Table15[[#This Row],[TWh '[2023']]],Table15[[#This Row],[TWh by share]])*1000</f>
        <v>-37059.664740961351</v>
      </c>
      <c r="G26">
        <f>IF(Table15[[#This Row],[TWh '[2023']]]=0,$D$27*(E26/$E$27),0)</f>
        <v>0</v>
      </c>
    </row>
    <row r="27" spans="1:7">
      <c r="A27" t="s">
        <v>87</v>
      </c>
      <c r="B27" t="s">
        <v>88</v>
      </c>
      <c r="C27" s="2">
        <v>6.9655227952428636</v>
      </c>
      <c r="D27">
        <f>Table15[[#This Row],[Mrd m3 '[2023']]]*9.77*-1</f>
        <v>-68.053157709522779</v>
      </c>
      <c r="E27">
        <f>SUMIF(D2:D26,"=0",E2:E26)+SUMIF(D28:D42,"=0",E28:E42)</f>
        <v>19650.2</v>
      </c>
      <c r="F27">
        <f>MIN(Table15[[#This Row],[TWh '[2023']]],Table15[[#This Row],[TWh by share]])*1000</f>
        <v>-68053.157709522784</v>
      </c>
      <c r="G27">
        <f>IF(Table15[[#This Row],[TWh '[2023']]]=0,$D$27*(E27/$E$27),0)</f>
        <v>0</v>
      </c>
    </row>
    <row r="28" spans="1:7">
      <c r="A28" t="s">
        <v>27</v>
      </c>
      <c r="B28" t="s">
        <v>8</v>
      </c>
      <c r="C28" s="2">
        <v>19.582712959636471</v>
      </c>
      <c r="D28">
        <f>Table15[[#This Row],[Mrd m3 '[2023']]]*9.77*-1</f>
        <v>-191.3231056156483</v>
      </c>
      <c r="E28">
        <v>37958.1</v>
      </c>
      <c r="F28">
        <f>MIN(Table15[[#This Row],[TWh '[2023']]],Table15[[#This Row],[TWh by share]])*1000</f>
        <v>-191323.1056156483</v>
      </c>
      <c r="G28">
        <f>IF(Table15[[#This Row],[TWh '[2023']]]=0,$D$27*(E28/$E$27),0)</f>
        <v>0</v>
      </c>
    </row>
    <row r="29" spans="1:7">
      <c r="A29" t="s">
        <v>37</v>
      </c>
      <c r="B29" t="s">
        <v>1</v>
      </c>
      <c r="C29" s="2">
        <v>4.4804912631795961</v>
      </c>
      <c r="D29">
        <f>Table15[[#This Row],[Mrd m3 '[2023']]]*9.77*-1</f>
        <v>-43.774399641264651</v>
      </c>
      <c r="E29">
        <v>10295.9</v>
      </c>
      <c r="F29">
        <f>MIN(Table15[[#This Row],[TWh '[2023']]],Table15[[#This Row],[TWh by share]])*1000</f>
        <v>-43774.399641264652</v>
      </c>
      <c r="G29">
        <f>IF(Table15[[#This Row],[TWh '[2023']]]=0,$D$27*(E29/$E$27),0)</f>
        <v>0</v>
      </c>
    </row>
    <row r="30" spans="1:7">
      <c r="A30" t="s">
        <v>33</v>
      </c>
      <c r="B30" t="s">
        <v>86</v>
      </c>
      <c r="C30" s="2">
        <v>9.0859916688941222</v>
      </c>
      <c r="D30">
        <f>Table15[[#This Row],[Mrd m3 '[2023']]]*9.77*-1</f>
        <v>-88.770138605095568</v>
      </c>
      <c r="E30">
        <v>19318</v>
      </c>
      <c r="F30">
        <f>MIN(Table15[[#This Row],[TWh '[2023']]],Table15[[#This Row],[TWh by share]])*1000</f>
        <v>-88770.138605095563</v>
      </c>
      <c r="G30">
        <f>IF(Table15[[#This Row],[TWh '[2023']]]=0,$D$27*(E30/$E$27),0)</f>
        <v>0</v>
      </c>
    </row>
    <row r="31" spans="1:7">
      <c r="A31" t="s">
        <v>47</v>
      </c>
      <c r="B31" t="s">
        <v>77</v>
      </c>
      <c r="C31" s="2"/>
      <c r="D31">
        <f>Table15[[#This Row],[Mrd m3 '[2023']]]*9.77*-1</f>
        <v>0</v>
      </c>
      <c r="E31">
        <v>0</v>
      </c>
      <c r="F31">
        <f>MIN(Table15[[#This Row],[TWh '[2023']]],Table15[[#This Row],[TWh by share]])*1000</f>
        <v>0</v>
      </c>
      <c r="G31">
        <f>IF(Table15[[#This Row],[TWh '[2023']]]=0,$D$27*(E31/$E$27),0)</f>
        <v>0</v>
      </c>
    </row>
    <row r="32" spans="1:7">
      <c r="A32" t="s">
        <v>31</v>
      </c>
      <c r="B32" t="s">
        <v>72</v>
      </c>
      <c r="C32" s="2"/>
      <c r="D32">
        <f>Table15[[#This Row],[Mrd m3 '[2023']]]*9.77*-1</f>
        <v>0</v>
      </c>
      <c r="E32">
        <v>6926.7</v>
      </c>
      <c r="F32">
        <f>MIN(Table15[[#This Row],[TWh '[2023']]],Table15[[#This Row],[TWh by share]])*1000</f>
        <v>-23988.753677140761</v>
      </c>
      <c r="G32">
        <f>IF(Table15[[#This Row],[TWh '[2023']]]=0,$D$27*(E32/$E$27),0)</f>
        <v>-23.98875367714076</v>
      </c>
    </row>
    <row r="33" spans="1:7">
      <c r="A33" t="s">
        <v>29</v>
      </c>
      <c r="B33" t="s">
        <v>62</v>
      </c>
      <c r="C33" s="2">
        <v>4.1980544937588302</v>
      </c>
      <c r="D33">
        <f>Table15[[#This Row],[Mrd m3 '[2023']]]*9.77*-1</f>
        <v>-41.014992404023772</v>
      </c>
      <c r="E33">
        <v>5457.9</v>
      </c>
      <c r="F33">
        <f>MIN(Table15[[#This Row],[TWh '[2023']]],Table15[[#This Row],[TWh by share]])*1000</f>
        <v>-41014.992404023775</v>
      </c>
      <c r="G33">
        <f>IF(Table15[[#This Row],[TWh '[2023']]]=0,$D$27*(E33/$E$27),0)</f>
        <v>0</v>
      </c>
    </row>
    <row r="34" spans="1:7">
      <c r="A34" t="s">
        <v>23</v>
      </c>
      <c r="B34" t="s">
        <v>59</v>
      </c>
      <c r="C34" s="2">
        <v>0.76667289608525002</v>
      </c>
      <c r="D34">
        <f>Table15[[#This Row],[Mrd m3 '[2023']]]*9.77*-1</f>
        <v>-7.4903941947528923</v>
      </c>
      <c r="E34">
        <v>2095.9</v>
      </c>
      <c r="F34">
        <f>MIN(Table15[[#This Row],[TWh '[2023']]],Table15[[#This Row],[TWh by share]])*1000</f>
        <v>-7490.394194752892</v>
      </c>
      <c r="G34">
        <f>IF(Table15[[#This Row],[TWh '[2023']]]=0,$D$27*(E34/$E$27),0)</f>
        <v>0</v>
      </c>
    </row>
    <row r="35" spans="1:7">
      <c r="A35" t="s">
        <v>36</v>
      </c>
      <c r="B35" t="s">
        <v>9</v>
      </c>
      <c r="C35" s="2">
        <v>29.298304475852706</v>
      </c>
      <c r="D35">
        <f>Table15[[#This Row],[Mrd m3 '[2023']]]*9.77*-1</f>
        <v>-286.24443472908092</v>
      </c>
      <c r="E35">
        <v>47330</v>
      </c>
      <c r="F35">
        <f>MIN(Table15[[#This Row],[TWh '[2023']]],Table15[[#This Row],[TWh by share]])*1000</f>
        <v>-286244.43472908094</v>
      </c>
      <c r="G35">
        <f>IF(Table15[[#This Row],[TWh '[2023']]]=0,$D$27*(E35/$E$27),0)</f>
        <v>0</v>
      </c>
    </row>
    <row r="36" spans="1:7">
      <c r="A36" t="s">
        <v>82</v>
      </c>
      <c r="B36" t="s">
        <v>83</v>
      </c>
      <c r="C36" s="2">
        <v>0.71619917569573466</v>
      </c>
      <c r="D36">
        <f>Table15[[#This Row],[Mrd m3 '[2023']]]*9.77*-1</f>
        <v>-6.9972659465473273</v>
      </c>
      <c r="E36">
        <v>10327.6</v>
      </c>
      <c r="F36">
        <f>MIN(Table15[[#This Row],[TWh '[2023']]],Table15[[#This Row],[TWh by share]])*1000</f>
        <v>-6997.2659465473271</v>
      </c>
      <c r="G36">
        <f>IF(Table15[[#This Row],[TWh '[2023']]]=0,$D$27*(E36/$E$27),0)</f>
        <v>0</v>
      </c>
    </row>
    <row r="37" spans="1:7">
      <c r="A37" t="s">
        <v>22</v>
      </c>
      <c r="B37" t="s">
        <v>58</v>
      </c>
      <c r="C37" s="2">
        <v>2.7441227961633525</v>
      </c>
      <c r="D37">
        <f>Table15[[#This Row],[Mrd m3 '[2023']]]*9.77*-1</f>
        <v>-26.810079718515954</v>
      </c>
      <c r="E37">
        <v>8606</v>
      </c>
      <c r="F37">
        <f>MIN(Table15[[#This Row],[TWh '[2023']]],Table15[[#This Row],[TWh by share]])*1000</f>
        <v>-26810.079718515954</v>
      </c>
      <c r="G37">
        <f>IF(Table15[[#This Row],[TWh '[2023']]]=0,$D$27*(E37/$E$27),0)</f>
        <v>0</v>
      </c>
    </row>
    <row r="38" spans="1:7">
      <c r="A38" t="s">
        <v>46</v>
      </c>
      <c r="B38" t="s">
        <v>10</v>
      </c>
      <c r="C38" s="2">
        <v>48.429348579939109</v>
      </c>
      <c r="D38">
        <f>Table15[[#This Row],[Mrd m3 '[2023']]]*9.77*-1</f>
        <v>-473.15473562600505</v>
      </c>
      <c r="E38">
        <v>83155</v>
      </c>
      <c r="F38">
        <f>MIN(Table15[[#This Row],[TWh '[2023']]],Table15[[#This Row],[TWh by share]])*1000</f>
        <v>-473154.73562600504</v>
      </c>
      <c r="G38">
        <f>IF(Table15[[#This Row],[TWh '[2023']]]=0,$D$27*(E38/$E$27),0)</f>
        <v>0</v>
      </c>
    </row>
    <row r="39" spans="1:7">
      <c r="A39" t="s">
        <v>11</v>
      </c>
      <c r="B39" t="s">
        <v>11</v>
      </c>
      <c r="C39" s="2">
        <v>63.503524799999994</v>
      </c>
      <c r="D39">
        <f>Table15[[#This Row],[Mrd m3 '[2023']]]*9.77*-1</f>
        <v>-620.42943729599995</v>
      </c>
      <c r="E39">
        <v>67025.5</v>
      </c>
      <c r="F39">
        <f>MIN(Table15[[#This Row],[TWh '[2023']]],Table15[[#This Row],[TWh by share]])*1000</f>
        <v>-620429.43729599996</v>
      </c>
      <c r="G39">
        <f>IF(Table15[[#This Row],[TWh '[2023']]]=0,$D$27*(E39/$E$27),0)</f>
        <v>0</v>
      </c>
    </row>
    <row r="40" spans="1:7">
      <c r="A40" t="s">
        <v>38</v>
      </c>
      <c r="B40" t="s">
        <v>67</v>
      </c>
      <c r="C40" s="2">
        <v>18.73893805309735</v>
      </c>
      <c r="D40">
        <f>Table15[[#This Row],[Mrd m3 '[2023']]]*9.77*-1</f>
        <v>-183.07942477876111</v>
      </c>
      <c r="E40">
        <v>41733</v>
      </c>
      <c r="F40">
        <f>MIN(Table15[[#This Row],[TWh '[2023']]],Table15[[#This Row],[TWh by share]])*1000</f>
        <v>-183079.42477876111</v>
      </c>
      <c r="G40">
        <f>IF(Table15[[#This Row],[TWh '[2023']]]=0,$D$27*(E40/$E$27),0)</f>
        <v>0</v>
      </c>
    </row>
    <row r="41" spans="1:7">
      <c r="A41" t="s">
        <v>108</v>
      </c>
      <c r="B41" t="s">
        <v>109</v>
      </c>
      <c r="C41" s="2"/>
      <c r="D41">
        <f>Table15[[#This Row],[Mrd m3 '[2023']]]*9.77*-1</f>
        <v>0</v>
      </c>
      <c r="E41">
        <v>888</v>
      </c>
      <c r="F41">
        <f>MIN(Table15[[#This Row],[TWh '[2023']]],Table15[[#This Row],[TWh by share]])*1000</f>
        <v>-3075.3480395139095</v>
      </c>
      <c r="G41">
        <f>IF(Table15[[#This Row],[TWh '[2023']]]=0,$D$27*(E41/$E$27),0)</f>
        <v>-3.0753480395139094</v>
      </c>
    </row>
    <row r="42" spans="1:7">
      <c r="B42" t="s">
        <v>117</v>
      </c>
      <c r="C42" s="2"/>
      <c r="D42">
        <f>Table15[[#This Row],[Mrd m3 '[2023']]]*9.77*-1</f>
        <v>0</v>
      </c>
      <c r="E42">
        <v>1782</v>
      </c>
      <c r="F42">
        <f>MIN(Table15[[#This Row],[TWh '[2023']]],Table15[[#This Row],[TWh by share]])*1000</f>
        <v>-6171.475457673183</v>
      </c>
      <c r="G42">
        <f>IF(Table15[[#This Row],[TWh '[2023']]]=0,$D$27*(E42/$E$27),0)</f>
        <v>-6.171475457673183</v>
      </c>
    </row>
    <row r="50" spans="1:2">
      <c r="A50" t="s">
        <v>132</v>
      </c>
    </row>
    <row r="51" spans="1:2">
      <c r="A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2A6A-2162-40C3-BED9-56A85412DCBC}">
  <dimension ref="A1:T54"/>
  <sheetViews>
    <sheetView workbookViewId="0">
      <selection activeCell="H5" sqref="H5"/>
    </sheetView>
  </sheetViews>
  <sheetFormatPr defaultRowHeight="14.5"/>
  <cols>
    <col min="1" max="1" width="9.54296875" customWidth="1"/>
    <col min="2" max="4" width="20.36328125" customWidth="1"/>
    <col min="5" max="5" width="15" customWidth="1"/>
    <col min="6" max="6" width="12" customWidth="1"/>
    <col min="7" max="7" width="22.1796875" customWidth="1"/>
    <col min="8" max="8" width="10.453125" bestFit="1" customWidth="1"/>
    <col min="9" max="10" width="10.453125" customWidth="1"/>
  </cols>
  <sheetData>
    <row r="1" spans="1:12">
      <c r="A1" t="s">
        <v>16</v>
      </c>
      <c r="B1" t="s">
        <v>55</v>
      </c>
      <c r="C1" t="s">
        <v>303</v>
      </c>
      <c r="D1" t="s">
        <v>300</v>
      </c>
      <c r="E1" t="s">
        <v>134</v>
      </c>
      <c r="F1" t="s">
        <v>133</v>
      </c>
      <c r="G1" t="s">
        <v>107</v>
      </c>
      <c r="H1" t="s">
        <v>266</v>
      </c>
      <c r="I1" t="s">
        <v>302</v>
      </c>
      <c r="J1" t="s">
        <v>301</v>
      </c>
      <c r="K1" t="s">
        <v>118</v>
      </c>
      <c r="L1" t="s">
        <v>294</v>
      </c>
    </row>
    <row r="2" spans="1:12">
      <c r="A2" t="s">
        <v>41</v>
      </c>
      <c r="B2" t="s">
        <v>73</v>
      </c>
      <c r="C2">
        <f>IF(Table1515[[#This Row],[EU]]=1,$R$19*Table1515[[#This Row],[GWh '[2020']]]/$H$44,$R$18*Table1515[[#This Row],[GWh '[2020']]]/$H$45)</f>
        <v>1.0069516221046382</v>
      </c>
      <c r="D2">
        <f>IF(Table1515[[#This Row],[EU]]=1,$T$19*Table1515[[#This Row],[GWh '[2020']]]/$H$44,$T$18*Table1515[[#This Row],[GWh '[2020']]]/$H$45)</f>
        <v>0.76528323279952493</v>
      </c>
      <c r="E2" s="2"/>
      <c r="F2">
        <f>Table1515[[#This Row],[Mrd m3 '[2023']]]*9.77*-1</f>
        <v>0</v>
      </c>
      <c r="G2">
        <v>2846</v>
      </c>
      <c r="H2">
        <f>MIN(Table1515[[#This Row],[TWh '[2023']]],Table1515[[#This Row],[TWh by share]])*1000</f>
        <v>-9856.3519374511106</v>
      </c>
      <c r="I2">
        <f>Table1515[[#This Row],[Mrd m3 '[2035'] SP]]*9.77*-1000</f>
        <v>-9837.9173479623132</v>
      </c>
      <c r="J2">
        <f>Table1515[[#This Row],[Mrd m3 '[2035'] AP]]*9.77*-1000</f>
        <v>-7476.8171844513581</v>
      </c>
      <c r="K2">
        <f>IF(Table1515[[#This Row],[TWh '[2023']]]=0,$F$27*(G2/$G$27),0)</f>
        <v>-9.8563519374511106</v>
      </c>
      <c r="L2">
        <v>0</v>
      </c>
    </row>
    <row r="3" spans="1:12">
      <c r="A3" t="s">
        <v>20</v>
      </c>
      <c r="B3" t="s">
        <v>57</v>
      </c>
      <c r="C3">
        <f>IF(Table1515[[#This Row],[EU]]=1,$R$19*Table1515[[#This Row],[GWh '[2020']]]/$H$44,$R$18*Table1515[[#This Row],[GWh '[2020']]]/$H$45)</f>
        <v>5.5381981505061164</v>
      </c>
      <c r="D3">
        <f>IF(Table1515[[#This Row],[EU]]=1,$T$19*Table1515[[#This Row],[GWh '[2020']]]/$H$44,$T$18*Table1515[[#This Row],[GWh '[2020']]]/$H$45)</f>
        <v>3.5987513273716787</v>
      </c>
      <c r="E3" s="2">
        <v>6.881278581090001</v>
      </c>
      <c r="F3">
        <f>Table1515[[#This Row],[Mrd m3 '[2023']]]*9.77*-1</f>
        <v>-67.23009173724931</v>
      </c>
      <c r="G3">
        <v>8901.1</v>
      </c>
      <c r="H3">
        <f>MIN(Table1515[[#This Row],[TWh '[2023']]],Table1515[[#This Row],[TWh by share]])*1000</f>
        <v>-67230.091737249313</v>
      </c>
      <c r="I3">
        <f>Table1515[[#This Row],[Mrd m3 '[2035'] SP]]*9.77*-1000</f>
        <v>-54108.195930444759</v>
      </c>
      <c r="J3">
        <f>Table1515[[#This Row],[Mrd m3 '[2035'] AP]]*9.77*-1000</f>
        <v>-35159.800468421301</v>
      </c>
      <c r="K3">
        <f>IF(Table1515[[#This Row],[TWh '[2023']]]=0,$F$27*(G3/$G$27),0)</f>
        <v>0</v>
      </c>
      <c r="L3">
        <v>1</v>
      </c>
    </row>
    <row r="4" spans="1:12">
      <c r="A4" t="s">
        <v>17</v>
      </c>
      <c r="B4" t="s">
        <v>0</v>
      </c>
      <c r="C4">
        <f>IF(Table1515[[#This Row],[EU]]=1,$R$19*Table1515[[#This Row],[GWh '[2020']]]/$H$44,$R$18*Table1515[[#This Row],[GWh '[2020']]]/$H$45)</f>
        <v>11.030988415493967</v>
      </c>
      <c r="D4">
        <f>IF(Table1515[[#This Row],[EU]]=1,$T$19*Table1515[[#This Row],[GWh '[2020']]]/$H$44,$T$18*Table1515[[#This Row],[GWh '[2020']]]/$H$45)</f>
        <v>7.1679963633754564</v>
      </c>
      <c r="E4" s="2">
        <v>13.70613731198001</v>
      </c>
      <c r="F4">
        <f>Table1515[[#This Row],[Mrd m3 '[2023']]]*9.77*-1</f>
        <v>-133.90896153804468</v>
      </c>
      <c r="G4">
        <v>11549.9</v>
      </c>
      <c r="H4">
        <f>MIN(Table1515[[#This Row],[TWh '[2023']]],Table1515[[#This Row],[TWh by share]])*1000</f>
        <v>-133908.96153804468</v>
      </c>
      <c r="I4">
        <f>Table1515[[#This Row],[Mrd m3 '[2035'] SP]]*9.77*-1000</f>
        <v>-107772.75681937605</v>
      </c>
      <c r="J4">
        <f>Table1515[[#This Row],[Mrd m3 '[2035'] AP]]*9.77*-1000</f>
        <v>-70031.32447017821</v>
      </c>
      <c r="K4">
        <f>IF(Table1515[[#This Row],[TWh '[2023']]]=0,$F$27*(G4/$G$27),0)</f>
        <v>0</v>
      </c>
      <c r="L4">
        <v>1</v>
      </c>
    </row>
    <row r="5" spans="1:12">
      <c r="A5" t="s">
        <v>44</v>
      </c>
      <c r="B5" t="s">
        <v>75</v>
      </c>
      <c r="C5">
        <f>IF(Table1515[[#This Row],[EU]]=1,$R$19*Table1515[[#This Row],[GWh '[2020']]]/$H$44,$R$18*Table1515[[#This Row],[GWh '[2020']]]/$H$45)</f>
        <v>0.52205144678360094</v>
      </c>
      <c r="D5">
        <f>IF(Table1515[[#This Row],[EU]]=1,$T$19*Table1515[[#This Row],[GWh '[2020']]]/$H$44,$T$18*Table1515[[#This Row],[GWh '[2020']]]/$H$45)</f>
        <v>0.39675909955553673</v>
      </c>
      <c r="E5" s="2"/>
      <c r="F5">
        <f>Table1515[[#This Row],[Mrd m3 '[2023']]]*9.77*-1</f>
        <v>0</v>
      </c>
      <c r="G5">
        <v>3492</v>
      </c>
      <c r="H5">
        <v>-5110</v>
      </c>
      <c r="I5">
        <f>Table1515[[#This Row],[Mrd m3 '[2035'] SP]]*9.77*-1000</f>
        <v>-5100.4426350757803</v>
      </c>
      <c r="J5">
        <f>Table1515[[#This Row],[Mrd m3 '[2035'] AP]]*9.77*-1000</f>
        <v>-3876.3364026575937</v>
      </c>
      <c r="K5">
        <f>IF(Table1515[[#This Row],[TWh '[2023']]]=0,$F$27*(G5/$G$27),0)</f>
        <v>-12.093598371601995</v>
      </c>
      <c r="L5">
        <v>0</v>
      </c>
    </row>
    <row r="6" spans="1:12">
      <c r="A6" t="s">
        <v>32</v>
      </c>
      <c r="B6" t="s">
        <v>64</v>
      </c>
      <c r="C6">
        <f>IF(Table1515[[#This Row],[EU]]=1,$R$19*Table1515[[#This Row],[GWh '[2020']]]/$H$44,$R$18*Table1515[[#This Row],[GWh '[2020']]]/$H$45)</f>
        <v>2.0329780815184644</v>
      </c>
      <c r="D6">
        <f>IF(Table1515[[#This Row],[EU]]=1,$T$19*Table1515[[#This Row],[GWh '[2020']]]/$H$44,$T$18*Table1515[[#This Row],[GWh '[2020']]]/$H$45)</f>
        <v>1.321040231959469</v>
      </c>
      <c r="E6" s="2">
        <v>2.5260000000000002</v>
      </c>
      <c r="F6">
        <f>Table1515[[#This Row],[Mrd m3 '[2023']]]*9.77*-1</f>
        <v>-24.679020000000001</v>
      </c>
      <c r="G6">
        <v>6951.5</v>
      </c>
      <c r="H6">
        <f>MIN(Table1515[[#This Row],[TWh '[2023']]],Table1515[[#This Row],[TWh by share]])*1000</f>
        <v>-24679.02</v>
      </c>
      <c r="I6">
        <f>Table1515[[#This Row],[Mrd m3 '[2035'] SP]]*9.77*-1000</f>
        <v>-19862.195856435395</v>
      </c>
      <c r="J6">
        <f>Table1515[[#This Row],[Mrd m3 '[2035'] AP]]*9.77*-1000</f>
        <v>-12906.563066244011</v>
      </c>
      <c r="K6">
        <f>IF(Table1515[[#This Row],[TWh '[2023']]]=0,$F$27*(G6/$G$27),0)</f>
        <v>0</v>
      </c>
      <c r="L6">
        <v>1</v>
      </c>
    </row>
    <row r="7" spans="1:12">
      <c r="A7" t="s">
        <v>24</v>
      </c>
      <c r="B7" t="s">
        <v>5</v>
      </c>
      <c r="C7">
        <f>IF(Table1515[[#This Row],[EU]]=1,$R$19*Table1515[[#This Row],[GWh '[2020']]]/$H$44,$R$18*Table1515[[#This Row],[GWh '[2020']]]/$H$45)</f>
        <v>2.0121683842828131</v>
      </c>
      <c r="D7">
        <f>IF(Table1515[[#This Row],[EU]]=1,$T$19*Table1515[[#This Row],[GWh '[2020']]]/$H$44,$T$18*Table1515[[#This Row],[GWh '[2020']]]/$H$45)</f>
        <v>1.3075179773355246</v>
      </c>
      <c r="E7" s="2">
        <v>2.500143698008789</v>
      </c>
      <c r="F7">
        <f>Table1515[[#This Row],[Mrd m3 '[2023']]]*9.77*-1</f>
        <v>-24.426403929545867</v>
      </c>
      <c r="G7">
        <v>4058.2</v>
      </c>
      <c r="H7">
        <f>MIN(Table1515[[#This Row],[TWh '[2023']]],Table1515[[#This Row],[TWh by share]])*1000</f>
        <v>-24426.403929545868</v>
      </c>
      <c r="I7">
        <f>Table1515[[#This Row],[Mrd m3 '[2035'] SP]]*9.77*-1000</f>
        <v>-19658.885114443085</v>
      </c>
      <c r="J7">
        <f>Table1515[[#This Row],[Mrd m3 '[2035'] AP]]*9.77*-1000</f>
        <v>-12774.450638568074</v>
      </c>
      <c r="K7">
        <f>IF(Table1515[[#This Row],[TWh '[2023']]]=0,$F$27*(G7/$G$27),0)</f>
        <v>0</v>
      </c>
      <c r="L7">
        <v>1</v>
      </c>
    </row>
    <row r="8" spans="1:12">
      <c r="A8" t="s">
        <v>28</v>
      </c>
      <c r="B8" t="s">
        <v>61</v>
      </c>
      <c r="C8">
        <f>IF(Table1515[[#This Row],[EU]]=1,$R$19*Table1515[[#This Row],[GWh '[2020']]]/$H$44,$R$18*Table1515[[#This Row],[GWh '[2020']]]/$H$45)</f>
        <v>5.3902892719595856</v>
      </c>
      <c r="D8">
        <f>IF(Table1515[[#This Row],[EU]]=1,$T$19*Table1515[[#This Row],[GWh '[2020']]]/$H$44,$T$18*Table1515[[#This Row],[GWh '[2020']]]/$H$45)</f>
        <v>3.5026393323628442</v>
      </c>
      <c r="E8" s="2">
        <v>6.6974999999999998</v>
      </c>
      <c r="F8">
        <f>Table1515[[#This Row],[Mrd m3 '[2023']]]*9.77*-1</f>
        <v>-65.434574999999995</v>
      </c>
      <c r="G8">
        <v>10693.9</v>
      </c>
      <c r="H8">
        <f>MIN(Table1515[[#This Row],[TWh '[2023']]],Table1515[[#This Row],[TWh by share]])*1000</f>
        <v>-65434.574999999997</v>
      </c>
      <c r="I8">
        <f>Table1515[[#This Row],[Mrd m3 '[2035'] SP]]*9.77*-1000</f>
        <v>-52663.126187045149</v>
      </c>
      <c r="J8">
        <f>Table1515[[#This Row],[Mrd m3 '[2035'] AP]]*9.77*-1000</f>
        <v>-34220.786277184983</v>
      </c>
      <c r="K8">
        <f>IF(Table1515[[#This Row],[TWh '[2023']]]=0,$F$27*(G8/$G$27),0)</f>
        <v>0</v>
      </c>
      <c r="L8">
        <v>1</v>
      </c>
    </row>
    <row r="9" spans="1:12">
      <c r="A9" t="s">
        <v>26</v>
      </c>
      <c r="B9" t="s">
        <v>60</v>
      </c>
      <c r="C9">
        <f>IF(Table1515[[#This Row],[EU]]=1,$R$19*Table1515[[#This Row],[GWh '[2020']]]/$H$44,$R$18*Table1515[[#This Row],[GWh '[2020']]]/$H$45)</f>
        <v>1.3120603934563158</v>
      </c>
      <c r="D9">
        <f>IF(Table1515[[#This Row],[EU]]=1,$T$19*Table1515[[#This Row],[GWh '[2020']]]/$H$44,$T$18*Table1515[[#This Row],[GWh '[2020']]]/$H$45)</f>
        <v>0.85258399107861771</v>
      </c>
      <c r="E9" s="2">
        <v>1.6302510017201839</v>
      </c>
      <c r="F9">
        <f>Table1515[[#This Row],[Mrd m3 '[2023']]]*9.77*-1</f>
        <v>-15.927552286806195</v>
      </c>
      <c r="G9">
        <v>5822.8</v>
      </c>
      <c r="H9">
        <f>MIN(Table1515[[#This Row],[TWh '[2023']]],Table1515[[#This Row],[TWh by share]])*1000</f>
        <v>-15927.552286806194</v>
      </c>
      <c r="I9">
        <f>Table1515[[#This Row],[Mrd m3 '[2035'] SP]]*9.77*-1000</f>
        <v>-12818.830044068203</v>
      </c>
      <c r="J9">
        <f>Table1515[[#This Row],[Mrd m3 '[2035'] AP]]*9.77*-1000</f>
        <v>-8329.745592838095</v>
      </c>
      <c r="K9">
        <f>IF(Table1515[[#This Row],[TWh '[2023']]]=0,$F$27*(G9/$G$27),0)</f>
        <v>0</v>
      </c>
      <c r="L9">
        <v>1</v>
      </c>
    </row>
    <row r="10" spans="1:12">
      <c r="A10" t="s">
        <v>53</v>
      </c>
      <c r="B10" t="s">
        <v>66</v>
      </c>
      <c r="C10">
        <f>IF(Table1515[[#This Row],[EU]]=1,$R$19*Table1515[[#This Row],[GWh '[2020']]]/$H$44,$R$18*Table1515[[#This Row],[GWh '[2020']]]/$H$45)</f>
        <v>0.2976907480556118</v>
      </c>
      <c r="D10">
        <f>IF(Table1515[[#This Row],[EU]]=1,$T$19*Table1515[[#This Row],[GWh '[2020']]]/$H$44,$T$18*Table1515[[#This Row],[GWh '[2020']]]/$H$45)</f>
        <v>0.19344106974819911</v>
      </c>
      <c r="E10" s="2">
        <v>0.36988437623824216</v>
      </c>
      <c r="F10">
        <f>Table1515[[#This Row],[Mrd m3 '[2023']]]*9.77*-1</f>
        <v>-3.6137703558476257</v>
      </c>
      <c r="G10">
        <v>1329</v>
      </c>
      <c r="H10">
        <f>MIN(Table1515[[#This Row],[TWh '[2023']]],Table1515[[#This Row],[TWh by share]])*1000</f>
        <v>-3613.7703558476255</v>
      </c>
      <c r="I10">
        <f>Table1515[[#This Row],[Mrd m3 '[2035'] SP]]*9.77*-1000</f>
        <v>-2908.438608503327</v>
      </c>
      <c r="J10">
        <f>Table1515[[#This Row],[Mrd m3 '[2035'] AP]]*9.77*-1000</f>
        <v>-1889.9192514399053</v>
      </c>
      <c r="K10">
        <f>IF(Table1515[[#This Row],[TWh '[2023']]]=0,$F$27*(G10/$G$27),0)</f>
        <v>0</v>
      </c>
      <c r="L10">
        <v>1</v>
      </c>
    </row>
    <row r="11" spans="1:12">
      <c r="A11" t="s">
        <v>54</v>
      </c>
      <c r="B11" t="s">
        <v>85</v>
      </c>
      <c r="C11">
        <f>IF(Table1515[[#This Row],[EU]]=1,$R$19*Table1515[[#This Row],[GWh '[2020']]]/$H$44,$R$18*Table1515[[#This Row],[GWh '[2020']]]/$H$45)</f>
        <v>0.96129172744801217</v>
      </c>
      <c r="D11">
        <f>IF(Table1515[[#This Row],[EU]]=1,$T$19*Table1515[[#This Row],[GWh '[2020']]]/$H$44,$T$18*Table1515[[#This Row],[GWh '[2020']]]/$H$45)</f>
        <v>0.62465260110435039</v>
      </c>
      <c r="E11" s="2">
        <v>1.1944166666666667</v>
      </c>
      <c r="F11">
        <f>Table1515[[#This Row],[Mrd m3 '[2023']]]*9.77*-1</f>
        <v>-11.669450833333332</v>
      </c>
      <c r="G11">
        <v>5525.3</v>
      </c>
      <c r="H11">
        <f>MIN(Table1515[[#This Row],[TWh '[2023']]],Table1515[[#This Row],[TWh by share]])*1000</f>
        <v>-11669.450833333332</v>
      </c>
      <c r="I11">
        <f>Table1515[[#This Row],[Mrd m3 '[2035'] SP]]*9.77*-1000</f>
        <v>-9391.8201771670792</v>
      </c>
      <c r="J11">
        <f>Table1515[[#This Row],[Mrd m3 '[2035'] AP]]*9.77*-1000</f>
        <v>-6102.8559127895032</v>
      </c>
      <c r="K11">
        <f>IF(Table1515[[#This Row],[TWh '[2023']]]=0,$F$27*(G11/$G$27),0)</f>
        <v>0</v>
      </c>
      <c r="L11">
        <v>1</v>
      </c>
    </row>
    <row r="12" spans="1:12">
      <c r="A12" t="s">
        <v>25</v>
      </c>
      <c r="B12" t="s">
        <v>2</v>
      </c>
      <c r="C12">
        <f>IF(Table1515[[#This Row],[EU]]=1,$R$19*Table1515[[#This Row],[GWh '[2020']]]/$H$44,$R$18*Table1515[[#This Row],[GWh '[2020']]]/$H$45)</f>
        <v>27.254592188891984</v>
      </c>
      <c r="D12">
        <f>IF(Table1515[[#This Row],[EU]]=1,$T$19*Table1515[[#This Row],[GWh '[2020']]]/$H$44,$T$18*Table1515[[#This Row],[GWh '[2020']]]/$H$45)</f>
        <v>17.710182472937593</v>
      </c>
      <c r="E12" s="2">
        <v>33.864162380796365</v>
      </c>
      <c r="F12">
        <f>Table1515[[#This Row],[Mrd m3 '[2023']]]*9.77*-1</f>
        <v>-330.85286646038048</v>
      </c>
      <c r="G12">
        <v>67098.8</v>
      </c>
      <c r="H12">
        <f>MIN(Table1515[[#This Row],[TWh '[2023']]],Table1515[[#This Row],[TWh by share]])*1000</f>
        <v>-330852.86646038049</v>
      </c>
      <c r="I12">
        <f>Table1515[[#This Row],[Mrd m3 '[2035'] SP]]*9.77*-1000</f>
        <v>-266277.36568547465</v>
      </c>
      <c r="J12">
        <f>Table1515[[#This Row],[Mrd m3 '[2035'] AP]]*9.77*-1000</f>
        <v>-173028.48276060028</v>
      </c>
      <c r="K12">
        <f>IF(Table1515[[#This Row],[TWh '[2023']]]=0,$F$27*(G12/$G$27),0)</f>
        <v>0</v>
      </c>
      <c r="L12">
        <v>1</v>
      </c>
    </row>
    <row r="13" spans="1:12">
      <c r="A13" t="s">
        <v>19</v>
      </c>
      <c r="B13" t="s">
        <v>56</v>
      </c>
      <c r="C13">
        <f>IF(Table1515[[#This Row],[EU]]=1,$R$19*Table1515[[#This Row],[GWh '[2020']]]/$H$44,$R$18*Table1515[[#This Row],[GWh '[2020']]]/$H$45)</f>
        <v>60.895833385477168</v>
      </c>
      <c r="D13">
        <f>IF(Table1515[[#This Row],[EU]]=1,$T$19*Table1515[[#This Row],[GWh '[2020']]]/$H$44,$T$18*Table1515[[#This Row],[GWh '[2020']]]/$H$45)</f>
        <v>39.570444262158311</v>
      </c>
      <c r="E13" s="2">
        <v>75.663813855200303</v>
      </c>
      <c r="F13">
        <f>Table1515[[#This Row],[Mrd m3 '[2023']]]*9.77*-1</f>
        <v>-739.23546136530695</v>
      </c>
      <c r="G13">
        <v>83166.7</v>
      </c>
      <c r="H13">
        <f>MIN(Table1515[[#This Row],[TWh '[2023']]],Table1515[[#This Row],[TWh by share]])*1000</f>
        <v>-739235.46136530698</v>
      </c>
      <c r="I13">
        <f>Table1515[[#This Row],[Mrd m3 '[2035'] SP]]*9.77*-1000</f>
        <v>-594952.29217611183</v>
      </c>
      <c r="J13">
        <f>Table1515[[#This Row],[Mrd m3 '[2035'] AP]]*9.77*-1000</f>
        <v>-386603.2404412867</v>
      </c>
      <c r="K13">
        <f>IF(Table1515[[#This Row],[TWh '[2023']]]=0,$F$27*(G13/$G$27),0)</f>
        <v>0</v>
      </c>
      <c r="L13">
        <v>1</v>
      </c>
    </row>
    <row r="14" spans="1:12">
      <c r="A14" t="s">
        <v>264</v>
      </c>
      <c r="B14" t="s">
        <v>3</v>
      </c>
      <c r="C14">
        <f>IF(Table1515[[#This Row],[EU]]=1,$R$19*Table1515[[#This Row],[GWh '[2020']]]/$H$44,$R$18*Table1515[[#This Row],[GWh '[2020']]]/$H$45)</f>
        <v>4.3317080880240209</v>
      </c>
      <c r="D14">
        <f>IF(Table1515[[#This Row],[EU]]=1,$T$19*Table1515[[#This Row],[GWh '[2020']]]/$H$44,$T$18*Table1515[[#This Row],[GWh '[2020']]]/$H$45)</f>
        <v>2.8147675124514069</v>
      </c>
      <c r="E14" s="2">
        <v>5.3821999999999992</v>
      </c>
      <c r="F14">
        <f>Table1515[[#This Row],[Mrd m3 '[2023']]]*9.77*-1</f>
        <v>-52.584093999999993</v>
      </c>
      <c r="G14">
        <v>10709.7</v>
      </c>
      <c r="H14">
        <f>MIN(Table1515[[#This Row],[TWh '[2023']]],Table1515[[#This Row],[TWh by share]])*1000</f>
        <v>-52584.09399999999</v>
      </c>
      <c r="I14">
        <f>Table1515[[#This Row],[Mrd m3 '[2035'] SP]]*9.77*-1000</f>
        <v>-42320.788019994681</v>
      </c>
      <c r="J14">
        <f>Table1515[[#This Row],[Mrd m3 '[2035'] AP]]*9.77*-1000</f>
        <v>-27500.278596650245</v>
      </c>
      <c r="K14">
        <f>IF(Table1515[[#This Row],[TWh '[2023']]]=0,$F$27*(G14/$G$27),0)</f>
        <v>0</v>
      </c>
      <c r="L14">
        <v>1</v>
      </c>
    </row>
    <row r="15" spans="1:12">
      <c r="A15" t="s">
        <v>30</v>
      </c>
      <c r="B15" t="s">
        <v>63</v>
      </c>
      <c r="C15">
        <f>IF(Table1515[[#This Row],[EU]]=1,$R$19*Table1515[[#This Row],[GWh '[2020']]]/$H$44,$R$18*Table1515[[#This Row],[GWh '[2020']]]/$H$45)</f>
        <v>6.5873265113018125</v>
      </c>
      <c r="D15">
        <f>IF(Table1515[[#This Row],[EU]]=1,$T$19*Table1515[[#This Row],[GWh '[2020']]]/$H$44,$T$18*Table1515[[#This Row],[GWh '[2020']]]/$H$45)</f>
        <v>4.2804806513128506</v>
      </c>
      <c r="E15" s="2">
        <v>8.1848333333333336</v>
      </c>
      <c r="F15">
        <f>Table1515[[#This Row],[Mrd m3 '[2023']]]*9.77*-1</f>
        <v>-79.96582166666667</v>
      </c>
      <c r="G15">
        <v>9769.5</v>
      </c>
      <c r="H15">
        <f>MIN(Table1515[[#This Row],[TWh '[2023']]],Table1515[[#This Row],[TWh by share]])*1000</f>
        <v>-79965.82166666667</v>
      </c>
      <c r="I15">
        <f>Table1515[[#This Row],[Mrd m3 '[2035'] SP]]*9.77*-1000</f>
        <v>-64358.180015418708</v>
      </c>
      <c r="J15">
        <f>Table1515[[#This Row],[Mrd m3 '[2035'] AP]]*9.77*-1000</f>
        <v>-41820.295963326549</v>
      </c>
      <c r="K15">
        <f>IF(Table1515[[#This Row],[TWh '[2023']]]=0,$F$27*(G15/$G$27),0)</f>
        <v>0</v>
      </c>
      <c r="L15">
        <v>1</v>
      </c>
    </row>
    <row r="16" spans="1:12">
      <c r="A16" t="s">
        <v>43</v>
      </c>
      <c r="B16" t="s">
        <v>74</v>
      </c>
      <c r="C16">
        <f>IF(Table1515[[#This Row],[EU]]=1,$R$19*Table1515[[#This Row],[GWh '[2020']]]/$H$44,$R$18*Table1515[[#This Row],[GWh '[2020']]]/$H$45)</f>
        <v>3.8820027499500616</v>
      </c>
      <c r="D16">
        <f>IF(Table1515[[#This Row],[EU]]=1,$T$19*Table1515[[#This Row],[GWh '[2020']]]/$H$44,$T$18*Table1515[[#This Row],[GWh '[2020']]]/$H$45)</f>
        <v>2.5225465340142423</v>
      </c>
      <c r="E16" s="2">
        <v>4.8234356462169234</v>
      </c>
      <c r="F16">
        <f>Table1515[[#This Row],[Mrd m3 '[2023']]]*9.77*-1</f>
        <v>-47.124966263539342</v>
      </c>
      <c r="G16">
        <v>4963.8</v>
      </c>
      <c r="H16">
        <f>MIN(Table1515[[#This Row],[TWh '[2023']]],Table1515[[#This Row],[TWh by share]])*1000</f>
        <v>-47124.96626353934</v>
      </c>
      <c r="I16">
        <f>Table1515[[#This Row],[Mrd m3 '[2035'] SP]]*9.77*-1000</f>
        <v>-37927.1668670121</v>
      </c>
      <c r="J16">
        <f>Table1515[[#This Row],[Mrd m3 '[2035'] AP]]*9.77*-1000</f>
        <v>-24645.279637319145</v>
      </c>
      <c r="K16">
        <f>IF(Table1515[[#This Row],[TWh '[2023']]]=0,$F$27*(G16/$G$27),0)</f>
        <v>0</v>
      </c>
      <c r="L16">
        <v>1</v>
      </c>
    </row>
    <row r="17" spans="1:20">
      <c r="A17" t="s">
        <v>21</v>
      </c>
      <c r="B17" t="s">
        <v>4</v>
      </c>
      <c r="C17">
        <f>IF(Table1515[[#This Row],[EU]]=1,$R$19*Table1515[[#This Row],[GWh '[2020']]]/$H$44,$R$18*Table1515[[#This Row],[GWh '[2020']]]/$H$45)</f>
        <v>47.160616853221256</v>
      </c>
      <c r="D17">
        <f>IF(Table1515[[#This Row],[EU]]=1,$T$19*Table1515[[#This Row],[GWh '[2020']]]/$H$44,$T$18*Table1515[[#This Row],[GWh '[2020']]]/$H$45)</f>
        <v>30.645225737307197</v>
      </c>
      <c r="E17" s="2">
        <v>58.597640207836605</v>
      </c>
      <c r="F17">
        <f>Table1515[[#This Row],[Mrd m3 '[2023']]]*9.77*-1</f>
        <v>-572.49894483056357</v>
      </c>
      <c r="G17">
        <v>60244.6</v>
      </c>
      <c r="H17">
        <f>MIN(Table1515[[#This Row],[TWh '[2023']]],Table1515[[#This Row],[TWh by share]])*1000</f>
        <v>-572498.94483056362</v>
      </c>
      <c r="I17">
        <f>Table1515[[#This Row],[Mrd m3 '[2035'] SP]]*9.77*-1000</f>
        <v>-460759.22665597167</v>
      </c>
      <c r="J17">
        <f>Table1515[[#This Row],[Mrd m3 '[2035'] AP]]*9.77*-1000</f>
        <v>-299403.85545349133</v>
      </c>
      <c r="K17">
        <f>IF(Table1515[[#This Row],[TWh '[2023']]]=0,$F$27*(G17/$G$27),0)</f>
        <v>0</v>
      </c>
      <c r="L17">
        <v>1</v>
      </c>
      <c r="R17" t="s">
        <v>291</v>
      </c>
      <c r="T17" t="s">
        <v>292</v>
      </c>
    </row>
    <row r="18" spans="1:20">
      <c r="A18" t="s">
        <v>35</v>
      </c>
      <c r="B18" t="s">
        <v>65</v>
      </c>
      <c r="C18">
        <f>IF(Table1515[[#This Row],[EU]]=1,$R$19*Table1515[[#This Row],[GWh '[2020']]]/$H$44,$R$18*Table1515[[#This Row],[GWh '[2020']]]/$H$45)</f>
        <v>0.61738832088631557</v>
      </c>
      <c r="D18">
        <f>IF(Table1515[[#This Row],[EU]]=1,$T$19*Table1515[[#This Row],[GWh '[2020']]]/$H$44,$T$18*Table1515[[#This Row],[GWh '[2020']]]/$H$45)</f>
        <v>0.40118229411678868</v>
      </c>
      <c r="E18" s="2">
        <v>0.76711249999999997</v>
      </c>
      <c r="F18">
        <f>Table1515[[#This Row],[Mrd m3 '[2023']]]*9.77*-1</f>
        <v>-7.4946891249999998</v>
      </c>
      <c r="G18">
        <v>1907.7</v>
      </c>
      <c r="H18">
        <f>MIN(Table1515[[#This Row],[TWh '[2023']]],Table1515[[#This Row],[TWh by share]])*1000</f>
        <v>-7494.6891249999999</v>
      </c>
      <c r="I18">
        <f>Table1515[[#This Row],[Mrd m3 '[2035'] SP]]*9.77*-1000</f>
        <v>-6031.8838950593026</v>
      </c>
      <c r="J18">
        <f>Table1515[[#This Row],[Mrd m3 '[2035'] AP]]*9.77*-1000</f>
        <v>-3919.5510135210252</v>
      </c>
      <c r="K18">
        <f>IF(Table1515[[#This Row],[TWh '[2023']]]=0,$F$27*(G18/$G$27),0)</f>
        <v>0</v>
      </c>
      <c r="L18">
        <v>1</v>
      </c>
      <c r="Q18" t="s">
        <v>289</v>
      </c>
      <c r="R18">
        <f>407-R19</f>
        <v>150</v>
      </c>
      <c r="S18" t="s">
        <v>290</v>
      </c>
      <c r="T18">
        <f>281-T19</f>
        <v>114</v>
      </c>
    </row>
    <row r="19" spans="1:20">
      <c r="A19" t="s">
        <v>34</v>
      </c>
      <c r="B19" t="s">
        <v>6</v>
      </c>
      <c r="C19">
        <f>IF(Table1515[[#This Row],[EU]]=1,$R$19*Table1515[[#This Row],[GWh '[2020']]]/$H$44,$R$18*Table1515[[#This Row],[GWh '[2020']]]/$H$45)</f>
        <v>1.2599659323487851</v>
      </c>
      <c r="D19">
        <f>IF(Table1515[[#This Row],[EU]]=1,$T$19*Table1515[[#This Row],[GWh '[2020']]]/$H$44,$T$18*Table1515[[#This Row],[GWh '[2020']]]/$H$45)</f>
        <v>0.81873272646788764</v>
      </c>
      <c r="E19" s="2">
        <v>1.5655230000000002</v>
      </c>
      <c r="F19">
        <f>Table1515[[#This Row],[Mrd m3 '[2023']]]*9.77*-1</f>
        <v>-15.295159710000002</v>
      </c>
      <c r="G19">
        <v>2794.1</v>
      </c>
      <c r="H19">
        <f>MIN(Table1515[[#This Row],[TWh '[2023']]],Table1515[[#This Row],[TWh by share]])*1000</f>
        <v>-15295.159710000002</v>
      </c>
      <c r="I19">
        <f>Table1515[[#This Row],[Mrd m3 '[2035'] SP]]*9.77*-1000</f>
        <v>-12309.86715904763</v>
      </c>
      <c r="J19">
        <f>Table1515[[#This Row],[Mrd m3 '[2035'] AP]]*9.77*-1000</f>
        <v>-7999.0187375912619</v>
      </c>
      <c r="K19">
        <f>IF(Table1515[[#This Row],[TWh '[2023']]]=0,$F$27*(G19/$G$27),0)</f>
        <v>0</v>
      </c>
      <c r="L19">
        <v>1</v>
      </c>
      <c r="Q19" t="s">
        <v>294</v>
      </c>
      <c r="R19">
        <v>257</v>
      </c>
      <c r="S19" t="s">
        <v>290</v>
      </c>
      <c r="T19">
        <v>167</v>
      </c>
    </row>
    <row r="20" spans="1:20">
      <c r="A20" t="s">
        <v>42</v>
      </c>
      <c r="B20" t="s">
        <v>70</v>
      </c>
      <c r="C20">
        <f>IF(Table1515[[#This Row],[EU]]=1,$R$19*Table1515[[#This Row],[GWh '[2020']]]/$H$44,$R$18*Table1515[[#This Row],[GWh '[2020']]]/$H$45)</f>
        <v>0.46153035445995766</v>
      </c>
      <c r="D20">
        <f>IF(Table1515[[#This Row],[EU]]=1,$T$19*Table1515[[#This Row],[GWh '[2020']]]/$H$44,$T$18*Table1515[[#This Row],[GWh '[2020']]]/$H$45)</f>
        <v>0.29990493850121763</v>
      </c>
      <c r="E20" s="2">
        <v>0.57345708050874755</v>
      </c>
      <c r="F20">
        <f>Table1515[[#This Row],[Mrd m3 '[2023']]]*9.77*-1</f>
        <v>-5.6026756765704633</v>
      </c>
      <c r="G20">
        <v>626.1</v>
      </c>
      <c r="H20">
        <f>MIN(Table1515[[#This Row],[TWh '[2023']]],Table1515[[#This Row],[TWh by share]])*1000</f>
        <v>-5602.6756765704631</v>
      </c>
      <c r="I20">
        <f>Table1515[[#This Row],[Mrd m3 '[2035'] SP]]*9.77*-1000</f>
        <v>-4509.1515630737858</v>
      </c>
      <c r="J20">
        <f>Table1515[[#This Row],[Mrd m3 '[2035'] AP]]*9.77*-1000</f>
        <v>-2930.0712491568961</v>
      </c>
      <c r="K20">
        <f>IF(Table1515[[#This Row],[TWh '[2023']]]=0,$F$27*(G20/$G$27),0)</f>
        <v>0</v>
      </c>
      <c r="L20">
        <v>1</v>
      </c>
    </row>
    <row r="21" spans="1:20">
      <c r="A21" t="s">
        <v>110</v>
      </c>
      <c r="B21" t="s">
        <v>91</v>
      </c>
      <c r="C21">
        <f>IF(Table1515[[#This Row],[EU]]=1,$R$19*Table1515[[#This Row],[GWh '[2020']]]/$H$44,$R$18*Table1515[[#This Row],[GWh '[2020']]]/$H$45)</f>
        <v>0.14681007983211192</v>
      </c>
      <c r="D21">
        <f>IF(Table1515[[#This Row],[EU]]=1,$T$19*Table1515[[#This Row],[GWh '[2020']]]/$H$44,$T$18*Table1515[[#This Row],[GWh '[2020']]]/$H$45)</f>
        <v>9.5397989618531867E-2</v>
      </c>
      <c r="E21" s="2"/>
      <c r="F21">
        <f>Table1515[[#This Row],[Mrd m3 '[2023']]]*9.77*-1</f>
        <v>0</v>
      </c>
      <c r="G21">
        <v>514.6</v>
      </c>
      <c r="H21">
        <f>MIN(Table1515[[#This Row],[TWh '[2023']]],Table1515[[#This Row],[TWh by share]])*1000</f>
        <v>-1782.1780418174076</v>
      </c>
      <c r="I21">
        <f>Table1515[[#This Row],[Mrd m3 '[2035'] SP]]*9.77*-1000</f>
        <v>-1434.3344799597332</v>
      </c>
      <c r="J21">
        <f>Table1515[[#This Row],[Mrd m3 '[2035'] AP]]*9.77*-1000</f>
        <v>-932.03835857305626</v>
      </c>
      <c r="K21">
        <f>IF(Table1515[[#This Row],[TWh '[2023']]]=0,$F$27*(G21/$G$27),0)</f>
        <v>-1.7821780418174076</v>
      </c>
      <c r="L21">
        <v>1</v>
      </c>
    </row>
    <row r="22" spans="1:20">
      <c r="A22" t="s">
        <v>39</v>
      </c>
      <c r="B22" t="s">
        <v>68</v>
      </c>
      <c r="C22">
        <f>IF(Table1515[[#This Row],[EU]]=1,$R$19*Table1515[[#This Row],[GWh '[2020']]]/$H$44,$R$18*Table1515[[#This Row],[GWh '[2020']]]/$H$45)</f>
        <v>0.91248356760641669</v>
      </c>
      <c r="D22">
        <f>IF(Table1515[[#This Row],[EU]]=1,$T$19*Table1515[[#This Row],[GWh '[2020']]]/$H$44,$T$18*Table1515[[#This Row],[GWh '[2020']]]/$H$45)</f>
        <v>0.69348751138087672</v>
      </c>
      <c r="E22" s="2"/>
      <c r="F22">
        <f>Table1515[[#This Row],[Mrd m3 '[2023']]]*9.77*-1</f>
        <v>0</v>
      </c>
      <c r="G22">
        <v>2579</v>
      </c>
      <c r="H22">
        <f>MIN(Table1515[[#This Row],[TWh '[2023']]],Table1515[[#This Row],[TWh by share]])*1000</f>
        <v>-8931.6695877324019</v>
      </c>
      <c r="I22">
        <f>Table1515[[#This Row],[Mrd m3 '[2035'] SP]]*9.77*-1000</f>
        <v>-8914.9644555146897</v>
      </c>
      <c r="J22">
        <f>Table1515[[#This Row],[Mrd m3 '[2035'] AP]]*9.77*-1000</f>
        <v>-6775.3729861911652</v>
      </c>
      <c r="K22">
        <f>IF(Table1515[[#This Row],[TWh '[2023']]]=0,$F$27*(G22/$G$27),0)</f>
        <v>-8.9316695877324026</v>
      </c>
      <c r="L22">
        <v>0</v>
      </c>
    </row>
    <row r="23" spans="1:20">
      <c r="B23" t="s">
        <v>111</v>
      </c>
      <c r="C23">
        <f>IF(Table1515[[#This Row],[EU]]=1,$R$19*Table1515[[#This Row],[GWh '[2020']]]/$H$44,$R$18*Table1515[[#This Row],[GWh '[2020']]]/$H$45)</f>
        <v>0.22003626626383505</v>
      </c>
      <c r="D23">
        <f>IF(Table1515[[#This Row],[EU]]=1,$T$19*Table1515[[#This Row],[GWh '[2020']]]/$H$44,$T$18*Table1515[[#This Row],[GWh '[2020']]]/$H$45)</f>
        <v>0.16722756236051464</v>
      </c>
      <c r="E23" s="2"/>
      <c r="F23">
        <f>Table1515[[#This Row],[Mrd m3 '[2023']]]*9.77*-1</f>
        <v>0</v>
      </c>
      <c r="G23">
        <v>621.9</v>
      </c>
      <c r="H23">
        <f>MIN(Table1515[[#This Row],[TWh '[2023']]],Table1515[[#This Row],[TWh by share]])*1000</f>
        <v>-2153.7825965920051</v>
      </c>
      <c r="I23">
        <f>Table1515[[#This Row],[Mrd m3 '[2035'] SP]]*9.77*-1000</f>
        <v>-2149.7543213976683</v>
      </c>
      <c r="J23">
        <f>Table1515[[#This Row],[Mrd m3 '[2035'] AP]]*9.77*-1000</f>
        <v>-1633.8132842622279</v>
      </c>
      <c r="K23">
        <f>IF(Table1515[[#This Row],[TWh '[2023']]]=0,$F$27*(G23/$G$27),0)</f>
        <v>-2.1537825965920052</v>
      </c>
      <c r="L23">
        <v>0</v>
      </c>
    </row>
    <row r="24" spans="1:20">
      <c r="A24" t="s">
        <v>18</v>
      </c>
      <c r="B24" t="s">
        <v>7</v>
      </c>
      <c r="C24">
        <f>IF(Table1515[[#This Row],[EU]]=1,$R$19*Table1515[[#This Row],[GWh '[2020']]]/$H$44,$R$18*Table1515[[#This Row],[GWh '[2020']]]/$H$45)</f>
        <v>20.742028064054182</v>
      </c>
      <c r="D24">
        <f>IF(Table1515[[#This Row],[EU]]=1,$T$19*Table1515[[#This Row],[GWh '[2020']]]/$H$44,$T$18*Table1515[[#This Row],[GWh '[2020']]]/$H$45)</f>
        <v>13.478282827614974</v>
      </c>
      <c r="E24" s="2">
        <v>25.772222222222222</v>
      </c>
      <c r="F24">
        <f>Table1515[[#This Row],[Mrd m3 '[2023']]]*9.77*-1</f>
        <v>-251.7946111111111</v>
      </c>
      <c r="G24">
        <v>17407.599999999999</v>
      </c>
      <c r="H24">
        <f>MIN(Table1515[[#This Row],[TWh '[2023']]],Table1515[[#This Row],[TWh by share]])*1000</f>
        <v>-251794.61111111109</v>
      </c>
      <c r="I24">
        <f>Table1515[[#This Row],[Mrd m3 '[2035'] SP]]*9.77*-1000</f>
        <v>-202649.61418580936</v>
      </c>
      <c r="J24">
        <f>Table1515[[#This Row],[Mrd m3 '[2035'] AP]]*9.77*-1000</f>
        <v>-131682.82322579829</v>
      </c>
      <c r="K24">
        <f>IF(Table1515[[#This Row],[TWh '[2023']]]=0,$F$27*(G24/$G$27),0)</f>
        <v>0</v>
      </c>
      <c r="L24">
        <v>1</v>
      </c>
    </row>
    <row r="25" spans="1:20">
      <c r="A25" t="s">
        <v>45</v>
      </c>
      <c r="B25" t="s">
        <v>76</v>
      </c>
      <c r="C25">
        <f>IF(Table1515[[#This Row],[EU]]=1,$R$19*Table1515[[#This Row],[GWh '[2020']]]/$H$44,$R$18*Table1515[[#This Row],[GWh '[2020']]]/$H$45)</f>
        <v>0.35221262913690859</v>
      </c>
      <c r="D25">
        <f>IF(Table1515[[#This Row],[EU]]=1,$T$19*Table1515[[#This Row],[GWh '[2020']]]/$H$44,$T$18*Table1515[[#This Row],[GWh '[2020']]]/$H$45)</f>
        <v>0.26768159814405057</v>
      </c>
      <c r="E25" s="2">
        <v>0.35287261590049462</v>
      </c>
      <c r="F25">
        <f>Table1515[[#This Row],[Mrd m3 '[2023']]]*9.77*-1</f>
        <v>-3.4475654573478325</v>
      </c>
      <c r="G25">
        <v>2076.3000000000002</v>
      </c>
      <c r="H25">
        <f>MIN(Table1515[[#This Row],[TWh '[2023']]],Table1515[[#This Row],[TWh by share]])*1000</f>
        <v>-3447.5654573478323</v>
      </c>
      <c r="I25">
        <f>Table1515[[#This Row],[Mrd m3 '[2035'] SP]]*9.77*-1000</f>
        <v>-3441.1173866675967</v>
      </c>
      <c r="J25">
        <f>Table1515[[#This Row],[Mrd m3 '[2035'] AP]]*9.77*-1000</f>
        <v>-2615.2492138673738</v>
      </c>
      <c r="K25">
        <f>IF(Table1515[[#This Row],[TWh '[2023']]]=0,$F$27*(G25/$G$27),0)</f>
        <v>0</v>
      </c>
      <c r="L25">
        <v>0</v>
      </c>
    </row>
    <row r="26" spans="1:20">
      <c r="A26" t="s">
        <v>48</v>
      </c>
      <c r="B26" t="s">
        <v>71</v>
      </c>
      <c r="C26">
        <f>IF(Table1515[[#This Row],[EU]]=1,$R$19*Table1515[[#This Row],[GWh '[2020']]]/$H$44,$R$18*Table1515[[#This Row],[GWh '[2020']]]/$H$45)</f>
        <v>3.786115772081033</v>
      </c>
      <c r="D26">
        <f>IF(Table1515[[#This Row],[EU]]=1,$T$19*Table1515[[#This Row],[GWh '[2020']]]/$H$44,$T$18*Table1515[[#This Row],[GWh '[2020']]]/$H$45)</f>
        <v>2.877447986781585</v>
      </c>
      <c r="E26" s="2">
        <v>3.7932103112550002</v>
      </c>
      <c r="F26">
        <f>Table1515[[#This Row],[Mrd m3 '[2023']]]*9.77*-1</f>
        <v>-37.059664740961352</v>
      </c>
      <c r="G26">
        <v>5367.6</v>
      </c>
      <c r="H26">
        <f>MIN(Table1515[[#This Row],[TWh '[2023']]],Table1515[[#This Row],[TWh by share]])*1000</f>
        <v>-37059.664740961351</v>
      </c>
      <c r="I26">
        <f>Table1515[[#This Row],[Mrd m3 '[2035'] SP]]*9.77*-1000</f>
        <v>-36990.351093231686</v>
      </c>
      <c r="J26">
        <f>Table1515[[#This Row],[Mrd m3 '[2035'] AP]]*9.77*-1000</f>
        <v>-28112.666830856084</v>
      </c>
      <c r="K26">
        <f>IF(Table1515[[#This Row],[TWh '[2023']]]=0,$F$27*(G26/$G$27),0)</f>
        <v>0</v>
      </c>
      <c r="L26">
        <v>0</v>
      </c>
    </row>
    <row r="27" spans="1:20">
      <c r="A27" t="s">
        <v>87</v>
      </c>
      <c r="B27" t="s">
        <v>88</v>
      </c>
      <c r="C27">
        <f>IF(Table1515[[#This Row],[EU]]=1,$R$19*Table1515[[#This Row],[GWh '[2020']]]/$H$44,$R$18*Table1515[[#This Row],[GWh '[2020']]]/$H$45)</f>
        <v>6.9524949981309074</v>
      </c>
      <c r="D27">
        <f>IF(Table1515[[#This Row],[EU]]=1,$T$19*Table1515[[#This Row],[GWh '[2020']]]/$H$44,$T$18*Table1515[[#This Row],[GWh '[2020']]]/$H$45)</f>
        <v>5.2838961985794901</v>
      </c>
      <c r="E27" s="2">
        <v>6.9655227952428636</v>
      </c>
      <c r="F27">
        <f>Table1515[[#This Row],[Mrd m3 '[2023']]]*9.77*-1</f>
        <v>-68.053157709522779</v>
      </c>
      <c r="G27">
        <f>SUMIF(F2:F26,"=0",G2:G26)+SUMIF(F28:F42,"=0",G28:G42)</f>
        <v>19650.2</v>
      </c>
      <c r="H27">
        <f>MIN(Table1515[[#This Row],[TWh '[2023']]],Table1515[[#This Row],[TWh by share]])*1000</f>
        <v>-68053.157709522784</v>
      </c>
      <c r="I27">
        <f>Table1515[[#This Row],[Mrd m3 '[2035'] SP]]*9.77*-1000</f>
        <v>-67925.876131738958</v>
      </c>
      <c r="J27">
        <f>Table1515[[#This Row],[Mrd m3 '[2035'] AP]]*9.77*-1000</f>
        <v>-51623.665860121619</v>
      </c>
      <c r="K27">
        <f>IF(Table1515[[#This Row],[TWh '[2023']]]=0,$F$27*(G27/$G$27),0)</f>
        <v>0</v>
      </c>
      <c r="L27">
        <v>0</v>
      </c>
    </row>
    <row r="28" spans="1:20">
      <c r="A28" t="s">
        <v>27</v>
      </c>
      <c r="B28" t="s">
        <v>8</v>
      </c>
      <c r="C28">
        <f>IF(Table1515[[#This Row],[EU]]=1,$R$19*Table1515[[#This Row],[GWh '[2020']]]/$H$44,$R$18*Table1515[[#This Row],[GWh '[2020']]]/$H$45)</f>
        <v>15.760580452734962</v>
      </c>
      <c r="D28">
        <f>IF(Table1515[[#This Row],[EU]]=1,$T$19*Table1515[[#This Row],[GWh '[2020']]]/$H$44,$T$18*Table1515[[#This Row],[GWh '[2020']]]/$H$45)</f>
        <v>10.241311033489257</v>
      </c>
      <c r="E28" s="2">
        <v>19.582712959636471</v>
      </c>
      <c r="F28">
        <f>Table1515[[#This Row],[Mrd m3 '[2023']]]*9.77*-1</f>
        <v>-191.3231056156483</v>
      </c>
      <c r="G28">
        <v>37958.1</v>
      </c>
      <c r="H28">
        <f>MIN(Table1515[[#This Row],[TWh '[2023']]],Table1515[[#This Row],[TWh by share]])*1000</f>
        <v>-191323.1056156483</v>
      </c>
      <c r="I28">
        <f>Table1515[[#This Row],[Mrd m3 '[2035'] SP]]*9.77*-1000</f>
        <v>-153980.87102322056</v>
      </c>
      <c r="J28">
        <f>Table1515[[#This Row],[Mrd m3 '[2035'] AP]]*9.77*-1000</f>
        <v>-100057.60879719004</v>
      </c>
      <c r="K28">
        <f>IF(Table1515[[#This Row],[TWh '[2023']]]=0,$F$27*(G28/$G$27),0)</f>
        <v>0</v>
      </c>
      <c r="L28">
        <v>1</v>
      </c>
    </row>
    <row r="29" spans="1:20">
      <c r="A29" t="s">
        <v>37</v>
      </c>
      <c r="B29" t="s">
        <v>1</v>
      </c>
      <c r="C29">
        <f>IF(Table1515[[#This Row],[EU]]=1,$R$19*Table1515[[#This Row],[GWh '[2020']]]/$H$44,$R$18*Table1515[[#This Row],[GWh '[2020']]]/$H$45)</f>
        <v>3.6059938766742263</v>
      </c>
      <c r="D29">
        <f>IF(Table1515[[#This Row],[EU]]=1,$T$19*Table1515[[#This Row],[GWh '[2020']]]/$H$44,$T$18*Table1515[[#This Row],[GWh '[2020']]]/$H$45)</f>
        <v>2.3431944646093221</v>
      </c>
      <c r="E29" s="2">
        <v>4.4804912631795961</v>
      </c>
      <c r="F29">
        <f>Table1515[[#This Row],[Mrd m3 '[2023']]]*9.77*-1</f>
        <v>-43.774399641264651</v>
      </c>
      <c r="G29">
        <v>10295.9</v>
      </c>
      <c r="H29">
        <f>MIN(Table1515[[#This Row],[TWh '[2023']]],Table1515[[#This Row],[TWh by share]])*1000</f>
        <v>-43774.399641264652</v>
      </c>
      <c r="I29">
        <f>Table1515[[#This Row],[Mrd m3 '[2035'] SP]]*9.77*-1000</f>
        <v>-35230.560175107188</v>
      </c>
      <c r="J29">
        <f>Table1515[[#This Row],[Mrd m3 '[2035'] AP]]*9.77*-1000</f>
        <v>-22893.009919233078</v>
      </c>
      <c r="K29">
        <f>IF(Table1515[[#This Row],[TWh '[2023']]]=0,$F$27*(G29/$G$27),0)</f>
        <v>0</v>
      </c>
      <c r="L29">
        <v>1</v>
      </c>
    </row>
    <row r="30" spans="1:20">
      <c r="A30" t="s">
        <v>33</v>
      </c>
      <c r="B30" t="s">
        <v>86</v>
      </c>
      <c r="C30">
        <f>IF(Table1515[[#This Row],[EU]]=1,$R$19*Table1515[[#This Row],[GWh '[2020']]]/$H$44,$R$18*Table1515[[#This Row],[GWh '[2020']]]/$H$45)</f>
        <v>7.3125977481081232</v>
      </c>
      <c r="D30">
        <f>IF(Table1515[[#This Row],[EU]]=1,$T$19*Table1515[[#This Row],[GWh '[2020']]]/$H$44,$T$18*Table1515[[#This Row],[GWh '[2020']]]/$H$45)</f>
        <v>4.7517658518834889</v>
      </c>
      <c r="E30" s="2">
        <v>9.0859916688941222</v>
      </c>
      <c r="F30">
        <f>Table1515[[#This Row],[Mrd m3 '[2023']]]*9.77*-1</f>
        <v>-88.770138605095568</v>
      </c>
      <c r="G30">
        <v>19318</v>
      </c>
      <c r="H30">
        <f>MIN(Table1515[[#This Row],[TWh '[2023']]],Table1515[[#This Row],[TWh by share]])*1000</f>
        <v>-88770.138605095563</v>
      </c>
      <c r="I30">
        <f>Table1515[[#This Row],[Mrd m3 '[2035'] SP]]*9.77*-1000</f>
        <v>-71444.079999016365</v>
      </c>
      <c r="J30">
        <f>Table1515[[#This Row],[Mrd m3 '[2035'] AP]]*9.77*-1000</f>
        <v>-46424.752372901683</v>
      </c>
      <c r="K30">
        <f>IF(Table1515[[#This Row],[TWh '[2023']]]=0,$F$27*(G30/$G$27),0)</f>
        <v>0</v>
      </c>
      <c r="L30">
        <v>1</v>
      </c>
    </row>
    <row r="31" spans="1:20">
      <c r="A31" t="s">
        <v>47</v>
      </c>
      <c r="B31" t="s">
        <v>77</v>
      </c>
      <c r="C31">
        <f>IF(Table1515[[#This Row],[EU]]=1,$R$19*Table1515[[#This Row],[GWh '[2020']]]/$H$44,$R$18*Table1515[[#This Row],[GWh '[2020']]]/$H$45)</f>
        <v>0</v>
      </c>
      <c r="D31">
        <f>IF(Table1515[[#This Row],[EU]]=1,$T$19*Table1515[[#This Row],[GWh '[2020']]]/$H$44,$T$18*Table1515[[#This Row],[GWh '[2020']]]/$H$45)</f>
        <v>0</v>
      </c>
      <c r="E31" s="2"/>
      <c r="F31">
        <f>Table1515[[#This Row],[Mrd m3 '[2023']]]*9.77*-1</f>
        <v>0</v>
      </c>
      <c r="G31">
        <v>0</v>
      </c>
      <c r="H31">
        <f>MIN(Table1515[[#This Row],[TWh '[2023']]],Table1515[[#This Row],[TWh by share]])*1000</f>
        <v>0</v>
      </c>
      <c r="I31">
        <f>Table1515[[#This Row],[Mrd m3 '[2035'] SP]]*9.77*-1000</f>
        <v>0</v>
      </c>
      <c r="J31">
        <f>Table1515[[#This Row],[Mrd m3 '[2035'] AP]]*9.77*-1000</f>
        <v>0</v>
      </c>
      <c r="K31">
        <f>IF(Table1515[[#This Row],[TWh '[2023']]]=0,$F$27*(G31/$G$27),0)</f>
        <v>0</v>
      </c>
      <c r="L31">
        <v>0</v>
      </c>
    </row>
    <row r="32" spans="1:20">
      <c r="A32" t="s">
        <v>31</v>
      </c>
      <c r="B32" t="s">
        <v>72</v>
      </c>
      <c r="C32">
        <f>IF(Table1515[[#This Row],[EU]]=1,$R$19*Table1515[[#This Row],[GWh '[2020']]]/$H$44,$R$18*Table1515[[#This Row],[GWh '[2020']]]/$H$45)</f>
        <v>2.4507560789993663</v>
      </c>
      <c r="D32">
        <f>IF(Table1515[[#This Row],[EU]]=1,$T$19*Table1515[[#This Row],[GWh '[2020']]]/$H$44,$T$18*Table1515[[#This Row],[GWh '[2020']]]/$H$45)</f>
        <v>1.8625746200395186</v>
      </c>
      <c r="E32" s="2"/>
      <c r="F32">
        <f>Table1515[[#This Row],[Mrd m3 '[2023']]]*9.77*-1</f>
        <v>0</v>
      </c>
      <c r="G32">
        <v>6926.7</v>
      </c>
      <c r="H32">
        <f>MIN(Table1515[[#This Row],[TWh '[2023']]],Table1515[[#This Row],[TWh by share]])*1000</f>
        <v>-23988.753677140761</v>
      </c>
      <c r="I32">
        <f>Table1515[[#This Row],[Mrd m3 '[2035'] SP]]*9.77*-1000</f>
        <v>-23943.886891823808</v>
      </c>
      <c r="J32">
        <f>Table1515[[#This Row],[Mrd m3 '[2035'] AP]]*9.77*-1000</f>
        <v>-18197.354037786095</v>
      </c>
      <c r="K32">
        <f>IF(Table1515[[#This Row],[TWh '[2023']]]=0,$F$27*(G32/$G$27),0)</f>
        <v>-23.98875367714076</v>
      </c>
      <c r="L32">
        <v>0</v>
      </c>
    </row>
    <row r="33" spans="1:12">
      <c r="A33" t="s">
        <v>29</v>
      </c>
      <c r="B33" t="s">
        <v>62</v>
      </c>
      <c r="C33">
        <f>IF(Table1515[[#This Row],[EU]]=1,$R$19*Table1515[[#This Row],[GWh '[2020']]]/$H$44,$R$18*Table1515[[#This Row],[GWh '[2020']]]/$H$45)</f>
        <v>3.3786828071384778</v>
      </c>
      <c r="D33">
        <f>IF(Table1515[[#This Row],[EU]]=1,$T$19*Table1515[[#This Row],[GWh '[2020']]]/$H$44,$T$18*Table1515[[#This Row],[GWh '[2020']]]/$H$45)</f>
        <v>2.1954864933545752</v>
      </c>
      <c r="E33" s="2">
        <v>4.1980544937588302</v>
      </c>
      <c r="F33">
        <f>Table1515[[#This Row],[Mrd m3 '[2023']]]*9.77*-1</f>
        <v>-41.014992404023772</v>
      </c>
      <c r="G33">
        <v>5457.9</v>
      </c>
      <c r="H33">
        <f>MIN(Table1515[[#This Row],[TWh '[2023']]],Table1515[[#This Row],[TWh by share]])*1000</f>
        <v>-41014.992404023775</v>
      </c>
      <c r="I33">
        <f>Table1515[[#This Row],[Mrd m3 '[2035'] SP]]*9.77*-1000</f>
        <v>-33009.731025742927</v>
      </c>
      <c r="J33">
        <f>Table1515[[#This Row],[Mrd m3 '[2035'] AP]]*9.77*-1000</f>
        <v>-21449.903040074201</v>
      </c>
      <c r="K33">
        <f>IF(Table1515[[#This Row],[TWh '[2023']]]=0,$F$27*(G33/$G$27),0)</f>
        <v>0</v>
      </c>
      <c r="L33">
        <v>1</v>
      </c>
    </row>
    <row r="34" spans="1:12">
      <c r="A34" t="s">
        <v>23</v>
      </c>
      <c r="B34" t="s">
        <v>59</v>
      </c>
      <c r="C34">
        <f>IF(Table1515[[#This Row],[EU]]=1,$R$19*Table1515[[#This Row],[GWh '[2020']]]/$H$44,$R$18*Table1515[[#This Row],[GWh '[2020']]]/$H$45)</f>
        <v>0.61703451838305479</v>
      </c>
      <c r="D34">
        <f>IF(Table1515[[#This Row],[EU]]=1,$T$19*Table1515[[#This Row],[GWh '[2020']]]/$H$44,$T$18*Table1515[[#This Row],[GWh '[2020']]]/$H$45)</f>
        <v>0.40095239132284111</v>
      </c>
      <c r="E34" s="2">
        <v>0.76667289608525002</v>
      </c>
      <c r="F34">
        <f>Table1515[[#This Row],[Mrd m3 '[2023']]]*9.77*-1</f>
        <v>-7.4903941947528923</v>
      </c>
      <c r="G34">
        <v>2095.9</v>
      </c>
      <c r="H34">
        <f>MIN(Table1515[[#This Row],[TWh '[2023']]],Table1515[[#This Row],[TWh by share]])*1000</f>
        <v>-7490.394194752892</v>
      </c>
      <c r="I34">
        <f>Table1515[[#This Row],[Mrd m3 '[2035'] SP]]*9.77*-1000</f>
        <v>-6028.4272446024452</v>
      </c>
      <c r="J34">
        <f>Table1515[[#This Row],[Mrd m3 '[2035'] AP]]*9.77*-1000</f>
        <v>-3917.3048632241575</v>
      </c>
      <c r="K34">
        <f>IF(Table1515[[#This Row],[TWh '[2023']]]=0,$F$27*(G34/$G$27),0)</f>
        <v>0</v>
      </c>
      <c r="L34">
        <v>1</v>
      </c>
    </row>
    <row r="35" spans="1:12">
      <c r="A35" t="s">
        <v>36</v>
      </c>
      <c r="B35" t="s">
        <v>9</v>
      </c>
      <c r="C35">
        <f>IF(Table1515[[#This Row],[EU]]=1,$R$19*Table1515[[#This Row],[GWh '[2020']]]/$H$44,$R$18*Table1515[[#This Row],[GWh '[2020']]]/$H$45)</f>
        <v>23.57989343826717</v>
      </c>
      <c r="D35">
        <f>IF(Table1515[[#This Row],[EU]]=1,$T$19*Table1515[[#This Row],[GWh '[2020']]]/$H$44,$T$18*Table1515[[#This Row],[GWh '[2020']]]/$H$45)</f>
        <v>15.322343206967384</v>
      </c>
      <c r="E35" s="2">
        <v>29.298304475852706</v>
      </c>
      <c r="F35">
        <f>Table1515[[#This Row],[Mrd m3 '[2023']]]*9.77*-1</f>
        <v>-286.24443472908092</v>
      </c>
      <c r="G35">
        <v>47330</v>
      </c>
      <c r="H35">
        <f>MIN(Table1515[[#This Row],[TWh '[2023']]],Table1515[[#This Row],[TWh by share]])*1000</f>
        <v>-286244.43472908094</v>
      </c>
      <c r="I35">
        <f>Table1515[[#This Row],[Mrd m3 '[2035'] SP]]*9.77*-1000</f>
        <v>-230375.55889187026</v>
      </c>
      <c r="J35">
        <f>Table1515[[#This Row],[Mrd m3 '[2035'] AP]]*9.77*-1000</f>
        <v>-149699.29313207133</v>
      </c>
      <c r="K35">
        <f>IF(Table1515[[#This Row],[TWh '[2023']]]=0,$F$27*(G35/$G$27),0)</f>
        <v>0</v>
      </c>
      <c r="L35">
        <v>1</v>
      </c>
    </row>
    <row r="36" spans="1:12">
      <c r="A36" t="s">
        <v>82</v>
      </c>
      <c r="B36" t="s">
        <v>83</v>
      </c>
      <c r="C36">
        <f>IF(Table1515[[#This Row],[EU]]=1,$R$19*Table1515[[#This Row],[GWh '[2020']]]/$H$44,$R$18*Table1515[[#This Row],[GWh '[2020']]]/$H$45)</f>
        <v>0.57641220355939038</v>
      </c>
      <c r="D36">
        <f>IF(Table1515[[#This Row],[EU]]=1,$T$19*Table1515[[#This Row],[GWh '[2020']]]/$H$44,$T$18*Table1515[[#This Row],[GWh '[2020']]]/$H$45)</f>
        <v>0.37455578986154936</v>
      </c>
      <c r="E36" s="2">
        <v>0.71619917569573466</v>
      </c>
      <c r="F36">
        <f>Table1515[[#This Row],[Mrd m3 '[2023']]]*9.77*-1</f>
        <v>-6.9972659465473273</v>
      </c>
      <c r="G36">
        <v>10327.6</v>
      </c>
      <c r="H36">
        <f>MIN(Table1515[[#This Row],[TWh '[2023']]],Table1515[[#This Row],[TWh by share]])*1000</f>
        <v>-6997.2659465473271</v>
      </c>
      <c r="I36">
        <f>Table1515[[#This Row],[Mrd m3 '[2035'] SP]]*9.77*-1000</f>
        <v>-5631.5472287752436</v>
      </c>
      <c r="J36">
        <f>Table1515[[#This Row],[Mrd m3 '[2035'] AP]]*9.77*-1000</f>
        <v>-3659.4100669473373</v>
      </c>
      <c r="K36">
        <f>IF(Table1515[[#This Row],[TWh '[2023']]]=0,$F$27*(G36/$G$27),0)</f>
        <v>0</v>
      </c>
      <c r="L36">
        <v>1</v>
      </c>
    </row>
    <row r="37" spans="1:12">
      <c r="A37" t="s">
        <v>22</v>
      </c>
      <c r="B37" t="s">
        <v>58</v>
      </c>
      <c r="C37">
        <f>IF(Table1515[[#This Row],[EU]]=1,$R$19*Table1515[[#This Row],[GWh '[2020']]]/$H$44,$R$18*Table1515[[#This Row],[GWh '[2020']]]/$H$45)</f>
        <v>2.7389903924530197</v>
      </c>
      <c r="D37">
        <f>IF(Table1515[[#This Row],[EU]]=1,$T$19*Table1515[[#This Row],[GWh '[2020']]]/$H$44,$T$18*Table1515[[#This Row],[GWh '[2020']]]/$H$45)</f>
        <v>2.0816326982642952</v>
      </c>
      <c r="E37" s="2">
        <v>2.7441227961633525</v>
      </c>
      <c r="F37">
        <f>Table1515[[#This Row],[Mrd m3 '[2023']]]*9.77*-1</f>
        <v>-26.810079718515954</v>
      </c>
      <c r="G37">
        <v>8606</v>
      </c>
      <c r="H37">
        <f>MIN(Table1515[[#This Row],[TWh '[2023']]],Table1515[[#This Row],[TWh by share]])*1000</f>
        <v>-26810.079718515954</v>
      </c>
      <c r="I37">
        <f>Table1515[[#This Row],[Mrd m3 '[2035'] SP]]*9.77*-1000</f>
        <v>-26759.936134266001</v>
      </c>
      <c r="J37">
        <f>Table1515[[#This Row],[Mrd m3 '[2035'] AP]]*9.77*-1000</f>
        <v>-20337.551462042164</v>
      </c>
      <c r="K37">
        <f>IF(Table1515[[#This Row],[TWh '[2023']]]=0,$F$27*(G37/$G$27),0)</f>
        <v>0</v>
      </c>
      <c r="L37">
        <v>0</v>
      </c>
    </row>
    <row r="38" spans="1:12">
      <c r="A38" t="s">
        <v>46</v>
      </c>
      <c r="B38" t="s">
        <v>10</v>
      </c>
      <c r="C38">
        <f>IF(Table1515[[#This Row],[EU]]=1,$R$19*Table1515[[#This Row],[GWh '[2020']]]/$H$44,$R$18*Table1515[[#This Row],[GWh '[2020']]]/$H$45)</f>
        <v>48.338769918995723</v>
      </c>
      <c r="D38">
        <f>IF(Table1515[[#This Row],[EU]]=1,$T$19*Table1515[[#This Row],[GWh '[2020']]]/$H$44,$T$18*Table1515[[#This Row],[GWh '[2020']]]/$H$45)</f>
        <v>36.737465138436754</v>
      </c>
      <c r="E38" s="2">
        <v>48.429348579939109</v>
      </c>
      <c r="F38">
        <f>Table1515[[#This Row],[Mrd m3 '[2023']]]*9.77*-1</f>
        <v>-473.15473562600505</v>
      </c>
      <c r="G38">
        <v>83155</v>
      </c>
      <c r="H38">
        <f>MIN(Table1515[[#This Row],[TWh '[2023']]],Table1515[[#This Row],[TWh by share]])*1000</f>
        <v>-473154.73562600504</v>
      </c>
      <c r="I38">
        <f>Table1515[[#This Row],[Mrd m3 '[2035'] SP]]*9.77*-1000</f>
        <v>-472269.7821085882</v>
      </c>
      <c r="J38">
        <f>Table1515[[#This Row],[Mrd m3 '[2035'] AP]]*9.77*-1000</f>
        <v>-358925.03440252703</v>
      </c>
      <c r="K38">
        <f>IF(Table1515[[#This Row],[TWh '[2023']]]=0,$F$27*(G38/$G$27),0)</f>
        <v>0</v>
      </c>
      <c r="L38">
        <v>0</v>
      </c>
    </row>
    <row r="39" spans="1:12">
      <c r="A39" t="s">
        <v>11</v>
      </c>
      <c r="B39" t="s">
        <v>11</v>
      </c>
      <c r="C39">
        <f>IF(Table1515[[#This Row],[EU]]=1,$R$19*Table1515[[#This Row],[GWh '[2020']]]/$H$44,$R$18*Table1515[[#This Row],[GWh '[2020']]]/$H$45)</f>
        <v>63.38475251810415</v>
      </c>
      <c r="D39">
        <f>IF(Table1515[[#This Row],[EU]]=1,$T$19*Table1515[[#This Row],[GWh '[2020']]]/$H$44,$T$18*Table1515[[#This Row],[GWh '[2020']]]/$H$45)</f>
        <v>48.172411913759156</v>
      </c>
      <c r="E39" s="2">
        <v>63.503524799999994</v>
      </c>
      <c r="F39">
        <f>Table1515[[#This Row],[Mrd m3 '[2023']]]*9.77*-1</f>
        <v>-620.42943729599995</v>
      </c>
      <c r="G39">
        <v>67025.5</v>
      </c>
      <c r="H39">
        <f>MIN(Table1515[[#This Row],[TWh '[2023']]],Table1515[[#This Row],[TWh by share]])*1000</f>
        <v>-620429.43729599996</v>
      </c>
      <c r="I39">
        <f>Table1515[[#This Row],[Mrd m3 '[2035'] SP]]*9.77*-1000</f>
        <v>-619269.0321018775</v>
      </c>
      <c r="J39">
        <f>Table1515[[#This Row],[Mrd m3 '[2035'] AP]]*9.77*-1000</f>
        <v>-470644.46439742693</v>
      </c>
      <c r="K39">
        <f>IF(Table1515[[#This Row],[TWh '[2023']]]=0,$F$27*(G39/$G$27),0)</f>
        <v>0</v>
      </c>
      <c r="L39">
        <v>0</v>
      </c>
    </row>
    <row r="40" spans="1:12">
      <c r="A40" t="s">
        <v>38</v>
      </c>
      <c r="B40" t="s">
        <v>67</v>
      </c>
      <c r="C40">
        <f>IF(Table1515[[#This Row],[EU]]=1,$R$19*Table1515[[#This Row],[GWh '[2020']]]/$H$44,$R$18*Table1515[[#This Row],[GWh '[2020']]]/$H$45)</f>
        <v>18.70389013347587</v>
      </c>
      <c r="D40">
        <f>IF(Table1515[[#This Row],[EU]]=1,$T$19*Table1515[[#This Row],[GWh '[2020']]]/$H$44,$T$18*Table1515[[#This Row],[GWh '[2020']]]/$H$45)</f>
        <v>14.214956501441661</v>
      </c>
      <c r="E40" s="2">
        <v>18.73893805309735</v>
      </c>
      <c r="F40">
        <f>Table1515[[#This Row],[Mrd m3 '[2023']]]*9.77*-1</f>
        <v>-183.07942477876111</v>
      </c>
      <c r="G40">
        <v>41733</v>
      </c>
      <c r="H40">
        <f>MIN(Table1515[[#This Row],[TWh '[2023']]],Table1515[[#This Row],[TWh by share]])*1000</f>
        <v>-183079.42477876111</v>
      </c>
      <c r="I40">
        <f>Table1515[[#This Row],[Mrd m3 '[2035'] SP]]*9.77*-1000</f>
        <v>-182737.00660405925</v>
      </c>
      <c r="J40">
        <f>Table1515[[#This Row],[Mrd m3 '[2035'] AP]]*9.77*-1000</f>
        <v>-138880.12501908504</v>
      </c>
      <c r="K40">
        <f>IF(Table1515[[#This Row],[TWh '[2023']]]=0,$F$27*(G40/$G$27),0)</f>
        <v>0</v>
      </c>
      <c r="L40">
        <v>0</v>
      </c>
    </row>
    <row r="41" spans="1:12">
      <c r="A41" t="s">
        <v>108</v>
      </c>
      <c r="B41" t="s">
        <v>109</v>
      </c>
      <c r="C41">
        <f>IF(Table1515[[#This Row],[EU]]=1,$R$19*Table1515[[#This Row],[GWh '[2020']]]/$H$44,$R$18*Table1515[[#This Row],[GWh '[2020']]]/$H$45)</f>
        <v>0.25333725396602291</v>
      </c>
      <c r="D41">
        <f>IF(Table1515[[#This Row],[EU]]=1,$T$19*Table1515[[#This Row],[GWh '[2020']]]/$H$44,$T$18*Table1515[[#This Row],[GWh '[2020']]]/$H$45)</f>
        <v>0.16461992767441955</v>
      </c>
      <c r="E41" s="2"/>
      <c r="F41">
        <f>Table1515[[#This Row],[Mrd m3 '[2023']]]*9.77*-1</f>
        <v>0</v>
      </c>
      <c r="G41">
        <v>888</v>
      </c>
      <c r="H41">
        <f>MIN(Table1515[[#This Row],[TWh '[2023']]],Table1515[[#This Row],[TWh by share]])*1000</f>
        <v>-3075.3480395139095</v>
      </c>
      <c r="I41">
        <f>Table1515[[#This Row],[Mrd m3 '[2035'] SP]]*9.77*-1000</f>
        <v>-2475.1049712480435</v>
      </c>
      <c r="J41">
        <f>Table1515[[#This Row],[Mrd m3 '[2035'] AP]]*9.77*-1000</f>
        <v>-1608.3366933790787</v>
      </c>
      <c r="K41">
        <f>IF(Table1515[[#This Row],[TWh '[2023']]]=0,$F$27*(G41/$G$27),0)</f>
        <v>-3.0753480395139094</v>
      </c>
      <c r="L41">
        <v>1</v>
      </c>
    </row>
    <row r="42" spans="1:12">
      <c r="B42" t="s">
        <v>117</v>
      </c>
      <c r="C42">
        <f>IF(Table1515[[#This Row],[EU]]=1,$R$19*Table1515[[#This Row],[GWh '[2020']]]/$H$44,$R$18*Table1515[[#This Row],[GWh '[2020']]]/$H$45)</f>
        <v>0.63049465586453446</v>
      </c>
      <c r="D42">
        <f>IF(Table1515[[#This Row],[EU]]=1,$T$19*Table1515[[#This Row],[GWh '[2020']]]/$H$44,$T$18*Table1515[[#This Row],[GWh '[2020']]]/$H$45)</f>
        <v>0.4791759384570462</v>
      </c>
      <c r="E42" s="2"/>
      <c r="F42">
        <f>Table1515[[#This Row],[Mrd m3 '[2023']]]*9.77*-1</f>
        <v>0</v>
      </c>
      <c r="G42">
        <v>1782</v>
      </c>
      <c r="H42">
        <f>MIN(Table1515[[#This Row],[TWh '[2023']]],Table1515[[#This Row],[TWh by share]])*1000</f>
        <v>-6171.475457673183</v>
      </c>
      <c r="I42">
        <f>Table1515[[#This Row],[Mrd m3 '[2035'] SP]]*9.77*-1000</f>
        <v>-6159.9327877965015</v>
      </c>
      <c r="J42">
        <f>Table1515[[#This Row],[Mrd m3 '[2035'] AP]]*9.77*-1000</f>
        <v>-4681.5489187253415</v>
      </c>
      <c r="K42">
        <f>IF(Table1515[[#This Row],[TWh '[2023']]]=0,$F$27*(G42/$G$27),0)</f>
        <v>-6.171475457673183</v>
      </c>
      <c r="L42">
        <v>0</v>
      </c>
    </row>
    <row r="44" spans="1:12">
      <c r="G44" t="s">
        <v>298</v>
      </c>
      <c r="H44">
        <f>SUMIF(Table1515[EU],"1",Table1515[GWh '[2020']])</f>
        <v>-3119811.3731077109</v>
      </c>
    </row>
    <row r="45" spans="1:12">
      <c r="G45" t="s">
        <v>299</v>
      </c>
      <c r="H45">
        <f>SUMIF(Table1515[EU],"0",Table1515[GWh '[2020']])</f>
        <v>-1468246.0985837034</v>
      </c>
    </row>
    <row r="50" spans="1:2">
      <c r="A50" t="s">
        <v>132</v>
      </c>
    </row>
    <row r="51" spans="1:2">
      <c r="A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296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F5B6-3B80-4A6C-ABFC-09C2BC2D6E8F}">
  <dimension ref="A1:G53"/>
  <sheetViews>
    <sheetView workbookViewId="0">
      <selection activeCell="F5" sqref="F5"/>
    </sheetView>
  </sheetViews>
  <sheetFormatPr defaultRowHeight="14.5"/>
  <cols>
    <col min="1" max="1" width="9.54296875" customWidth="1"/>
    <col min="2" max="2" width="20.36328125" customWidth="1"/>
    <col min="3" max="3" width="15" customWidth="1"/>
    <col min="4" max="4" width="12" customWidth="1"/>
    <col min="5" max="5" width="22.1796875" customWidth="1"/>
    <col min="6" max="6" width="14.08984375" customWidth="1"/>
  </cols>
  <sheetData>
    <row r="1" spans="1:7">
      <c r="A1" t="s">
        <v>16</v>
      </c>
      <c r="B1" t="s">
        <v>55</v>
      </c>
      <c r="C1" t="s">
        <v>302</v>
      </c>
      <c r="D1" t="s">
        <v>133</v>
      </c>
      <c r="E1" t="s">
        <v>107</v>
      </c>
      <c r="F1" t="s">
        <v>266</v>
      </c>
      <c r="G1" t="s">
        <v>118</v>
      </c>
    </row>
    <row r="2" spans="1:7">
      <c r="A2" t="s">
        <v>41</v>
      </c>
      <c r="B2" t="s">
        <v>73</v>
      </c>
      <c r="C2" s="2">
        <f>Table1515[[#This Row],[GWh '[2035'] SP]]</f>
        <v>-9837.9173479623132</v>
      </c>
      <c r="D2">
        <f>Table1517[[#This Row],[GWh '[2035'] SP]]/1000</f>
        <v>-9.8379173479623141</v>
      </c>
      <c r="E2">
        <v>2846</v>
      </c>
      <c r="F2">
        <f>Table1517[[#This Row],[TWh '[2023']]]*1000</f>
        <v>-9837.9173479623132</v>
      </c>
      <c r="G2">
        <f>IF(Table1517[[#This Row],[TWh '[2023']]]=0,$D$27*(E2/$E$27),0)</f>
        <v>0</v>
      </c>
    </row>
    <row r="3" spans="1:7">
      <c r="A3" t="s">
        <v>20</v>
      </c>
      <c r="B3" t="s">
        <v>57</v>
      </c>
      <c r="C3" s="2">
        <f>Table1515[[#This Row],[GWh '[2035'] SP]]</f>
        <v>-54108.195930444759</v>
      </c>
      <c r="D3">
        <f>Table1517[[#This Row],[GWh '[2035'] SP]]/1000</f>
        <v>-54.108195930444758</v>
      </c>
      <c r="E3">
        <v>8901.1</v>
      </c>
      <c r="F3">
        <f>Table1517[[#This Row],[TWh '[2023']]]*1000</f>
        <v>-54108.195930444759</v>
      </c>
      <c r="G3">
        <f>IF(Table1517[[#This Row],[TWh '[2023']]]=0,$D$27*(E3/$E$27),0)</f>
        <v>0</v>
      </c>
    </row>
    <row r="4" spans="1:7">
      <c r="A4" t="s">
        <v>17</v>
      </c>
      <c r="B4" t="s">
        <v>0</v>
      </c>
      <c r="C4" s="2">
        <f>Table1515[[#This Row],[GWh '[2035'] SP]]</f>
        <v>-107772.75681937605</v>
      </c>
      <c r="D4">
        <f>Table1517[[#This Row],[GWh '[2035'] SP]]/1000</f>
        <v>-107.77275681937606</v>
      </c>
      <c r="E4">
        <v>11549.9</v>
      </c>
      <c r="F4">
        <f>Table1517[[#This Row],[TWh '[2023']]]*1000</f>
        <v>-107772.75681937605</v>
      </c>
      <c r="G4">
        <f>IF(Table1517[[#This Row],[TWh '[2023']]]=0,$D$27*(E4/$E$27),0)</f>
        <v>0</v>
      </c>
    </row>
    <row r="5" spans="1:7">
      <c r="A5" t="s">
        <v>44</v>
      </c>
      <c r="B5" t="s">
        <v>75</v>
      </c>
      <c r="C5" s="2">
        <f>Table1515[[#This Row],[GWh '[2035'] SP]]</f>
        <v>-5100.4426350757803</v>
      </c>
      <c r="D5">
        <f>Table1517[[#This Row],[GWh '[2035'] SP]]/1000</f>
        <v>-5.1004426350757806</v>
      </c>
      <c r="E5">
        <v>3492</v>
      </c>
      <c r="F5">
        <f>Table1517[[#This Row],[TWh '[2023']]]*1000</f>
        <v>-5100.4426350757803</v>
      </c>
      <c r="G5">
        <f>IF(Table1517[[#This Row],[TWh '[2023']]]=0,$D$27*(E5/$E$27),0)</f>
        <v>0</v>
      </c>
    </row>
    <row r="6" spans="1:7">
      <c r="A6" t="s">
        <v>32</v>
      </c>
      <c r="B6" t="s">
        <v>64</v>
      </c>
      <c r="C6" s="2">
        <f>Table1515[[#This Row],[GWh '[2035'] SP]]</f>
        <v>-19862.195856435395</v>
      </c>
      <c r="D6">
        <f>Table1517[[#This Row],[GWh '[2035'] SP]]/1000</f>
        <v>-19.862195856435395</v>
      </c>
      <c r="E6">
        <v>6951.5</v>
      </c>
      <c r="F6">
        <f>Table1517[[#This Row],[TWh '[2023']]]*1000</f>
        <v>-19862.195856435395</v>
      </c>
      <c r="G6">
        <f>IF(Table1517[[#This Row],[TWh '[2023']]]=0,$D$27*(E6/$E$27),0)</f>
        <v>0</v>
      </c>
    </row>
    <row r="7" spans="1:7">
      <c r="A7" t="s">
        <v>24</v>
      </c>
      <c r="B7" t="s">
        <v>5</v>
      </c>
      <c r="C7" s="2">
        <f>Table1515[[#This Row],[GWh '[2035'] SP]]</f>
        <v>-19658.885114443085</v>
      </c>
      <c r="D7">
        <f>Table1517[[#This Row],[GWh '[2035'] SP]]/1000</f>
        <v>-19.658885114443084</v>
      </c>
      <c r="E7">
        <v>4058.2</v>
      </c>
      <c r="F7">
        <f>Table1517[[#This Row],[TWh '[2023']]]*1000</f>
        <v>-19658.885114443085</v>
      </c>
      <c r="G7">
        <f>IF(Table1517[[#This Row],[TWh '[2023']]]=0,$D$27*(E7/$E$27),0)</f>
        <v>0</v>
      </c>
    </row>
    <row r="8" spans="1:7">
      <c r="A8" t="s">
        <v>28</v>
      </c>
      <c r="B8" t="s">
        <v>61</v>
      </c>
      <c r="C8" s="2">
        <f>Table1515[[#This Row],[GWh '[2035'] SP]]</f>
        <v>-52663.126187045149</v>
      </c>
      <c r="D8">
        <f>Table1517[[#This Row],[GWh '[2035'] SP]]/1000</f>
        <v>-52.663126187045151</v>
      </c>
      <c r="E8">
        <v>10693.9</v>
      </c>
      <c r="F8">
        <f>Table1517[[#This Row],[TWh '[2023']]]*1000</f>
        <v>-52663.126187045149</v>
      </c>
      <c r="G8">
        <f>IF(Table1517[[#This Row],[TWh '[2023']]]=0,$D$27*(E8/$E$27),0)</f>
        <v>0</v>
      </c>
    </row>
    <row r="9" spans="1:7">
      <c r="A9" t="s">
        <v>26</v>
      </c>
      <c r="B9" t="s">
        <v>60</v>
      </c>
      <c r="C9" s="2">
        <f>Table1515[[#This Row],[GWh '[2035'] SP]]</f>
        <v>-12818.830044068203</v>
      </c>
      <c r="D9">
        <f>Table1517[[#This Row],[GWh '[2035'] SP]]/1000</f>
        <v>-12.818830044068203</v>
      </c>
      <c r="E9">
        <v>5822.8</v>
      </c>
      <c r="F9">
        <f>Table1517[[#This Row],[TWh '[2023']]]*1000</f>
        <v>-12818.830044068203</v>
      </c>
      <c r="G9">
        <f>IF(Table1517[[#This Row],[TWh '[2023']]]=0,$D$27*(E9/$E$27),0)</f>
        <v>0</v>
      </c>
    </row>
    <row r="10" spans="1:7">
      <c r="A10" t="s">
        <v>53</v>
      </c>
      <c r="B10" t="s">
        <v>66</v>
      </c>
      <c r="C10" s="2">
        <f>Table1515[[#This Row],[GWh '[2035'] SP]]</f>
        <v>-2908.438608503327</v>
      </c>
      <c r="D10">
        <f>Table1517[[#This Row],[GWh '[2035'] SP]]/1000</f>
        <v>-2.9084386085033271</v>
      </c>
      <c r="E10">
        <v>1329</v>
      </c>
      <c r="F10">
        <f>Table1517[[#This Row],[TWh '[2023']]]*1000</f>
        <v>-2908.438608503327</v>
      </c>
      <c r="G10">
        <f>IF(Table1517[[#This Row],[TWh '[2023']]]=0,$D$27*(E10/$E$27),0)</f>
        <v>0</v>
      </c>
    </row>
    <row r="11" spans="1:7">
      <c r="A11" t="s">
        <v>54</v>
      </c>
      <c r="B11" t="s">
        <v>85</v>
      </c>
      <c r="C11" s="2">
        <f>Table1515[[#This Row],[GWh '[2035'] SP]]</f>
        <v>-9391.8201771670792</v>
      </c>
      <c r="D11">
        <f>Table1517[[#This Row],[GWh '[2035'] SP]]/1000</f>
        <v>-9.3918201771670784</v>
      </c>
      <c r="E11">
        <v>5525.3</v>
      </c>
      <c r="F11">
        <f>Table1517[[#This Row],[TWh '[2023']]]*1000</f>
        <v>-9391.8201771670792</v>
      </c>
      <c r="G11">
        <f>IF(Table1517[[#This Row],[TWh '[2023']]]=0,$D$27*(E11/$E$27),0)</f>
        <v>0</v>
      </c>
    </row>
    <row r="12" spans="1:7">
      <c r="A12" t="s">
        <v>25</v>
      </c>
      <c r="B12" t="s">
        <v>2</v>
      </c>
      <c r="C12" s="2">
        <f>Table1515[[#This Row],[GWh '[2035'] SP]]</f>
        <v>-266277.36568547465</v>
      </c>
      <c r="D12">
        <f>Table1517[[#This Row],[GWh '[2035'] SP]]/1000</f>
        <v>-266.27736568547465</v>
      </c>
      <c r="E12">
        <v>67098.8</v>
      </c>
      <c r="F12">
        <f>Table1517[[#This Row],[TWh '[2023']]]*1000</f>
        <v>-266277.36568547465</v>
      </c>
      <c r="G12">
        <f>IF(Table1517[[#This Row],[TWh '[2023']]]=0,$D$27*(E12/$E$27),0)</f>
        <v>0</v>
      </c>
    </row>
    <row r="13" spans="1:7">
      <c r="A13" t="s">
        <v>19</v>
      </c>
      <c r="B13" t="s">
        <v>56</v>
      </c>
      <c r="C13" s="2">
        <f>Table1515[[#This Row],[GWh '[2035'] SP]]</f>
        <v>-594952.29217611183</v>
      </c>
      <c r="D13">
        <f>Table1517[[#This Row],[GWh '[2035'] SP]]/1000</f>
        <v>-594.95229217611188</v>
      </c>
      <c r="E13">
        <v>83166.7</v>
      </c>
      <c r="F13">
        <f>Table1517[[#This Row],[TWh '[2023']]]*1000</f>
        <v>-594952.29217611183</v>
      </c>
      <c r="G13">
        <f>IF(Table1517[[#This Row],[TWh '[2023']]]=0,$D$27*(E13/$E$27),0)</f>
        <v>0</v>
      </c>
    </row>
    <row r="14" spans="1:7">
      <c r="A14" t="s">
        <v>264</v>
      </c>
      <c r="B14" t="s">
        <v>3</v>
      </c>
      <c r="C14" s="2">
        <f>Table1515[[#This Row],[GWh '[2035'] SP]]</f>
        <v>-42320.788019994681</v>
      </c>
      <c r="D14">
        <f>Table1517[[#This Row],[GWh '[2035'] SP]]/1000</f>
        <v>-42.32078801999468</v>
      </c>
      <c r="E14">
        <v>10709.7</v>
      </c>
      <c r="F14">
        <f>Table1517[[#This Row],[TWh '[2023']]]*1000</f>
        <v>-42320.788019994681</v>
      </c>
      <c r="G14">
        <f>IF(Table1517[[#This Row],[TWh '[2023']]]=0,$D$27*(E14/$E$27),0)</f>
        <v>0</v>
      </c>
    </row>
    <row r="15" spans="1:7">
      <c r="A15" t="s">
        <v>30</v>
      </c>
      <c r="B15" t="s">
        <v>63</v>
      </c>
      <c r="C15" s="2">
        <f>Table1515[[#This Row],[GWh '[2035'] SP]]</f>
        <v>-64358.180015418708</v>
      </c>
      <c r="D15">
        <f>Table1517[[#This Row],[GWh '[2035'] SP]]/1000</f>
        <v>-64.358180015418711</v>
      </c>
      <c r="E15">
        <v>9769.5</v>
      </c>
      <c r="F15">
        <f>Table1517[[#This Row],[TWh '[2023']]]*1000</f>
        <v>-64358.180015418708</v>
      </c>
      <c r="G15">
        <f>IF(Table1517[[#This Row],[TWh '[2023']]]=0,$D$27*(E15/$E$27),0)</f>
        <v>0</v>
      </c>
    </row>
    <row r="16" spans="1:7">
      <c r="A16" t="s">
        <v>43</v>
      </c>
      <c r="B16" t="s">
        <v>74</v>
      </c>
      <c r="C16" s="2">
        <f>Table1515[[#This Row],[GWh '[2035'] SP]]</f>
        <v>-37927.1668670121</v>
      </c>
      <c r="D16">
        <f>Table1517[[#This Row],[GWh '[2035'] SP]]/1000</f>
        <v>-37.927166867012097</v>
      </c>
      <c r="E16">
        <v>4963.8</v>
      </c>
      <c r="F16">
        <f>Table1517[[#This Row],[TWh '[2023']]]*1000</f>
        <v>-37927.1668670121</v>
      </c>
      <c r="G16">
        <f>IF(Table1517[[#This Row],[TWh '[2023']]]=0,$D$27*(E16/$E$27),0)</f>
        <v>0</v>
      </c>
    </row>
    <row r="17" spans="1:7">
      <c r="A17" t="s">
        <v>21</v>
      </c>
      <c r="B17" t="s">
        <v>4</v>
      </c>
      <c r="C17" s="2">
        <f>Table1515[[#This Row],[GWh '[2035'] SP]]</f>
        <v>-460759.22665597167</v>
      </c>
      <c r="D17">
        <f>Table1517[[#This Row],[GWh '[2035'] SP]]/1000</f>
        <v>-460.75922665597164</v>
      </c>
      <c r="E17">
        <v>60244.6</v>
      </c>
      <c r="F17">
        <f>Table1517[[#This Row],[TWh '[2023']]]*1000</f>
        <v>-460759.22665597167</v>
      </c>
      <c r="G17">
        <f>IF(Table1517[[#This Row],[TWh '[2023']]]=0,$D$27*(E17/$E$27),0)</f>
        <v>0</v>
      </c>
    </row>
    <row r="18" spans="1:7">
      <c r="A18" t="s">
        <v>35</v>
      </c>
      <c r="B18" t="s">
        <v>65</v>
      </c>
      <c r="C18" s="2">
        <f>Table1515[[#This Row],[GWh '[2035'] SP]]</f>
        <v>-6031.8838950593026</v>
      </c>
      <c r="D18">
        <f>Table1517[[#This Row],[GWh '[2035'] SP]]/1000</f>
        <v>-6.0318838950593028</v>
      </c>
      <c r="E18">
        <v>1907.7</v>
      </c>
      <c r="F18">
        <f>Table1517[[#This Row],[TWh '[2023']]]*1000</f>
        <v>-6031.8838950593026</v>
      </c>
      <c r="G18">
        <f>IF(Table1517[[#This Row],[TWh '[2023']]]=0,$D$27*(E18/$E$27),0)</f>
        <v>0</v>
      </c>
    </row>
    <row r="19" spans="1:7">
      <c r="A19" t="s">
        <v>34</v>
      </c>
      <c r="B19" t="s">
        <v>6</v>
      </c>
      <c r="C19" s="2">
        <f>Table1515[[#This Row],[GWh '[2035'] SP]]</f>
        <v>-12309.86715904763</v>
      </c>
      <c r="D19">
        <f>Table1517[[#This Row],[GWh '[2035'] SP]]/1000</f>
        <v>-12.309867159047629</v>
      </c>
      <c r="E19">
        <v>2794.1</v>
      </c>
      <c r="F19">
        <f>Table1517[[#This Row],[TWh '[2023']]]*1000</f>
        <v>-12309.86715904763</v>
      </c>
      <c r="G19">
        <f>IF(Table1517[[#This Row],[TWh '[2023']]]=0,$D$27*(E19/$E$27),0)</f>
        <v>0</v>
      </c>
    </row>
    <row r="20" spans="1:7">
      <c r="A20" t="s">
        <v>42</v>
      </c>
      <c r="B20" t="s">
        <v>70</v>
      </c>
      <c r="C20" s="2">
        <f>Table1515[[#This Row],[GWh '[2035'] SP]]</f>
        <v>-4509.1515630737858</v>
      </c>
      <c r="D20">
        <f>Table1517[[#This Row],[GWh '[2035'] SP]]/1000</f>
        <v>-4.509151563073786</v>
      </c>
      <c r="E20">
        <v>626.1</v>
      </c>
      <c r="F20">
        <f>Table1517[[#This Row],[TWh '[2023']]]*1000</f>
        <v>-4509.1515630737858</v>
      </c>
      <c r="G20">
        <f>IF(Table1517[[#This Row],[TWh '[2023']]]=0,$D$27*(E20/$E$27),0)</f>
        <v>0</v>
      </c>
    </row>
    <row r="21" spans="1:7">
      <c r="A21" t="s">
        <v>110</v>
      </c>
      <c r="B21" t="s">
        <v>91</v>
      </c>
      <c r="C21" s="2">
        <f>Table1515[[#This Row],[GWh '[2035'] SP]]</f>
        <v>-1434.3344799597332</v>
      </c>
      <c r="D21">
        <f>Table1517[[#This Row],[GWh '[2035'] SP]]/1000</f>
        <v>-1.4343344799597333</v>
      </c>
      <c r="E21">
        <v>514.6</v>
      </c>
      <c r="F21">
        <f>Table1517[[#This Row],[TWh '[2023']]]*1000</f>
        <v>-1434.3344799597332</v>
      </c>
      <c r="G21">
        <f>IF(Table1517[[#This Row],[TWh '[2023']]]=0,$D$27*(E21/$E$27),0)</f>
        <v>0</v>
      </c>
    </row>
    <row r="22" spans="1:7">
      <c r="A22" t="s">
        <v>39</v>
      </c>
      <c r="B22" t="s">
        <v>68</v>
      </c>
      <c r="C22" s="2">
        <f>Table1515[[#This Row],[GWh '[2035'] SP]]</f>
        <v>-8914.9644555146897</v>
      </c>
      <c r="D22">
        <f>Table1517[[#This Row],[GWh '[2035'] SP]]/1000</f>
        <v>-8.9149644555146903</v>
      </c>
      <c r="E22">
        <v>2579</v>
      </c>
      <c r="F22">
        <f>Table1517[[#This Row],[TWh '[2023']]]*1000</f>
        <v>-8914.9644555146897</v>
      </c>
      <c r="G22">
        <f>IF(Table1517[[#This Row],[TWh '[2023']]]=0,$D$27*(E22/$E$27),0)</f>
        <v>0</v>
      </c>
    </row>
    <row r="23" spans="1:7">
      <c r="B23" t="s">
        <v>111</v>
      </c>
      <c r="C23" s="2">
        <f>Table1515[[#This Row],[GWh '[2035'] SP]]</f>
        <v>-2149.7543213976683</v>
      </c>
      <c r="D23">
        <f>Table1517[[#This Row],[GWh '[2035'] SP]]/1000</f>
        <v>-2.1497543213976682</v>
      </c>
      <c r="E23">
        <v>621.9</v>
      </c>
      <c r="F23">
        <f>Table1517[[#This Row],[TWh '[2023']]]*1000</f>
        <v>-2149.7543213976683</v>
      </c>
      <c r="G23">
        <f>IF(Table1517[[#This Row],[TWh '[2023']]]=0,$D$27*(E23/$E$27),0)</f>
        <v>0</v>
      </c>
    </row>
    <row r="24" spans="1:7">
      <c r="A24" t="s">
        <v>18</v>
      </c>
      <c r="B24" t="s">
        <v>7</v>
      </c>
      <c r="C24" s="2">
        <f>Table1515[[#This Row],[GWh '[2035'] SP]]</f>
        <v>-202649.61418580936</v>
      </c>
      <c r="D24">
        <f>Table1517[[#This Row],[GWh '[2035'] SP]]/1000</f>
        <v>-202.64961418580936</v>
      </c>
      <c r="E24">
        <v>17407.599999999999</v>
      </c>
      <c r="F24">
        <f>Table1517[[#This Row],[TWh '[2023']]]*1000</f>
        <v>-202649.61418580936</v>
      </c>
      <c r="G24">
        <f>IF(Table1517[[#This Row],[TWh '[2023']]]=0,$D$27*(E24/$E$27),0)</f>
        <v>0</v>
      </c>
    </row>
    <row r="25" spans="1:7">
      <c r="A25" t="s">
        <v>45</v>
      </c>
      <c r="B25" t="s">
        <v>76</v>
      </c>
      <c r="C25" s="2">
        <f>Table1515[[#This Row],[GWh '[2035'] SP]]</f>
        <v>-3441.1173866675967</v>
      </c>
      <c r="D25">
        <f>Table1517[[#This Row],[GWh '[2035'] SP]]/1000</f>
        <v>-3.4411173866675968</v>
      </c>
      <c r="E25">
        <v>2076.3000000000002</v>
      </c>
      <c r="F25">
        <f>Table1517[[#This Row],[TWh '[2023']]]*1000</f>
        <v>-3441.1173866675967</v>
      </c>
      <c r="G25">
        <f>IF(Table1517[[#This Row],[TWh '[2023']]]=0,$D$27*(E25/$E$27),0)</f>
        <v>0</v>
      </c>
    </row>
    <row r="26" spans="1:7">
      <c r="A26" t="s">
        <v>48</v>
      </c>
      <c r="B26" t="s">
        <v>71</v>
      </c>
      <c r="C26" s="2">
        <f>Table1515[[#This Row],[GWh '[2035'] SP]]</f>
        <v>-36990.351093231686</v>
      </c>
      <c r="D26">
        <f>Table1517[[#This Row],[GWh '[2035'] SP]]/1000</f>
        <v>-36.990351093231688</v>
      </c>
      <c r="E26">
        <v>5367.6</v>
      </c>
      <c r="F26">
        <f>Table1517[[#This Row],[TWh '[2023']]]*1000</f>
        <v>-36990.351093231686</v>
      </c>
      <c r="G26">
        <f>IF(Table1517[[#This Row],[TWh '[2023']]]=0,$D$27*(E26/$E$27),0)</f>
        <v>0</v>
      </c>
    </row>
    <row r="27" spans="1:7">
      <c r="A27" t="s">
        <v>87</v>
      </c>
      <c r="B27" t="s">
        <v>88</v>
      </c>
      <c r="C27" s="2">
        <f>Table1515[[#This Row],[GWh '[2035'] SP]]</f>
        <v>-67925.876131738958</v>
      </c>
      <c r="D27">
        <f>Table1517[[#This Row],[GWh '[2035'] SP]]/1000</f>
        <v>-67.92587613173896</v>
      </c>
      <c r="E27">
        <f>SUMIF(D2:D26,"=0",E2:E26)+SUMIF(D28:D42,"=0",E28:E42)</f>
        <v>0</v>
      </c>
      <c r="F27">
        <f>Table1517[[#This Row],[TWh '[2023']]]*1000</f>
        <v>-67925.876131738958</v>
      </c>
      <c r="G27">
        <f>IF(Table1517[[#This Row],[TWh '[2023']]]=0,$D$27*(E27/$E$27),0)</f>
        <v>0</v>
      </c>
    </row>
    <row r="28" spans="1:7">
      <c r="A28" t="s">
        <v>27</v>
      </c>
      <c r="B28" t="s">
        <v>8</v>
      </c>
      <c r="C28" s="2">
        <f>Table1515[[#This Row],[GWh '[2035'] SP]]</f>
        <v>-153980.87102322056</v>
      </c>
      <c r="D28">
        <f>Table1517[[#This Row],[GWh '[2035'] SP]]/1000</f>
        <v>-153.98087102322057</v>
      </c>
      <c r="E28">
        <v>37958.1</v>
      </c>
      <c r="F28">
        <f>Table1517[[#This Row],[TWh '[2023']]]*1000</f>
        <v>-153980.87102322056</v>
      </c>
      <c r="G28">
        <f>IF(Table1517[[#This Row],[TWh '[2023']]]=0,$D$27*(E28/$E$27),0)</f>
        <v>0</v>
      </c>
    </row>
    <row r="29" spans="1:7">
      <c r="A29" t="s">
        <v>37</v>
      </c>
      <c r="B29" t="s">
        <v>1</v>
      </c>
      <c r="C29" s="2">
        <f>Table1515[[#This Row],[GWh '[2035'] SP]]</f>
        <v>-35230.560175107188</v>
      </c>
      <c r="D29">
        <f>Table1517[[#This Row],[GWh '[2035'] SP]]/1000</f>
        <v>-35.230560175107186</v>
      </c>
      <c r="E29">
        <v>10295.9</v>
      </c>
      <c r="F29">
        <f>Table1517[[#This Row],[TWh '[2023']]]*1000</f>
        <v>-35230.560175107188</v>
      </c>
      <c r="G29">
        <f>IF(Table1517[[#This Row],[TWh '[2023']]]=0,$D$27*(E29/$E$27),0)</f>
        <v>0</v>
      </c>
    </row>
    <row r="30" spans="1:7">
      <c r="A30" t="s">
        <v>33</v>
      </c>
      <c r="B30" t="s">
        <v>86</v>
      </c>
      <c r="C30" s="2">
        <f>Table1515[[#This Row],[GWh '[2035'] SP]]</f>
        <v>-71444.079999016365</v>
      </c>
      <c r="D30">
        <f>Table1517[[#This Row],[GWh '[2035'] SP]]/1000</f>
        <v>-71.444079999016367</v>
      </c>
      <c r="E30">
        <v>19318</v>
      </c>
      <c r="F30">
        <f>Table1517[[#This Row],[TWh '[2023']]]*1000</f>
        <v>-71444.079999016365</v>
      </c>
      <c r="G30">
        <f>IF(Table1517[[#This Row],[TWh '[2023']]]=0,$D$27*(E30/$E$27),0)</f>
        <v>0</v>
      </c>
    </row>
    <row r="31" spans="1:7">
      <c r="A31" t="s">
        <v>47</v>
      </c>
      <c r="B31" t="s">
        <v>77</v>
      </c>
      <c r="C31" s="2">
        <f>Table1515[[#This Row],[GWh '[2035'] SP]]</f>
        <v>0</v>
      </c>
      <c r="D31">
        <f>Table1517[[#This Row],[GWh '[2035'] SP]]/1000</f>
        <v>0</v>
      </c>
      <c r="E31">
        <v>0</v>
      </c>
      <c r="F31">
        <f>Table1517[[#This Row],[TWh '[2023']]]*1000</f>
        <v>0</v>
      </c>
      <c r="G31" t="e">
        <f>IF(Table1517[[#This Row],[TWh '[2023']]]=0,$D$27*(E31/$E$27),0)</f>
        <v>#DIV/0!</v>
      </c>
    </row>
    <row r="32" spans="1:7">
      <c r="A32" t="s">
        <v>31</v>
      </c>
      <c r="B32" t="s">
        <v>72</v>
      </c>
      <c r="C32" s="2">
        <f>Table1515[[#This Row],[GWh '[2035'] SP]]</f>
        <v>-23943.886891823808</v>
      </c>
      <c r="D32">
        <f>Table1517[[#This Row],[GWh '[2035'] SP]]/1000</f>
        <v>-23.943886891823809</v>
      </c>
      <c r="E32">
        <v>6926.7</v>
      </c>
      <c r="F32">
        <f>Table1517[[#This Row],[TWh '[2023']]]*1000</f>
        <v>-23943.886891823808</v>
      </c>
      <c r="G32">
        <f>IF(Table1517[[#This Row],[TWh '[2023']]]=0,$D$27*(E32/$E$27),0)</f>
        <v>0</v>
      </c>
    </row>
    <row r="33" spans="1:7">
      <c r="A33" t="s">
        <v>29</v>
      </c>
      <c r="B33" t="s">
        <v>62</v>
      </c>
      <c r="C33" s="2">
        <f>Table1515[[#This Row],[GWh '[2035'] SP]]</f>
        <v>-33009.731025742927</v>
      </c>
      <c r="D33">
        <f>Table1517[[#This Row],[GWh '[2035'] SP]]/1000</f>
        <v>-33.00973102574293</v>
      </c>
      <c r="E33">
        <v>5457.9</v>
      </c>
      <c r="F33">
        <f>Table1517[[#This Row],[TWh '[2023']]]*1000</f>
        <v>-33009.731025742927</v>
      </c>
      <c r="G33">
        <f>IF(Table1517[[#This Row],[TWh '[2023']]]=0,$D$27*(E33/$E$27),0)</f>
        <v>0</v>
      </c>
    </row>
    <row r="34" spans="1:7">
      <c r="A34" t="s">
        <v>23</v>
      </c>
      <c r="B34" t="s">
        <v>59</v>
      </c>
      <c r="C34" s="2">
        <f>Table1515[[#This Row],[GWh '[2035'] SP]]</f>
        <v>-6028.4272446024452</v>
      </c>
      <c r="D34">
        <f>Table1517[[#This Row],[GWh '[2035'] SP]]/1000</f>
        <v>-6.0284272446024456</v>
      </c>
      <c r="E34">
        <v>2095.9</v>
      </c>
      <c r="F34">
        <f>Table1517[[#This Row],[TWh '[2023']]]*1000</f>
        <v>-6028.4272446024452</v>
      </c>
      <c r="G34">
        <f>IF(Table1517[[#This Row],[TWh '[2023']]]=0,$D$27*(E34/$E$27),0)</f>
        <v>0</v>
      </c>
    </row>
    <row r="35" spans="1:7">
      <c r="A35" t="s">
        <v>36</v>
      </c>
      <c r="B35" t="s">
        <v>9</v>
      </c>
      <c r="C35" s="2">
        <f>Table1515[[#This Row],[GWh '[2035'] SP]]</f>
        <v>-230375.55889187026</v>
      </c>
      <c r="D35">
        <f>Table1517[[#This Row],[GWh '[2035'] SP]]/1000</f>
        <v>-230.37555889187027</v>
      </c>
      <c r="E35">
        <v>47330</v>
      </c>
      <c r="F35">
        <f>Table1517[[#This Row],[TWh '[2023']]]*1000</f>
        <v>-230375.55889187026</v>
      </c>
      <c r="G35">
        <f>IF(Table1517[[#This Row],[TWh '[2023']]]=0,$D$27*(E35/$E$27),0)</f>
        <v>0</v>
      </c>
    </row>
    <row r="36" spans="1:7">
      <c r="A36" t="s">
        <v>82</v>
      </c>
      <c r="B36" t="s">
        <v>83</v>
      </c>
      <c r="C36" s="2">
        <f>Table1515[[#This Row],[GWh '[2035'] SP]]</f>
        <v>-5631.5472287752436</v>
      </c>
      <c r="D36">
        <f>Table1517[[#This Row],[GWh '[2035'] SP]]/1000</f>
        <v>-5.6315472287752435</v>
      </c>
      <c r="E36">
        <v>10327.6</v>
      </c>
      <c r="F36">
        <f>Table1517[[#This Row],[TWh '[2023']]]*1000</f>
        <v>-5631.5472287752436</v>
      </c>
      <c r="G36">
        <f>IF(Table1517[[#This Row],[TWh '[2023']]]=0,$D$27*(E36/$E$27),0)</f>
        <v>0</v>
      </c>
    </row>
    <row r="37" spans="1:7">
      <c r="A37" t="s">
        <v>22</v>
      </c>
      <c r="B37" t="s">
        <v>58</v>
      </c>
      <c r="C37" s="2">
        <f>Table1515[[#This Row],[GWh '[2035'] SP]]</f>
        <v>-26759.936134266001</v>
      </c>
      <c r="D37">
        <f>Table1517[[#This Row],[GWh '[2035'] SP]]/1000</f>
        <v>-26.759936134266002</v>
      </c>
      <c r="E37">
        <v>8606</v>
      </c>
      <c r="F37">
        <f>Table1517[[#This Row],[TWh '[2023']]]*1000</f>
        <v>-26759.936134266001</v>
      </c>
      <c r="G37">
        <f>IF(Table1517[[#This Row],[TWh '[2023']]]=0,$D$27*(E37/$E$27),0)</f>
        <v>0</v>
      </c>
    </row>
    <row r="38" spans="1:7">
      <c r="A38" t="s">
        <v>46</v>
      </c>
      <c r="B38" t="s">
        <v>10</v>
      </c>
      <c r="C38" s="2">
        <f>Table1515[[#This Row],[GWh '[2035'] SP]]</f>
        <v>-472269.7821085882</v>
      </c>
      <c r="D38">
        <f>Table1517[[#This Row],[GWh '[2035'] SP]]/1000</f>
        <v>-472.26978210858817</v>
      </c>
      <c r="E38">
        <v>83155</v>
      </c>
      <c r="F38">
        <f>Table1517[[#This Row],[TWh '[2023']]]*1000</f>
        <v>-472269.7821085882</v>
      </c>
      <c r="G38">
        <f>IF(Table1517[[#This Row],[TWh '[2023']]]=0,$D$27*(E38/$E$27),0)</f>
        <v>0</v>
      </c>
    </row>
    <row r="39" spans="1:7">
      <c r="A39" t="s">
        <v>11</v>
      </c>
      <c r="B39" t="s">
        <v>11</v>
      </c>
      <c r="C39" s="2">
        <f>Table1515[[#This Row],[GWh '[2035'] SP]]</f>
        <v>-619269.0321018775</v>
      </c>
      <c r="D39">
        <f>Table1517[[#This Row],[GWh '[2035'] SP]]/1000</f>
        <v>-619.26903210187754</v>
      </c>
      <c r="E39">
        <v>67025.5</v>
      </c>
      <c r="F39">
        <f>Table1517[[#This Row],[TWh '[2023']]]*1000</f>
        <v>-619269.0321018775</v>
      </c>
      <c r="G39">
        <f>IF(Table1517[[#This Row],[TWh '[2023']]]=0,$D$27*(E39/$E$27),0)</f>
        <v>0</v>
      </c>
    </row>
    <row r="40" spans="1:7">
      <c r="A40" t="s">
        <v>38</v>
      </c>
      <c r="B40" t="s">
        <v>67</v>
      </c>
      <c r="C40" s="2">
        <f>Table1515[[#This Row],[GWh '[2035'] SP]]</f>
        <v>-182737.00660405925</v>
      </c>
      <c r="D40">
        <f>Table1517[[#This Row],[GWh '[2035'] SP]]/1000</f>
        <v>-182.73700660405925</v>
      </c>
      <c r="E40">
        <v>41733</v>
      </c>
      <c r="F40">
        <f>Table1517[[#This Row],[TWh '[2023']]]*1000</f>
        <v>-182737.00660405925</v>
      </c>
      <c r="G40">
        <f>IF(Table1517[[#This Row],[TWh '[2023']]]=0,$D$27*(E40/$E$27),0)</f>
        <v>0</v>
      </c>
    </row>
    <row r="41" spans="1:7">
      <c r="A41" t="s">
        <v>108</v>
      </c>
      <c r="B41" t="s">
        <v>109</v>
      </c>
      <c r="C41" s="2">
        <f>Table1515[[#This Row],[GWh '[2035'] SP]]</f>
        <v>-2475.1049712480435</v>
      </c>
      <c r="D41">
        <f>Table1517[[#This Row],[GWh '[2035'] SP]]/1000</f>
        <v>-2.4751049712480433</v>
      </c>
      <c r="E41">
        <v>888</v>
      </c>
      <c r="F41">
        <f>Table1517[[#This Row],[TWh '[2023']]]*1000</f>
        <v>-2475.1049712480435</v>
      </c>
      <c r="G41">
        <f>IF(Table1517[[#This Row],[TWh '[2023']]]=0,$D$27*(E41/$E$27),0)</f>
        <v>0</v>
      </c>
    </row>
    <row r="42" spans="1:7">
      <c r="B42" t="s">
        <v>117</v>
      </c>
      <c r="C42" s="2">
        <f>Table1515[[#This Row],[GWh '[2035'] SP]]</f>
        <v>-6159.9327877965015</v>
      </c>
      <c r="D42">
        <f>Table1517[[#This Row],[GWh '[2035'] SP]]/1000</f>
        <v>-6.1599327877965013</v>
      </c>
      <c r="E42">
        <v>1782</v>
      </c>
      <c r="F42">
        <f>Table1517[[#This Row],[TWh '[2023']]]*1000</f>
        <v>-6159.9327877965015</v>
      </c>
      <c r="G42">
        <f>IF(Table1517[[#This Row],[TWh '[2023']]]=0,$D$27*(E42/$E$27),0)</f>
        <v>0</v>
      </c>
    </row>
    <row r="50" spans="1:2">
      <c r="A50" t="s">
        <v>132</v>
      </c>
    </row>
    <row r="51" spans="1:2">
      <c r="A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3F99-A114-428C-8672-822428D3FFE3}">
  <dimension ref="A1:G53"/>
  <sheetViews>
    <sheetView workbookViewId="0">
      <selection activeCell="K9" sqref="K9"/>
    </sheetView>
  </sheetViews>
  <sheetFormatPr defaultRowHeight="14.5"/>
  <cols>
    <col min="1" max="1" width="9.54296875" customWidth="1"/>
    <col min="2" max="2" width="20.36328125" customWidth="1"/>
    <col min="3" max="3" width="15" customWidth="1"/>
    <col min="4" max="4" width="12" customWidth="1"/>
    <col min="5" max="5" width="22.1796875" customWidth="1"/>
    <col min="6" max="6" width="14.08984375" customWidth="1"/>
  </cols>
  <sheetData>
    <row r="1" spans="1:7">
      <c r="A1" t="s">
        <v>16</v>
      </c>
      <c r="B1" t="s">
        <v>55</v>
      </c>
      <c r="C1" t="s">
        <v>302</v>
      </c>
      <c r="D1" t="s">
        <v>133</v>
      </c>
      <c r="E1" t="s">
        <v>107</v>
      </c>
      <c r="F1" t="s">
        <v>266</v>
      </c>
      <c r="G1" t="s">
        <v>118</v>
      </c>
    </row>
    <row r="2" spans="1:7">
      <c r="A2" t="s">
        <v>41</v>
      </c>
      <c r="B2" t="s">
        <v>73</v>
      </c>
      <c r="C2" s="2">
        <f>Table1515[[#This Row],[GWh '[2035'] AP]]</f>
        <v>-7476.8171844513581</v>
      </c>
      <c r="D2">
        <f>Table151718[[#This Row],[GWh '[2035'] SP]]/1000</f>
        <v>-7.4768171844513578</v>
      </c>
      <c r="E2">
        <v>2846</v>
      </c>
      <c r="F2">
        <f>Table151718[[#This Row],[TWh '[2023']]]*1000</f>
        <v>-7476.8171844513581</v>
      </c>
      <c r="G2">
        <f>IF(Table151718[[#This Row],[TWh '[2023']]]=0,$D$27*(E2/$E$27),0)</f>
        <v>0</v>
      </c>
    </row>
    <row r="3" spans="1:7">
      <c r="A3" t="s">
        <v>20</v>
      </c>
      <c r="B3" t="s">
        <v>57</v>
      </c>
      <c r="C3" s="2">
        <f>Table1515[[#This Row],[GWh '[2035'] AP]]</f>
        <v>-35159.800468421301</v>
      </c>
      <c r="D3">
        <f>Table151718[[#This Row],[GWh '[2035'] SP]]/1000</f>
        <v>-35.159800468421302</v>
      </c>
      <c r="E3">
        <v>8901.1</v>
      </c>
      <c r="F3">
        <f>Table151718[[#This Row],[TWh '[2023']]]*1000</f>
        <v>-35159.800468421301</v>
      </c>
      <c r="G3">
        <f>IF(Table151718[[#This Row],[TWh '[2023']]]=0,$D$27*(E3/$E$27),0)</f>
        <v>0</v>
      </c>
    </row>
    <row r="4" spans="1:7">
      <c r="A4" t="s">
        <v>17</v>
      </c>
      <c r="B4" t="s">
        <v>0</v>
      </c>
      <c r="C4" s="2">
        <f>Table1515[[#This Row],[GWh '[2035'] AP]]</f>
        <v>-70031.32447017821</v>
      </c>
      <c r="D4">
        <f>Table151718[[#This Row],[GWh '[2035'] SP]]/1000</f>
        <v>-70.031324470178205</v>
      </c>
      <c r="E4">
        <v>11549.9</v>
      </c>
      <c r="F4">
        <f>Table151718[[#This Row],[TWh '[2023']]]*1000</f>
        <v>-70031.32447017821</v>
      </c>
      <c r="G4">
        <f>IF(Table151718[[#This Row],[TWh '[2023']]]=0,$D$27*(E4/$E$27),0)</f>
        <v>0</v>
      </c>
    </row>
    <row r="5" spans="1:7">
      <c r="A5" t="s">
        <v>44</v>
      </c>
      <c r="B5" t="s">
        <v>75</v>
      </c>
      <c r="C5" s="2">
        <f>Table1515[[#This Row],[GWh '[2035'] AP]]</f>
        <v>-3876.3364026575937</v>
      </c>
      <c r="D5">
        <f>Table151718[[#This Row],[GWh '[2035'] SP]]/1000</f>
        <v>-3.8763364026575937</v>
      </c>
      <c r="E5">
        <v>3492</v>
      </c>
      <c r="F5">
        <f>Table151718[[#This Row],[TWh '[2023']]]*1000</f>
        <v>-3876.3364026575937</v>
      </c>
      <c r="G5">
        <f>IF(Table151718[[#This Row],[TWh '[2023']]]=0,$D$27*(E5/$E$27),0)</f>
        <v>0</v>
      </c>
    </row>
    <row r="6" spans="1:7">
      <c r="A6" t="s">
        <v>32</v>
      </c>
      <c r="B6" t="s">
        <v>64</v>
      </c>
      <c r="C6" s="2">
        <f>Table1515[[#This Row],[GWh '[2035'] AP]]</f>
        <v>-12906.563066244011</v>
      </c>
      <c r="D6">
        <f>Table151718[[#This Row],[GWh '[2035'] SP]]/1000</f>
        <v>-12.906563066244011</v>
      </c>
      <c r="E6">
        <v>6951.5</v>
      </c>
      <c r="F6">
        <f>Table151718[[#This Row],[TWh '[2023']]]*1000</f>
        <v>-12906.563066244011</v>
      </c>
      <c r="G6">
        <f>IF(Table151718[[#This Row],[TWh '[2023']]]=0,$D$27*(E6/$E$27),0)</f>
        <v>0</v>
      </c>
    </row>
    <row r="7" spans="1:7">
      <c r="A7" t="s">
        <v>24</v>
      </c>
      <c r="B7" t="s">
        <v>5</v>
      </c>
      <c r="C7" s="2">
        <f>Table1515[[#This Row],[GWh '[2035'] AP]]</f>
        <v>-12774.450638568074</v>
      </c>
      <c r="D7">
        <f>Table151718[[#This Row],[GWh '[2035'] SP]]/1000</f>
        <v>-12.774450638568075</v>
      </c>
      <c r="E7">
        <v>4058.2</v>
      </c>
      <c r="F7">
        <f>Table151718[[#This Row],[TWh '[2023']]]*1000</f>
        <v>-12774.450638568074</v>
      </c>
      <c r="G7">
        <f>IF(Table151718[[#This Row],[TWh '[2023']]]=0,$D$27*(E7/$E$27),0)</f>
        <v>0</v>
      </c>
    </row>
    <row r="8" spans="1:7">
      <c r="A8" t="s">
        <v>28</v>
      </c>
      <c r="B8" t="s">
        <v>61</v>
      </c>
      <c r="C8" s="2">
        <f>Table1515[[#This Row],[GWh '[2035'] AP]]</f>
        <v>-34220.786277184983</v>
      </c>
      <c r="D8">
        <f>Table151718[[#This Row],[GWh '[2035'] SP]]/1000</f>
        <v>-34.220786277184985</v>
      </c>
      <c r="E8">
        <v>10693.9</v>
      </c>
      <c r="F8">
        <f>Table151718[[#This Row],[TWh '[2023']]]*1000</f>
        <v>-34220.786277184983</v>
      </c>
      <c r="G8">
        <f>IF(Table151718[[#This Row],[TWh '[2023']]]=0,$D$27*(E8/$E$27),0)</f>
        <v>0</v>
      </c>
    </row>
    <row r="9" spans="1:7">
      <c r="A9" t="s">
        <v>26</v>
      </c>
      <c r="B9" t="s">
        <v>60</v>
      </c>
      <c r="C9" s="2">
        <f>Table1515[[#This Row],[GWh '[2035'] AP]]</f>
        <v>-8329.745592838095</v>
      </c>
      <c r="D9">
        <f>Table151718[[#This Row],[GWh '[2035'] SP]]/1000</f>
        <v>-8.3297455928380959</v>
      </c>
      <c r="E9">
        <v>5822.8</v>
      </c>
      <c r="F9">
        <f>Table151718[[#This Row],[TWh '[2023']]]*1000</f>
        <v>-8329.745592838095</v>
      </c>
      <c r="G9">
        <f>IF(Table151718[[#This Row],[TWh '[2023']]]=0,$D$27*(E9/$E$27),0)</f>
        <v>0</v>
      </c>
    </row>
    <row r="10" spans="1:7">
      <c r="A10" t="s">
        <v>53</v>
      </c>
      <c r="B10" t="s">
        <v>66</v>
      </c>
      <c r="C10" s="2">
        <f>Table1515[[#This Row],[GWh '[2035'] AP]]</f>
        <v>-1889.9192514399053</v>
      </c>
      <c r="D10">
        <f>Table151718[[#This Row],[GWh '[2035'] SP]]/1000</f>
        <v>-1.8899192514399052</v>
      </c>
      <c r="E10">
        <v>1329</v>
      </c>
      <c r="F10">
        <f>Table151718[[#This Row],[TWh '[2023']]]*1000</f>
        <v>-1889.9192514399053</v>
      </c>
      <c r="G10">
        <f>IF(Table151718[[#This Row],[TWh '[2023']]]=0,$D$27*(E10/$E$27),0)</f>
        <v>0</v>
      </c>
    </row>
    <row r="11" spans="1:7">
      <c r="A11" t="s">
        <v>54</v>
      </c>
      <c r="B11" t="s">
        <v>85</v>
      </c>
      <c r="C11" s="2">
        <f>Table1515[[#This Row],[GWh '[2035'] AP]]</f>
        <v>-6102.8559127895032</v>
      </c>
      <c r="D11">
        <f>Table151718[[#This Row],[GWh '[2035'] SP]]/1000</f>
        <v>-6.1028559127895035</v>
      </c>
      <c r="E11">
        <v>5525.3</v>
      </c>
      <c r="F11">
        <f>Table151718[[#This Row],[TWh '[2023']]]*1000</f>
        <v>-6102.8559127895032</v>
      </c>
      <c r="G11">
        <f>IF(Table151718[[#This Row],[TWh '[2023']]]=0,$D$27*(E11/$E$27),0)</f>
        <v>0</v>
      </c>
    </row>
    <row r="12" spans="1:7">
      <c r="A12" t="s">
        <v>25</v>
      </c>
      <c r="B12" t="s">
        <v>2</v>
      </c>
      <c r="C12" s="2">
        <f>Table1515[[#This Row],[GWh '[2035'] AP]]</f>
        <v>-173028.48276060028</v>
      </c>
      <c r="D12">
        <f>Table151718[[#This Row],[GWh '[2035'] SP]]/1000</f>
        <v>-173.02848276060027</v>
      </c>
      <c r="E12">
        <v>67098.8</v>
      </c>
      <c r="F12">
        <f>Table151718[[#This Row],[TWh '[2023']]]*1000</f>
        <v>-173028.48276060028</v>
      </c>
      <c r="G12">
        <f>IF(Table151718[[#This Row],[TWh '[2023']]]=0,$D$27*(E12/$E$27),0)</f>
        <v>0</v>
      </c>
    </row>
    <row r="13" spans="1:7">
      <c r="A13" t="s">
        <v>19</v>
      </c>
      <c r="B13" t="s">
        <v>56</v>
      </c>
      <c r="C13" s="2">
        <f>Table1515[[#This Row],[GWh '[2035'] AP]]</f>
        <v>-386603.2404412867</v>
      </c>
      <c r="D13">
        <f>Table151718[[#This Row],[GWh '[2035'] SP]]/1000</f>
        <v>-386.60324044128669</v>
      </c>
      <c r="E13">
        <v>83166.7</v>
      </c>
      <c r="F13">
        <f>Table151718[[#This Row],[TWh '[2023']]]*1000</f>
        <v>-386603.2404412867</v>
      </c>
      <c r="G13">
        <f>IF(Table151718[[#This Row],[TWh '[2023']]]=0,$D$27*(E13/$E$27),0)</f>
        <v>0</v>
      </c>
    </row>
    <row r="14" spans="1:7">
      <c r="A14" t="s">
        <v>264</v>
      </c>
      <c r="B14" t="s">
        <v>3</v>
      </c>
      <c r="C14" s="2">
        <f>Table1515[[#This Row],[GWh '[2035'] AP]]</f>
        <v>-27500.278596650245</v>
      </c>
      <c r="D14">
        <f>Table151718[[#This Row],[GWh '[2035'] SP]]/1000</f>
        <v>-27.500278596650244</v>
      </c>
      <c r="E14">
        <v>10709.7</v>
      </c>
      <c r="F14">
        <f>Table151718[[#This Row],[TWh '[2023']]]*1000</f>
        <v>-27500.278596650245</v>
      </c>
      <c r="G14">
        <f>IF(Table151718[[#This Row],[TWh '[2023']]]=0,$D$27*(E14/$E$27),0)</f>
        <v>0</v>
      </c>
    </row>
    <row r="15" spans="1:7">
      <c r="A15" t="s">
        <v>30</v>
      </c>
      <c r="B15" t="s">
        <v>63</v>
      </c>
      <c r="C15" s="2">
        <f>Table1515[[#This Row],[GWh '[2035'] AP]]</f>
        <v>-41820.295963326549</v>
      </c>
      <c r="D15">
        <f>Table151718[[#This Row],[GWh '[2035'] SP]]/1000</f>
        <v>-41.820295963326551</v>
      </c>
      <c r="E15">
        <v>9769.5</v>
      </c>
      <c r="F15">
        <f>Table151718[[#This Row],[TWh '[2023']]]*1000</f>
        <v>-41820.295963326549</v>
      </c>
      <c r="G15">
        <f>IF(Table151718[[#This Row],[TWh '[2023']]]=0,$D$27*(E15/$E$27),0)</f>
        <v>0</v>
      </c>
    </row>
    <row r="16" spans="1:7">
      <c r="A16" t="s">
        <v>43</v>
      </c>
      <c r="B16" t="s">
        <v>74</v>
      </c>
      <c r="C16" s="2">
        <f>Table1515[[#This Row],[GWh '[2035'] AP]]</f>
        <v>-24645.279637319145</v>
      </c>
      <c r="D16">
        <f>Table151718[[#This Row],[GWh '[2035'] SP]]/1000</f>
        <v>-24.645279637319145</v>
      </c>
      <c r="E16">
        <v>4963.8</v>
      </c>
      <c r="F16">
        <f>Table151718[[#This Row],[TWh '[2023']]]*1000</f>
        <v>-24645.279637319145</v>
      </c>
      <c r="G16">
        <f>IF(Table151718[[#This Row],[TWh '[2023']]]=0,$D$27*(E16/$E$27),0)</f>
        <v>0</v>
      </c>
    </row>
    <row r="17" spans="1:7">
      <c r="A17" t="s">
        <v>21</v>
      </c>
      <c r="B17" t="s">
        <v>4</v>
      </c>
      <c r="C17" s="2">
        <f>Table1515[[#This Row],[GWh '[2035'] AP]]</f>
        <v>-299403.85545349133</v>
      </c>
      <c r="D17">
        <f>Table151718[[#This Row],[GWh '[2035'] SP]]/1000</f>
        <v>-299.4038554534913</v>
      </c>
      <c r="E17">
        <v>60244.6</v>
      </c>
      <c r="F17">
        <f>Table151718[[#This Row],[TWh '[2023']]]*1000</f>
        <v>-299403.85545349133</v>
      </c>
      <c r="G17">
        <f>IF(Table151718[[#This Row],[TWh '[2023']]]=0,$D$27*(E17/$E$27),0)</f>
        <v>0</v>
      </c>
    </row>
    <row r="18" spans="1:7">
      <c r="A18" t="s">
        <v>35</v>
      </c>
      <c r="B18" t="s">
        <v>65</v>
      </c>
      <c r="C18" s="2">
        <f>Table1515[[#This Row],[GWh '[2035'] AP]]</f>
        <v>-3919.5510135210252</v>
      </c>
      <c r="D18">
        <f>Table151718[[#This Row],[GWh '[2035'] SP]]/1000</f>
        <v>-3.9195510135210254</v>
      </c>
      <c r="E18">
        <v>1907.7</v>
      </c>
      <c r="F18">
        <f>Table151718[[#This Row],[TWh '[2023']]]*1000</f>
        <v>-3919.5510135210252</v>
      </c>
      <c r="G18">
        <f>IF(Table151718[[#This Row],[TWh '[2023']]]=0,$D$27*(E18/$E$27),0)</f>
        <v>0</v>
      </c>
    </row>
    <row r="19" spans="1:7">
      <c r="A19" t="s">
        <v>34</v>
      </c>
      <c r="B19" t="s">
        <v>6</v>
      </c>
      <c r="C19" s="2">
        <f>Table1515[[#This Row],[GWh '[2035'] AP]]</f>
        <v>-7999.0187375912619</v>
      </c>
      <c r="D19">
        <f>Table151718[[#This Row],[GWh '[2035'] SP]]/1000</f>
        <v>-7.9990187375912623</v>
      </c>
      <c r="E19">
        <v>2794.1</v>
      </c>
      <c r="F19">
        <f>Table151718[[#This Row],[TWh '[2023']]]*1000</f>
        <v>-7999.0187375912619</v>
      </c>
      <c r="G19">
        <f>IF(Table151718[[#This Row],[TWh '[2023']]]=0,$D$27*(E19/$E$27),0)</f>
        <v>0</v>
      </c>
    </row>
    <row r="20" spans="1:7">
      <c r="A20" t="s">
        <v>42</v>
      </c>
      <c r="B20" t="s">
        <v>70</v>
      </c>
      <c r="C20" s="2">
        <f>Table1515[[#This Row],[GWh '[2035'] AP]]</f>
        <v>-2930.0712491568961</v>
      </c>
      <c r="D20">
        <f>Table151718[[#This Row],[GWh '[2035'] SP]]/1000</f>
        <v>-2.9300712491568963</v>
      </c>
      <c r="E20">
        <v>626.1</v>
      </c>
      <c r="F20">
        <f>Table151718[[#This Row],[TWh '[2023']]]*1000</f>
        <v>-2930.0712491568961</v>
      </c>
      <c r="G20">
        <f>IF(Table151718[[#This Row],[TWh '[2023']]]=0,$D$27*(E20/$E$27),0)</f>
        <v>0</v>
      </c>
    </row>
    <row r="21" spans="1:7">
      <c r="A21" t="s">
        <v>110</v>
      </c>
      <c r="B21" t="s">
        <v>91</v>
      </c>
      <c r="C21" s="2">
        <f>Table1515[[#This Row],[GWh '[2035'] AP]]</f>
        <v>-932.03835857305626</v>
      </c>
      <c r="D21">
        <f>Table151718[[#This Row],[GWh '[2035'] SP]]/1000</f>
        <v>-0.93203835857305628</v>
      </c>
      <c r="E21">
        <v>514.6</v>
      </c>
      <c r="F21">
        <f>Table151718[[#This Row],[TWh '[2023']]]*1000</f>
        <v>-932.03835857305626</v>
      </c>
      <c r="G21">
        <f>IF(Table151718[[#This Row],[TWh '[2023']]]=0,$D$27*(E21/$E$27),0)</f>
        <v>0</v>
      </c>
    </row>
    <row r="22" spans="1:7">
      <c r="A22" t="s">
        <v>39</v>
      </c>
      <c r="B22" t="s">
        <v>68</v>
      </c>
      <c r="C22" s="2">
        <f>Table1515[[#This Row],[GWh '[2035'] AP]]</f>
        <v>-6775.3729861911652</v>
      </c>
      <c r="D22">
        <f>Table151718[[#This Row],[GWh '[2035'] SP]]/1000</f>
        <v>-6.7753729861911651</v>
      </c>
      <c r="E22">
        <v>2579</v>
      </c>
      <c r="F22">
        <f>Table151718[[#This Row],[TWh '[2023']]]*1000</f>
        <v>-6775.3729861911652</v>
      </c>
      <c r="G22">
        <f>IF(Table151718[[#This Row],[TWh '[2023']]]=0,$D$27*(E22/$E$27),0)</f>
        <v>0</v>
      </c>
    </row>
    <row r="23" spans="1:7">
      <c r="B23" t="s">
        <v>111</v>
      </c>
      <c r="C23" s="2">
        <f>Table1515[[#This Row],[GWh '[2035'] AP]]</f>
        <v>-1633.8132842622279</v>
      </c>
      <c r="D23">
        <f>Table151718[[#This Row],[GWh '[2035'] SP]]/1000</f>
        <v>-1.6338132842622279</v>
      </c>
      <c r="E23">
        <v>621.9</v>
      </c>
      <c r="F23">
        <f>Table151718[[#This Row],[TWh '[2023']]]*1000</f>
        <v>-1633.8132842622279</v>
      </c>
      <c r="G23">
        <f>IF(Table151718[[#This Row],[TWh '[2023']]]=0,$D$27*(E23/$E$27),0)</f>
        <v>0</v>
      </c>
    </row>
    <row r="24" spans="1:7">
      <c r="A24" t="s">
        <v>18</v>
      </c>
      <c r="B24" t="s">
        <v>7</v>
      </c>
      <c r="C24" s="2">
        <f>Table1515[[#This Row],[GWh '[2035'] AP]]</f>
        <v>-131682.82322579829</v>
      </c>
      <c r="D24">
        <f>Table151718[[#This Row],[GWh '[2035'] SP]]/1000</f>
        <v>-131.6828232257983</v>
      </c>
      <c r="E24">
        <v>17407.599999999999</v>
      </c>
      <c r="F24">
        <f>Table151718[[#This Row],[TWh '[2023']]]*1000</f>
        <v>-131682.82322579829</v>
      </c>
      <c r="G24">
        <f>IF(Table151718[[#This Row],[TWh '[2023']]]=0,$D$27*(E24/$E$27),0)</f>
        <v>0</v>
      </c>
    </row>
    <row r="25" spans="1:7">
      <c r="A25" t="s">
        <v>45</v>
      </c>
      <c r="B25" t="s">
        <v>76</v>
      </c>
      <c r="C25" s="2">
        <f>Table1515[[#This Row],[GWh '[2035'] AP]]</f>
        <v>-2615.2492138673738</v>
      </c>
      <c r="D25">
        <f>Table151718[[#This Row],[GWh '[2035'] SP]]/1000</f>
        <v>-2.615249213867374</v>
      </c>
      <c r="E25">
        <v>2076.3000000000002</v>
      </c>
      <c r="F25">
        <f>Table151718[[#This Row],[TWh '[2023']]]*1000</f>
        <v>-2615.2492138673738</v>
      </c>
      <c r="G25">
        <f>IF(Table151718[[#This Row],[TWh '[2023']]]=0,$D$27*(E25/$E$27),0)</f>
        <v>0</v>
      </c>
    </row>
    <row r="26" spans="1:7">
      <c r="A26" t="s">
        <v>48</v>
      </c>
      <c r="B26" t="s">
        <v>71</v>
      </c>
      <c r="C26" s="2">
        <f>Table1515[[#This Row],[GWh '[2035'] AP]]</f>
        <v>-28112.666830856084</v>
      </c>
      <c r="D26">
        <f>Table151718[[#This Row],[GWh '[2035'] SP]]/1000</f>
        <v>-28.112666830856085</v>
      </c>
      <c r="E26">
        <v>5367.6</v>
      </c>
      <c r="F26">
        <f>Table151718[[#This Row],[TWh '[2023']]]*1000</f>
        <v>-28112.666830856084</v>
      </c>
      <c r="G26">
        <f>IF(Table151718[[#This Row],[TWh '[2023']]]=0,$D$27*(E26/$E$27),0)</f>
        <v>0</v>
      </c>
    </row>
    <row r="27" spans="1:7">
      <c r="A27" t="s">
        <v>87</v>
      </c>
      <c r="B27" t="s">
        <v>88</v>
      </c>
      <c r="C27" s="2">
        <f>Table1515[[#This Row],[GWh '[2035'] AP]]</f>
        <v>-51623.665860121619</v>
      </c>
      <c r="D27">
        <f>Table151718[[#This Row],[GWh '[2035'] SP]]/1000</f>
        <v>-51.623665860121619</v>
      </c>
      <c r="E27">
        <f>SUMIF(D2:D26,"=0",E2:E26)+SUMIF(D28:D42,"=0",E28:E42)</f>
        <v>0</v>
      </c>
      <c r="F27">
        <f>Table151718[[#This Row],[TWh '[2023']]]*1000</f>
        <v>-51623.665860121619</v>
      </c>
      <c r="G27">
        <f>IF(Table151718[[#This Row],[TWh '[2023']]]=0,$D$27*(E27/$E$27),0)</f>
        <v>0</v>
      </c>
    </row>
    <row r="28" spans="1:7">
      <c r="A28" t="s">
        <v>27</v>
      </c>
      <c r="B28" t="s">
        <v>8</v>
      </c>
      <c r="C28" s="2">
        <f>Table1515[[#This Row],[GWh '[2035'] AP]]</f>
        <v>-100057.60879719004</v>
      </c>
      <c r="D28">
        <f>Table151718[[#This Row],[GWh '[2035'] SP]]/1000</f>
        <v>-100.05760879719004</v>
      </c>
      <c r="E28">
        <v>37958.1</v>
      </c>
      <c r="F28">
        <f>Table151718[[#This Row],[TWh '[2023']]]*1000</f>
        <v>-100057.60879719004</v>
      </c>
      <c r="G28">
        <f>IF(Table151718[[#This Row],[TWh '[2023']]]=0,$D$27*(E28/$E$27),0)</f>
        <v>0</v>
      </c>
    </row>
    <row r="29" spans="1:7">
      <c r="A29" t="s">
        <v>37</v>
      </c>
      <c r="B29" t="s">
        <v>1</v>
      </c>
      <c r="C29" s="2">
        <f>Table1515[[#This Row],[GWh '[2035'] AP]]</f>
        <v>-22893.009919233078</v>
      </c>
      <c r="D29">
        <f>Table151718[[#This Row],[GWh '[2035'] SP]]/1000</f>
        <v>-22.893009919233076</v>
      </c>
      <c r="E29">
        <v>10295.9</v>
      </c>
      <c r="F29">
        <f>Table151718[[#This Row],[TWh '[2023']]]*1000</f>
        <v>-22893.009919233078</v>
      </c>
      <c r="G29">
        <f>IF(Table151718[[#This Row],[TWh '[2023']]]=0,$D$27*(E29/$E$27),0)</f>
        <v>0</v>
      </c>
    </row>
    <row r="30" spans="1:7">
      <c r="A30" t="s">
        <v>33</v>
      </c>
      <c r="B30" t="s">
        <v>86</v>
      </c>
      <c r="C30" s="2">
        <f>Table1515[[#This Row],[GWh '[2035'] AP]]</f>
        <v>-46424.752372901683</v>
      </c>
      <c r="D30">
        <f>Table151718[[#This Row],[GWh '[2035'] SP]]/1000</f>
        <v>-46.424752372901686</v>
      </c>
      <c r="E30">
        <v>19318</v>
      </c>
      <c r="F30">
        <f>Table151718[[#This Row],[TWh '[2023']]]*1000</f>
        <v>-46424.752372901683</v>
      </c>
      <c r="G30">
        <f>IF(Table151718[[#This Row],[TWh '[2023']]]=0,$D$27*(E30/$E$27),0)</f>
        <v>0</v>
      </c>
    </row>
    <row r="31" spans="1:7">
      <c r="A31" t="s">
        <v>47</v>
      </c>
      <c r="B31" t="s">
        <v>77</v>
      </c>
      <c r="C31" s="2">
        <f>Table1515[[#This Row],[GWh '[2035'] AP]]</f>
        <v>0</v>
      </c>
      <c r="D31">
        <f>Table151718[[#This Row],[GWh '[2035'] SP]]/1000</f>
        <v>0</v>
      </c>
      <c r="E31">
        <v>0</v>
      </c>
      <c r="F31">
        <f>Table151718[[#This Row],[TWh '[2023']]]*1000</f>
        <v>0</v>
      </c>
      <c r="G31" t="e">
        <f>IF(Table151718[[#This Row],[TWh '[2023']]]=0,$D$27*(E31/$E$27),0)</f>
        <v>#DIV/0!</v>
      </c>
    </row>
    <row r="32" spans="1:7">
      <c r="A32" t="s">
        <v>31</v>
      </c>
      <c r="B32" t="s">
        <v>72</v>
      </c>
      <c r="C32" s="2">
        <f>Table1515[[#This Row],[GWh '[2035'] AP]]</f>
        <v>-18197.354037786095</v>
      </c>
      <c r="D32">
        <f>Table151718[[#This Row],[GWh '[2035'] SP]]/1000</f>
        <v>-18.197354037786095</v>
      </c>
      <c r="E32">
        <v>6926.7</v>
      </c>
      <c r="F32">
        <f>Table151718[[#This Row],[TWh '[2023']]]*1000</f>
        <v>-18197.354037786095</v>
      </c>
      <c r="G32">
        <f>IF(Table151718[[#This Row],[TWh '[2023']]]=0,$D$27*(E32/$E$27),0)</f>
        <v>0</v>
      </c>
    </row>
    <row r="33" spans="1:7">
      <c r="A33" t="s">
        <v>29</v>
      </c>
      <c r="B33" t="s">
        <v>62</v>
      </c>
      <c r="C33" s="2">
        <f>Table1515[[#This Row],[GWh '[2035'] AP]]</f>
        <v>-21449.903040074201</v>
      </c>
      <c r="D33">
        <f>Table151718[[#This Row],[GWh '[2035'] SP]]/1000</f>
        <v>-21.449903040074201</v>
      </c>
      <c r="E33">
        <v>5457.9</v>
      </c>
      <c r="F33">
        <f>Table151718[[#This Row],[TWh '[2023']]]*1000</f>
        <v>-21449.903040074201</v>
      </c>
      <c r="G33">
        <f>IF(Table151718[[#This Row],[TWh '[2023']]]=0,$D$27*(E33/$E$27),0)</f>
        <v>0</v>
      </c>
    </row>
    <row r="34" spans="1:7">
      <c r="A34" t="s">
        <v>23</v>
      </c>
      <c r="B34" t="s">
        <v>59</v>
      </c>
      <c r="C34" s="2">
        <f>Table1515[[#This Row],[GWh '[2035'] AP]]</f>
        <v>-3917.3048632241575</v>
      </c>
      <c r="D34">
        <f>Table151718[[#This Row],[GWh '[2035'] SP]]/1000</f>
        <v>-3.9173048632241576</v>
      </c>
      <c r="E34">
        <v>2095.9</v>
      </c>
      <c r="F34">
        <f>Table151718[[#This Row],[TWh '[2023']]]*1000</f>
        <v>-3917.3048632241575</v>
      </c>
      <c r="G34">
        <f>IF(Table151718[[#This Row],[TWh '[2023']]]=0,$D$27*(E34/$E$27),0)</f>
        <v>0</v>
      </c>
    </row>
    <row r="35" spans="1:7">
      <c r="A35" t="s">
        <v>36</v>
      </c>
      <c r="B35" t="s">
        <v>9</v>
      </c>
      <c r="C35" s="2">
        <f>Table1515[[#This Row],[GWh '[2035'] AP]]</f>
        <v>-149699.29313207133</v>
      </c>
      <c r="D35">
        <f>Table151718[[#This Row],[GWh '[2035'] SP]]/1000</f>
        <v>-149.69929313207132</v>
      </c>
      <c r="E35">
        <v>47330</v>
      </c>
      <c r="F35">
        <f>Table151718[[#This Row],[TWh '[2023']]]*1000</f>
        <v>-149699.29313207133</v>
      </c>
      <c r="G35">
        <f>IF(Table151718[[#This Row],[TWh '[2023']]]=0,$D$27*(E35/$E$27),0)</f>
        <v>0</v>
      </c>
    </row>
    <row r="36" spans="1:7">
      <c r="A36" t="s">
        <v>82</v>
      </c>
      <c r="B36" t="s">
        <v>83</v>
      </c>
      <c r="C36" s="2">
        <f>Table1515[[#This Row],[GWh '[2035'] AP]]</f>
        <v>-3659.4100669473373</v>
      </c>
      <c r="D36">
        <f>Table151718[[#This Row],[GWh '[2035'] SP]]/1000</f>
        <v>-3.6594100669473373</v>
      </c>
      <c r="E36">
        <v>10327.6</v>
      </c>
      <c r="F36">
        <f>Table151718[[#This Row],[TWh '[2023']]]*1000</f>
        <v>-3659.4100669473373</v>
      </c>
      <c r="G36">
        <f>IF(Table151718[[#This Row],[TWh '[2023']]]=0,$D$27*(E36/$E$27),0)</f>
        <v>0</v>
      </c>
    </row>
    <row r="37" spans="1:7">
      <c r="A37" t="s">
        <v>22</v>
      </c>
      <c r="B37" t="s">
        <v>58</v>
      </c>
      <c r="C37" s="2">
        <f>Table1515[[#This Row],[GWh '[2035'] AP]]</f>
        <v>-20337.551462042164</v>
      </c>
      <c r="D37">
        <f>Table151718[[#This Row],[GWh '[2035'] SP]]/1000</f>
        <v>-20.337551462042164</v>
      </c>
      <c r="E37">
        <v>8606</v>
      </c>
      <c r="F37">
        <f>Table151718[[#This Row],[TWh '[2023']]]*1000</f>
        <v>-20337.551462042164</v>
      </c>
      <c r="G37">
        <f>IF(Table151718[[#This Row],[TWh '[2023']]]=0,$D$27*(E37/$E$27),0)</f>
        <v>0</v>
      </c>
    </row>
    <row r="38" spans="1:7">
      <c r="A38" t="s">
        <v>46</v>
      </c>
      <c r="B38" t="s">
        <v>10</v>
      </c>
      <c r="C38" s="2">
        <f>Table1515[[#This Row],[GWh '[2035'] AP]]</f>
        <v>-358925.03440252703</v>
      </c>
      <c r="D38">
        <f>Table151718[[#This Row],[GWh '[2035'] SP]]/1000</f>
        <v>-358.92503440252705</v>
      </c>
      <c r="E38">
        <v>83155</v>
      </c>
      <c r="F38">
        <f>Table151718[[#This Row],[TWh '[2023']]]*1000</f>
        <v>-358925.03440252703</v>
      </c>
      <c r="G38">
        <f>IF(Table151718[[#This Row],[TWh '[2023']]]=0,$D$27*(E38/$E$27),0)</f>
        <v>0</v>
      </c>
    </row>
    <row r="39" spans="1:7">
      <c r="A39" t="s">
        <v>11</v>
      </c>
      <c r="B39" t="s">
        <v>11</v>
      </c>
      <c r="C39" s="2">
        <f>Table1515[[#This Row],[GWh '[2035'] AP]]</f>
        <v>-470644.46439742693</v>
      </c>
      <c r="D39">
        <f>Table151718[[#This Row],[GWh '[2035'] SP]]/1000</f>
        <v>-470.64446439742693</v>
      </c>
      <c r="E39">
        <v>67025.5</v>
      </c>
      <c r="F39">
        <f>Table151718[[#This Row],[TWh '[2023']]]*1000</f>
        <v>-470644.46439742693</v>
      </c>
      <c r="G39">
        <f>IF(Table151718[[#This Row],[TWh '[2023']]]=0,$D$27*(E39/$E$27),0)</f>
        <v>0</v>
      </c>
    </row>
    <row r="40" spans="1:7">
      <c r="A40" t="s">
        <v>38</v>
      </c>
      <c r="B40" t="s">
        <v>67</v>
      </c>
      <c r="C40" s="2">
        <f>Table1515[[#This Row],[GWh '[2035'] AP]]</f>
        <v>-138880.12501908504</v>
      </c>
      <c r="D40">
        <f>Table151718[[#This Row],[GWh '[2035'] SP]]/1000</f>
        <v>-138.88012501908503</v>
      </c>
      <c r="E40">
        <v>41733</v>
      </c>
      <c r="F40">
        <f>Table151718[[#This Row],[TWh '[2023']]]*1000</f>
        <v>-138880.12501908504</v>
      </c>
      <c r="G40">
        <f>IF(Table151718[[#This Row],[TWh '[2023']]]=0,$D$27*(E40/$E$27),0)</f>
        <v>0</v>
      </c>
    </row>
    <row r="41" spans="1:7">
      <c r="A41" t="s">
        <v>108</v>
      </c>
      <c r="B41" t="s">
        <v>109</v>
      </c>
      <c r="C41" s="2">
        <f>Table1515[[#This Row],[GWh '[2035'] AP]]</f>
        <v>-1608.3366933790787</v>
      </c>
      <c r="D41">
        <f>Table151718[[#This Row],[GWh '[2035'] SP]]/1000</f>
        <v>-1.6083366933790788</v>
      </c>
      <c r="E41">
        <v>888</v>
      </c>
      <c r="F41">
        <f>Table151718[[#This Row],[TWh '[2023']]]*1000</f>
        <v>-1608.3366933790787</v>
      </c>
      <c r="G41">
        <f>IF(Table151718[[#This Row],[TWh '[2023']]]=0,$D$27*(E41/$E$27),0)</f>
        <v>0</v>
      </c>
    </row>
    <row r="42" spans="1:7">
      <c r="B42" t="s">
        <v>117</v>
      </c>
      <c r="C42" s="2">
        <f>Table1515[[#This Row],[GWh '[2035'] AP]]</f>
        <v>-4681.5489187253415</v>
      </c>
      <c r="D42">
        <f>Table151718[[#This Row],[GWh '[2035'] SP]]/1000</f>
        <v>-4.6815489187253414</v>
      </c>
      <c r="E42">
        <v>1782</v>
      </c>
      <c r="F42">
        <f>Table151718[[#This Row],[TWh '[2023']]]*1000</f>
        <v>-4681.5489187253415</v>
      </c>
      <c r="G42">
        <f>IF(Table151718[[#This Row],[TWh '[2023']]]=0,$D$27*(E42/$E$27),0)</f>
        <v>0</v>
      </c>
    </row>
    <row r="50" spans="1:2">
      <c r="A50" t="s">
        <v>132</v>
      </c>
    </row>
    <row r="51" spans="1:2">
      <c r="A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EFE2-1976-4863-9D34-7D94C847C875}">
  <dimension ref="A1:G25"/>
  <sheetViews>
    <sheetView topLeftCell="A8" workbookViewId="0">
      <selection activeCell="F5" sqref="F5"/>
    </sheetView>
  </sheetViews>
  <sheetFormatPr defaultRowHeight="14.5"/>
  <cols>
    <col min="1" max="1" width="9.54296875" customWidth="1"/>
    <col min="2" max="2" width="20.36328125" customWidth="1"/>
    <col min="3" max="3" width="15" customWidth="1"/>
    <col min="4" max="4" width="12" customWidth="1"/>
    <col min="5" max="6" width="22.1796875" customWidth="1"/>
    <col min="7" max="7" width="12.81640625" customWidth="1"/>
  </cols>
  <sheetData>
    <row r="1" spans="1:7">
      <c r="A1" s="8" t="s">
        <v>16</v>
      </c>
      <c r="B1" s="9" t="s">
        <v>55</v>
      </c>
      <c r="C1" s="9" t="s">
        <v>84</v>
      </c>
      <c r="D1" s="9" t="s">
        <v>170</v>
      </c>
      <c r="E1" s="9" t="s">
        <v>171</v>
      </c>
      <c r="F1" t="s">
        <v>266</v>
      </c>
      <c r="G1" s="10" t="s">
        <v>104</v>
      </c>
    </row>
    <row r="2" spans="1:7">
      <c r="A2" t="s">
        <v>149</v>
      </c>
      <c r="B2" s="6" t="s">
        <v>149</v>
      </c>
      <c r="C2" s="7">
        <v>886.46721186282696</v>
      </c>
      <c r="D2" s="7"/>
      <c r="E2" s="7">
        <f>Table791011[[#This Row],[Mil m3 '[2020']]]/1000</f>
        <v>0</v>
      </c>
      <c r="F2" s="14">
        <f>Table791011[[#This Row],[TWh '[2020']]]*1000</f>
        <v>-8660784.6598998178</v>
      </c>
      <c r="G2" s="3">
        <f>IF(Table791011[[#This Row],[Mil m3 '[2020']]]&gt;0,Table791011[[#This Row],[Mrd m3 '[2020']2]],Table791011[[#This Row],[Mrd m3 '[2020']]])*9.77*(-1)</f>
        <v>-8660.7846598998185</v>
      </c>
    </row>
    <row r="3" spans="1:7">
      <c r="A3" t="s">
        <v>196</v>
      </c>
      <c r="B3" t="s">
        <v>160</v>
      </c>
      <c r="C3">
        <f>1104.76718773088-886.467211862827</f>
        <v>218.29997586805314</v>
      </c>
      <c r="E3" s="2">
        <f>Table791011[[#This Row],[Mil m3 '[2020']]]/1000</f>
        <v>0</v>
      </c>
      <c r="F3" s="2">
        <f>Table791011[[#This Row],[TWh '[2020']]]*1000</f>
        <v>-2132790.764230879</v>
      </c>
      <c r="G3" s="3">
        <f>IF(Table791011[[#This Row],[Mil m3 '[2020']]]&gt;0,Table791011[[#This Row],[Mrd m3 '[2020']2]],Table791011[[#This Row],[Mrd m3 '[2020']]])*9.77*(-1)</f>
        <v>-2132.7907642308792</v>
      </c>
    </row>
    <row r="4" spans="1:7">
      <c r="A4" t="s">
        <v>150</v>
      </c>
      <c r="B4" t="s">
        <v>161</v>
      </c>
      <c r="C4">
        <f>161.703504900654-14.503954775876</f>
        <v>147.199550124778</v>
      </c>
      <c r="E4" s="2">
        <f>Table791011[[#This Row],[Mil m3 '[2020']]]/1000</f>
        <v>0</v>
      </c>
      <c r="F4" s="2">
        <f>Table791011[[#This Row],[TWh '[2020']]]*1000</f>
        <v>-1438139.604719081</v>
      </c>
      <c r="G4" s="3">
        <f>IF(Table791011[[#This Row],[Mil m3 '[2020']]]&gt;0,Table791011[[#This Row],[Mrd m3 '[2020']2]],Table791011[[#This Row],[Mrd m3 '[2020']]])*9.77*(-1)</f>
        <v>-1438.139604719081</v>
      </c>
    </row>
    <row r="5" spans="1:7">
      <c r="A5" t="s">
        <v>151</v>
      </c>
      <c r="B5" t="s">
        <v>162</v>
      </c>
      <c r="C5">
        <v>14.503954775876</v>
      </c>
      <c r="E5" s="2">
        <f>Table791011[[#This Row],[Mil m3 '[2020']]]/1000</f>
        <v>0</v>
      </c>
      <c r="F5" s="2">
        <f>Table791011[[#This Row],[TWh '[2020']]]*1000</f>
        <v>-141703.6381603085</v>
      </c>
      <c r="G5" s="3">
        <f>IF(Table791011[[#This Row],[Mil m3 '[2020']]]&gt;0,Table791011[[#This Row],[Mrd m3 '[2020']2]],Table791011[[#This Row],[Mrd m3 '[2020']]])*9.77*(-1)</f>
        <v>-141.70363816030851</v>
      </c>
    </row>
    <row r="6" spans="1:7">
      <c r="A6" t="s">
        <v>152</v>
      </c>
      <c r="B6" t="s">
        <v>163</v>
      </c>
      <c r="C6" s="2">
        <f>577.716724870969-44.2013179565956</f>
        <v>533.51540691437333</v>
      </c>
      <c r="E6" s="2">
        <f>Table791011[[#This Row],[Mil m3 '[2020']]]/1000</f>
        <v>0</v>
      </c>
      <c r="F6" s="2">
        <f>Table791011[[#This Row],[TWh '[2020']]]*1000</f>
        <v>-5212445.5255534276</v>
      </c>
      <c r="G6" s="3">
        <f>IF(Table791011[[#This Row],[Mil m3 '[2020']]]&gt;0,Table791011[[#This Row],[Mrd m3 '[2020']2]],Table791011[[#This Row],[Mrd m3 '[2020']]])*9.77*(-1)</f>
        <v>-5212.4455255534276</v>
      </c>
    </row>
    <row r="7" spans="1:7">
      <c r="A7" t="s">
        <v>153</v>
      </c>
      <c r="B7" t="s">
        <v>174</v>
      </c>
      <c r="C7">
        <v>44.201317956595602</v>
      </c>
      <c r="E7" s="2">
        <f>Table791011[[#This Row],[Mil m3 '[2020']]]/1000</f>
        <v>0</v>
      </c>
      <c r="F7" s="2">
        <f>Table791011[[#This Row],[TWh '[2020']]]*1000</f>
        <v>-431846.87643593899</v>
      </c>
      <c r="G7" s="3">
        <f>IF(Table791011[[#This Row],[Mil m3 '[2020']]]&gt;0,Table791011[[#This Row],[Mrd m3 '[2020']2]],Table791011[[#This Row],[Mrd m3 '[2020']]])*9.77*(-1)</f>
        <v>-431.84687643593901</v>
      </c>
    </row>
    <row r="8" spans="1:7">
      <c r="A8" t="s">
        <v>154</v>
      </c>
      <c r="B8" t="s">
        <v>164</v>
      </c>
      <c r="C8" s="2">
        <f>171.229082457489-C16-C17-C18-C19-C20</f>
        <v>46.93279494631954</v>
      </c>
      <c r="E8" s="2">
        <f>Table791011[[#This Row],[Mil m3 '[2020']]]/1000</f>
        <v>0</v>
      </c>
      <c r="F8" s="2">
        <f>Table791011[[#This Row],[TWh '[2020']]]*1000</f>
        <v>-458533.40662554186</v>
      </c>
      <c r="G8" s="3">
        <f>IF(Table791011[[#This Row],[Mil m3 '[2020']]]&gt;0,Table791011[[#This Row],[Mrd m3 '[2020']2]],Table791011[[#This Row],[Mrd m3 '[2020']]])*9.77*(-1)</f>
        <v>-458.53340662554189</v>
      </c>
    </row>
    <row r="9" spans="1:7">
      <c r="A9" t="s">
        <v>155</v>
      </c>
      <c r="B9" t="s">
        <v>165</v>
      </c>
      <c r="C9">
        <v>40.121503042095824</v>
      </c>
      <c r="E9" s="2">
        <f>Table791011[[#This Row],[Mil m3 '[2020']]]/1000</f>
        <v>0</v>
      </c>
      <c r="F9" s="2">
        <f>Table791011[[#This Row],[TWh '[2020']]]*1000</f>
        <v>-391987.08472127619</v>
      </c>
      <c r="G9" s="3">
        <f>IF(Table791011[[#This Row],[Mil m3 '[2020']]]&gt;0,Table791011[[#This Row],[Mrd m3 '[2020']2]],Table791011[[#This Row],[Mrd m3 '[2020']]])*9.77*(-1)</f>
        <v>-391.98708472127618</v>
      </c>
    </row>
    <row r="10" spans="1:7">
      <c r="A10" t="s">
        <v>156</v>
      </c>
      <c r="B10" t="s">
        <v>166</v>
      </c>
      <c r="C10">
        <f>404.838112094395+4.84678040562862</f>
        <v>409.68489250002364</v>
      </c>
      <c r="E10" s="2">
        <f>Table791011[[#This Row],[Mil m3 '[2020']]]/1000</f>
        <v>0</v>
      </c>
      <c r="F10" s="2">
        <f>Table791011[[#This Row],[TWh '[2020']]]*1000</f>
        <v>-4002621.3997252309</v>
      </c>
      <c r="G10" s="3">
        <f>IF(Table791011[[#This Row],[Mil m3 '[2020']]]&gt;0,Table791011[[#This Row],[Mrd m3 '[2020']2]],Table791011[[#This Row],[Mrd m3 '[2020']]])*9.77*(-1)</f>
        <v>-4002.6213997252307</v>
      </c>
    </row>
    <row r="11" spans="1:7">
      <c r="A11" t="s">
        <v>157</v>
      </c>
      <c r="B11" t="s">
        <v>167</v>
      </c>
      <c r="C11">
        <f>92.4207922536915+60.0747038262</f>
        <v>152.4954960798915</v>
      </c>
      <c r="E11" s="2">
        <f>Table791011[[#This Row],[Mil m3 '[2020']]]/1000</f>
        <v>0</v>
      </c>
      <c r="F11" s="2">
        <f>Table791011[[#This Row],[TWh '[2020']]]*1000</f>
        <v>-1489880.9967005397</v>
      </c>
      <c r="G11" s="3">
        <f>IF(Table791011[[#This Row],[Mil m3 '[2020']]]&gt;0,Table791011[[#This Row],[Mrd m3 '[2020']2]],Table791011[[#This Row],[Mrd m3 '[2020']]])*9.77*(-1)</f>
        <v>-1489.8809967005398</v>
      </c>
    </row>
    <row r="12" spans="1:7">
      <c r="A12" t="s">
        <v>158</v>
      </c>
      <c r="B12" t="s">
        <v>168</v>
      </c>
      <c r="C12">
        <v>62.610307192104507</v>
      </c>
      <c r="E12" s="2">
        <f>Table791011[[#This Row],[Mil m3 '[2020']]]/1000</f>
        <v>0</v>
      </c>
      <c r="F12" s="2">
        <f>Table791011[[#This Row],[TWh '[2020']]]*1000</f>
        <v>-611702.70126686106</v>
      </c>
      <c r="G12" s="3">
        <f>IF(Table791011[[#This Row],[Mil m3 '[2020']]]&gt;0,Table791011[[#This Row],[Mrd m3 '[2020']2]],Table791011[[#This Row],[Mrd m3 '[2020']]])*9.77*(-1)</f>
        <v>-611.70270126686103</v>
      </c>
    </row>
    <row r="13" spans="1:7">
      <c r="A13" t="s">
        <v>159</v>
      </c>
      <c r="B13" t="s">
        <v>169</v>
      </c>
      <c r="C13">
        <f>935.383807806868-C12-C10-C9-C11-C21</f>
        <v>178.95511859578477</v>
      </c>
      <c r="E13" s="2">
        <f>Table791011[[#This Row],[Mil m3 '[2020']]]/1000</f>
        <v>0</v>
      </c>
      <c r="F13" s="2">
        <f>Table791011[[#This Row],[TWh '[2020']]]*1000</f>
        <v>-1748391.5086808172</v>
      </c>
      <c r="G13" s="3">
        <f>IF(Table791011[[#This Row],[Mil m3 '[2020']]]&gt;0,Table791011[[#This Row],[Mrd m3 '[2020']2]],Table791011[[#This Row],[Mrd m3 '[2020']]])*9.77*(-1)</f>
        <v>-1748.3915086808172</v>
      </c>
    </row>
    <row r="14" spans="1:7">
      <c r="A14" t="s">
        <v>172</v>
      </c>
      <c r="B14" t="s">
        <v>173</v>
      </c>
      <c r="C14">
        <f>596.017542286885-453.370943952802-16.7840359905841</f>
        <v>125.86256234349892</v>
      </c>
      <c r="E14" s="2">
        <f>Table791011[[#This Row],[Mil m3 '[2020']]]/1000</f>
        <v>0</v>
      </c>
      <c r="F14" s="2">
        <f>Table791011[[#This Row],[TWh '[2020']]]*1000</f>
        <v>-1229677.2340959844</v>
      </c>
      <c r="G14" s="3">
        <f>IF(Table791011[[#This Row],[Mil m3 '[2020']]]&gt;0,Table791011[[#This Row],[Mrd m3 '[2020']2]],Table791011[[#This Row],[Mrd m3 '[2020']]])*9.77*(-1)</f>
        <v>-1229.6772340959844</v>
      </c>
    </row>
    <row r="15" spans="1:7">
      <c r="A15" t="s">
        <v>40</v>
      </c>
      <c r="B15" t="s">
        <v>69</v>
      </c>
      <c r="C15">
        <v>453.37094395280201</v>
      </c>
      <c r="E15" s="2">
        <f>Table791011[[#This Row],[Mil m3 '[2020']]]/1000</f>
        <v>0</v>
      </c>
      <c r="F15" s="2">
        <f>Table791011[[#This Row],[TWh '[2020']]]*1000</f>
        <v>-4429434.1224188758</v>
      </c>
      <c r="G15" s="3">
        <f>IF(Table791011[[#This Row],[Mil m3 '[2020']]]&gt;0,Table791011[[#This Row],[Mrd m3 '[2020']2]],Table791011[[#This Row],[Mrd m3 '[2020']]])*9.77*(-1)</f>
        <v>-4429.4341224188756</v>
      </c>
    </row>
    <row r="16" spans="1:7">
      <c r="A16" t="s">
        <v>49</v>
      </c>
      <c r="B16" t="s">
        <v>78</v>
      </c>
      <c r="C16">
        <v>50.338750000000005</v>
      </c>
      <c r="E16" s="2">
        <f>Table791011[[#This Row],[Mil m3 '[2020']]]/1000</f>
        <v>0</v>
      </c>
      <c r="F16" s="2">
        <f>Table791011[[#This Row],[TWh '[2020']]]*1000</f>
        <v>-491809.58750000002</v>
      </c>
      <c r="G16" s="3">
        <f>IF(Table791011[[#This Row],[Mil m3 '[2020']]]&gt;0,Table791011[[#This Row],[Mrd m3 '[2020']2]],Table791011[[#This Row],[Mrd m3 '[2020']]])*9.77*(-1)</f>
        <v>-491.80958750000002</v>
      </c>
    </row>
    <row r="17" spans="1:7">
      <c r="A17" t="s">
        <v>51</v>
      </c>
      <c r="B17" t="s">
        <v>80</v>
      </c>
      <c r="C17">
        <v>10.1</v>
      </c>
      <c r="E17" s="2">
        <f>Table791011[[#This Row],[Mil m3 '[2020']]]/1000</f>
        <v>0</v>
      </c>
      <c r="F17" s="2">
        <f>Table791011[[#This Row],[TWh '[2020']]]*1000</f>
        <v>-98676.999999999985</v>
      </c>
      <c r="G17" s="3">
        <f>IF(Table791011[[#This Row],[Mil m3 '[2020']]]&gt;0,Table791011[[#This Row],[Mrd m3 '[2020']2]],Table791011[[#This Row],[Mrd m3 '[2020']]])*9.77*(-1)</f>
        <v>-98.676999999999992</v>
      </c>
    </row>
    <row r="18" spans="1:7">
      <c r="A18" t="s">
        <v>50</v>
      </c>
      <c r="B18" t="s">
        <v>79</v>
      </c>
      <c r="C18">
        <v>3.5904531497162</v>
      </c>
      <c r="E18" s="2">
        <f>Table791011[[#This Row],[Mil m3 '[2020']]]/1000</f>
        <v>0</v>
      </c>
      <c r="F18" s="2">
        <f>Table791011[[#This Row],[TWh '[2020']]]*1000</f>
        <v>-35078.727272727272</v>
      </c>
      <c r="G18" s="3">
        <f>IF(Table791011[[#This Row],[Mil m3 '[2020']]]&gt;0,Table791011[[#This Row],[Mrd m3 '[2020']2]],Table791011[[#This Row],[Mrd m3 '[2020']]])*9.77*(-1)</f>
        <v>-35.078727272727271</v>
      </c>
    </row>
    <row r="19" spans="1:7">
      <c r="A19" t="s">
        <v>96</v>
      </c>
      <c r="B19" t="s">
        <v>175</v>
      </c>
      <c r="C19">
        <v>0.22269575424695218</v>
      </c>
      <c r="E19" s="2">
        <f>Table791011[[#This Row],[Mil m3 '[2020']]]/1000</f>
        <v>0</v>
      </c>
      <c r="F19" s="2">
        <f>Table791011[[#This Row],[TWh '[2020']]]*1000</f>
        <v>-2175.7375189927229</v>
      </c>
      <c r="G19" s="3">
        <f>IF(Table791011[[#This Row],[Mil m3 '[2020']]]&gt;0,Table791011[[#This Row],[Mrd m3 '[2020']2]],Table791011[[#This Row],[Mrd m3 '[2020']]])*9.77*(-1)</f>
        <v>-2.1757375189927228</v>
      </c>
    </row>
    <row r="20" spans="1:7">
      <c r="A20" t="s">
        <v>177</v>
      </c>
      <c r="B20" t="s">
        <v>178</v>
      </c>
      <c r="C20">
        <v>60.044388607206308</v>
      </c>
      <c r="E20" s="2">
        <f>Table791011[[#This Row],[Mil m3 '[2020']]]/1000</f>
        <v>0</v>
      </c>
      <c r="F20" s="2">
        <f>Table791011[[#This Row],[TWh '[2020']]]*1000</f>
        <v>-586633.6766924056</v>
      </c>
      <c r="G20" s="3">
        <f>IF(Table791011[[#This Row],[Mil m3 '[2020']]]&gt;0,Table791011[[#This Row],[Mrd m3 '[2020']2]],Table791011[[#This Row],[Mrd m3 '[2020']]])*9.77*(-1)</f>
        <v>-586.63367669240563</v>
      </c>
    </row>
    <row r="21" spans="1:7">
      <c r="A21" t="s">
        <v>192</v>
      </c>
      <c r="B21" t="s">
        <v>195</v>
      </c>
      <c r="C21">
        <f>45.4449851278232+46.0715052691446</f>
        <v>91.516490396967811</v>
      </c>
      <c r="E21" s="2">
        <f>Table791011[[#This Row],[Mil m3 '[2020']]]/1000</f>
        <v>0</v>
      </c>
      <c r="F21" s="2">
        <f>Table791011[[#This Row],[TWh '[2020']]]*1000</f>
        <v>-894116.11117837555</v>
      </c>
      <c r="G21" s="3">
        <f>IF(Table791011[[#This Row],[Mil m3 '[2020']]]&gt;0,Table791011[[#This Row],[Mrd m3 '[2020']2]],Table791011[[#This Row],[Mrd m3 '[2020']]])*9.77*(-1)</f>
        <v>-894.11611117837549</v>
      </c>
    </row>
    <row r="22" spans="1:7">
      <c r="A22" t="s">
        <v>52</v>
      </c>
      <c r="B22" t="s">
        <v>81</v>
      </c>
      <c r="C22">
        <v>16.784035990584101</v>
      </c>
      <c r="E22" s="2">
        <f>Table791011[[#This Row],[Mil m3 '[2020']]]/1000</f>
        <v>0</v>
      </c>
      <c r="F22" s="2">
        <f>Table791011[[#This Row],[TWh '[2020']]]*1000</f>
        <v>-163980.03162800666</v>
      </c>
      <c r="G22" s="3">
        <f>IF(Table791011[[#This Row],[Mil m3 '[2020']]]&gt;0,Table791011[[#This Row],[Mrd m3 '[2020']2]],Table791011[[#This Row],[Mrd m3 '[2020']]])*9.77*(-1)</f>
        <v>-163.98003162800666</v>
      </c>
    </row>
    <row r="24" spans="1:7">
      <c r="A24" t="s">
        <v>79</v>
      </c>
      <c r="B24" t="s">
        <v>136</v>
      </c>
    </row>
    <row r="25" spans="1:7">
      <c r="A25" t="s">
        <v>80</v>
      </c>
      <c r="B25" t="s">
        <v>176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7AB9-5AFC-4DF2-A116-22CAC26EA686}">
  <dimension ref="A1:G25"/>
  <sheetViews>
    <sheetView topLeftCell="A16" workbookViewId="0">
      <selection activeCell="A23" sqref="A23:B23"/>
    </sheetView>
  </sheetViews>
  <sheetFormatPr defaultRowHeight="14.5"/>
  <cols>
    <col min="1" max="1" width="9.54296875" customWidth="1"/>
    <col min="2" max="2" width="20.36328125" customWidth="1"/>
    <col min="3" max="3" width="15" customWidth="1"/>
    <col min="4" max="4" width="12" customWidth="1"/>
    <col min="5" max="6" width="22.1796875" customWidth="1"/>
    <col min="7" max="7" width="12.81640625" customWidth="1"/>
  </cols>
  <sheetData>
    <row r="1" spans="1:7">
      <c r="A1" s="8" t="s">
        <v>16</v>
      </c>
      <c r="B1" s="9" t="s">
        <v>55</v>
      </c>
      <c r="C1" s="9" t="s">
        <v>297</v>
      </c>
      <c r="D1" s="9" t="s">
        <v>293</v>
      </c>
      <c r="E1" s="9" t="s">
        <v>171</v>
      </c>
      <c r="F1" t="s">
        <v>266</v>
      </c>
      <c r="G1" s="10" t="s">
        <v>104</v>
      </c>
    </row>
    <row r="2" spans="1:7">
      <c r="A2" t="s">
        <v>149</v>
      </c>
      <c r="B2" s="6" t="s">
        <v>149</v>
      </c>
      <c r="C2" s="7">
        <v>791</v>
      </c>
      <c r="D2" s="7"/>
      <c r="E2" s="7">
        <f>Table79101116[[#This Row],[values 2024]]/1000</f>
        <v>0</v>
      </c>
      <c r="F2" s="14">
        <f>Table79101116[[#This Row],[TWh '[2020']]]*1000</f>
        <v>-7728070</v>
      </c>
      <c r="G2" s="3">
        <f>Table79101116[[#This Row],[Mrd m3 '[2035']]]*9.77*(-1)</f>
        <v>-7728.07</v>
      </c>
    </row>
    <row r="3" spans="1:7">
      <c r="A3" t="s">
        <v>196</v>
      </c>
      <c r="B3" t="s">
        <v>160</v>
      </c>
      <c r="C3">
        <f>1028-791</f>
        <v>237</v>
      </c>
      <c r="E3" s="2">
        <f>Table79101116[[#This Row],[values 2024]]/1000</f>
        <v>0</v>
      </c>
      <c r="F3" s="2">
        <f>Table79101116[[#This Row],[TWh '[2020']]]*1000</f>
        <v>-2315490</v>
      </c>
      <c r="G3" s="3">
        <f>Table79101116[[#This Row],[Mrd m3 '[2035']]]*9.77*(-1)</f>
        <v>-2315.4899999999998</v>
      </c>
    </row>
    <row r="4" spans="1:7">
      <c r="A4" t="s">
        <v>150</v>
      </c>
      <c r="B4" t="s">
        <v>161</v>
      </c>
      <c r="C4">
        <f>180*(Table79101116[[#This Row],[values 2024]]/(D4+D5))</f>
        <v>163.85494574615666</v>
      </c>
      <c r="D4">
        <v>147.199550124778</v>
      </c>
      <c r="E4" s="2">
        <f>Table79101116[[#This Row],[values 2024]]/1000</f>
        <v>0.14719955012477801</v>
      </c>
      <c r="F4" s="2">
        <f>Table79101116[[#This Row],[TWh '[2020']]]*1000</f>
        <v>-1600862.8199399505</v>
      </c>
      <c r="G4" s="3">
        <f>Table79101116[[#This Row],[Mrd m3 '[2035']]]*9.77*(-1)</f>
        <v>-1600.8628199399504</v>
      </c>
    </row>
    <row r="5" spans="1:7">
      <c r="A5" t="s">
        <v>151</v>
      </c>
      <c r="B5" t="s">
        <v>162</v>
      </c>
      <c r="C5">
        <f>180*(Table79101116[[#This Row],[values 2024]]/(D5+D4))</f>
        <v>16.14505425384333</v>
      </c>
      <c r="D5">
        <v>14.503954775876</v>
      </c>
      <c r="E5" s="2">
        <f>Table79101116[[#This Row],[values 2024]]/1000</f>
        <v>1.4503954775876E-2</v>
      </c>
      <c r="F5" s="2">
        <f>Table79101116[[#This Row],[TWh '[2020']]]*1000</f>
        <v>-157737.18006004932</v>
      </c>
      <c r="G5" s="3">
        <f>Table79101116[[#This Row],[Mrd m3 '[2035']]]*9.77*(-1)</f>
        <v>-157.73718006004933</v>
      </c>
    </row>
    <row r="6" spans="1:7">
      <c r="A6" t="s">
        <v>152</v>
      </c>
      <c r="B6" t="s">
        <v>163</v>
      </c>
      <c r="C6">
        <f>750*(Table79101116[[#This Row],[values 2024]]/(D6+D7))</f>
        <v>692.61722563969238</v>
      </c>
      <c r="D6">
        <v>533.51540691437333</v>
      </c>
      <c r="E6" s="2">
        <f>Table79101116[[#This Row],[values 2024]]/1000</f>
        <v>0.53351540691437338</v>
      </c>
      <c r="F6" s="2">
        <f>Table79101116[[#This Row],[TWh '[2020']]]*1000</f>
        <v>-6766870.294499794</v>
      </c>
      <c r="G6" s="3">
        <f>Table79101116[[#This Row],[Mrd m3 '[2035']]]*9.77*(-1)</f>
        <v>-6766.870294499794</v>
      </c>
    </row>
    <row r="7" spans="1:7">
      <c r="A7" t="s">
        <v>153</v>
      </c>
      <c r="B7" t="s">
        <v>174</v>
      </c>
      <c r="C7">
        <f>750*(Table79101116[[#This Row],[values 2024]]/(D7+D6))</f>
        <v>57.382774360307572</v>
      </c>
      <c r="D7">
        <v>44.201317956595602</v>
      </c>
      <c r="E7" s="2">
        <f>Table79101116[[#This Row],[values 2024]]/1000</f>
        <v>4.4201317956595605E-2</v>
      </c>
      <c r="F7" s="2">
        <f>Table79101116[[#This Row],[TWh '[2020']]]*1000</f>
        <v>-560629.70550020493</v>
      </c>
      <c r="G7" s="3">
        <f>Table79101116[[#This Row],[Mrd m3 '[2035']]]*9.77*(-1)</f>
        <v>-560.62970550020498</v>
      </c>
    </row>
    <row r="8" spans="1:7">
      <c r="A8" t="s">
        <v>154</v>
      </c>
      <c r="B8" t="s">
        <v>164</v>
      </c>
      <c r="C8">
        <f>219*(Table79101116[[#This Row],[values 2024]]/(D8+D16+D17+D18+D19+D20))</f>
        <v>60.026497518584591</v>
      </c>
      <c r="D8">
        <v>46.93279494631954</v>
      </c>
      <c r="E8" s="2">
        <f>Table79101116[[#This Row],[values 2024]]/1000</f>
        <v>4.6932794946319537E-2</v>
      </c>
      <c r="F8" s="2">
        <f>Table79101116[[#This Row],[TWh '[2020']]]*1000</f>
        <v>-586458.88075657142</v>
      </c>
      <c r="G8" s="3">
        <f>Table79101116[[#This Row],[Mrd m3 '[2035']]]*9.77*(-1)</f>
        <v>-586.45888075657138</v>
      </c>
    </row>
    <row r="9" spans="1:7">
      <c r="A9" t="s">
        <v>155</v>
      </c>
      <c r="B9" t="s">
        <v>165</v>
      </c>
      <c r="C9">
        <f>1131*Table79101116[[#This Row],[values 2024]]/(D9+D10+D11+D12+D13+D21)</f>
        <v>48.51208622800921</v>
      </c>
      <c r="D9">
        <v>40.121503042095824</v>
      </c>
      <c r="E9" s="2">
        <f>Table79101116[[#This Row],[values 2024]]/1000</f>
        <v>4.0121503042095823E-2</v>
      </c>
      <c r="F9" s="2">
        <f>Table79101116[[#This Row],[TWh '[2020']]]*1000</f>
        <v>-473963.08244764997</v>
      </c>
      <c r="G9" s="3">
        <f>Table79101116[[#This Row],[Mrd m3 '[2035']]]*9.77*(-1)</f>
        <v>-473.96308244764998</v>
      </c>
    </row>
    <row r="10" spans="1:7">
      <c r="A10" t="s">
        <v>156</v>
      </c>
      <c r="B10" t="s">
        <v>166</v>
      </c>
      <c r="C10">
        <v>522</v>
      </c>
      <c r="D10">
        <v>409.68489250002364</v>
      </c>
      <c r="E10" s="2">
        <f>Table79101116[[#This Row],[values 2024]]/1000</f>
        <v>0.40968489250002366</v>
      </c>
      <c r="F10" s="2">
        <f>Table79101116[[#This Row],[TWh '[2020']]]*1000</f>
        <v>-5099940</v>
      </c>
      <c r="G10" s="3">
        <f>Table79101116[[#This Row],[Mrd m3 '[2035']]]*9.77*(-1)</f>
        <v>-5099.9399999999996</v>
      </c>
    </row>
    <row r="11" spans="1:7">
      <c r="A11" t="s">
        <v>157</v>
      </c>
      <c r="B11" t="s">
        <v>167</v>
      </c>
      <c r="C11">
        <f>49/(92.4207922536915/Table79101116[[#This Row],[values 2024]])</f>
        <v>80.850630314914042</v>
      </c>
      <c r="D11" s="15">
        <f>92.4207922536915+60.0747038262</f>
        <v>152.4954960798915</v>
      </c>
      <c r="E11" s="2">
        <f>Table79101116[[#This Row],[values 2024]]/1000</f>
        <v>0.15249549607989149</v>
      </c>
      <c r="F11" s="2">
        <f>Table79101116[[#This Row],[TWh '[2020']]]*1000</f>
        <v>-789910.65817671013</v>
      </c>
      <c r="G11" s="3">
        <f>Table79101116[[#This Row],[Mrd m3 '[2035']]]*9.77*(-1)</f>
        <v>-789.91065817671017</v>
      </c>
    </row>
    <row r="12" spans="1:7">
      <c r="A12" t="s">
        <v>158</v>
      </c>
      <c r="B12" t="s">
        <v>168</v>
      </c>
      <c r="C12">
        <v>125</v>
      </c>
      <c r="D12">
        <v>62.610307192104507</v>
      </c>
      <c r="E12" s="2">
        <f>Table79101116[[#This Row],[values 2024]]/1000</f>
        <v>6.2610307192104503E-2</v>
      </c>
      <c r="F12" s="2">
        <f>Table79101116[[#This Row],[TWh '[2020']]]*1000</f>
        <v>-1221250</v>
      </c>
      <c r="G12" s="3">
        <f>Table79101116[[#This Row],[Mrd m3 '[2035']]]*9.77*(-1)</f>
        <v>-1221.25</v>
      </c>
    </row>
    <row r="13" spans="1:7">
      <c r="A13" t="s">
        <v>159</v>
      </c>
      <c r="B13" t="s">
        <v>169</v>
      </c>
      <c r="C13">
        <f>1131*Table79101116[[#This Row],[values 2024]]/(D9+D10+D11+D12+D13+D21)</f>
        <v>216.37988325496269</v>
      </c>
      <c r="D13">
        <v>178.95511859578477</v>
      </c>
      <c r="E13" s="2">
        <f>Table79101116[[#This Row],[values 2024]]/1000</f>
        <v>0.17895511859578478</v>
      </c>
      <c r="F13" s="2">
        <f>Table79101116[[#This Row],[TWh '[2020']]]*1000</f>
        <v>-2114031.4594009854</v>
      </c>
      <c r="G13" s="3">
        <f>Table79101116[[#This Row],[Mrd m3 '[2035']]]*9.77*(-1)</f>
        <v>-2114.0314594009856</v>
      </c>
    </row>
    <row r="14" spans="1:7">
      <c r="A14" t="s">
        <v>172</v>
      </c>
      <c r="B14" t="s">
        <v>173</v>
      </c>
      <c r="C14">
        <f>671*(Table79101116[[#This Row],[values 2024]]/(D14+D15+D22))</f>
        <v>141.69680142038015</v>
      </c>
      <c r="D14">
        <v>125.86256234349892</v>
      </c>
      <c r="E14" s="2">
        <f>Table79101116[[#This Row],[values 2024]]/1000</f>
        <v>0.12586256234349893</v>
      </c>
      <c r="F14" s="2">
        <f>Table79101116[[#This Row],[TWh '[2020']]]*1000</f>
        <v>-1384377.7498771138</v>
      </c>
      <c r="G14" s="3">
        <f>Table79101116[[#This Row],[Mrd m3 '[2035']]]*9.77*(-1)</f>
        <v>-1384.377749877114</v>
      </c>
    </row>
    <row r="15" spans="1:7">
      <c r="A15" t="s">
        <v>40</v>
      </c>
      <c r="B15" t="s">
        <v>69</v>
      </c>
      <c r="C15">
        <v>513</v>
      </c>
      <c r="D15">
        <v>453.37094395280201</v>
      </c>
      <c r="E15" s="2">
        <f>Table79101116[[#This Row],[values 2024]]/1000</f>
        <v>0.45337094395280203</v>
      </c>
      <c r="F15" s="2">
        <f>Table79101116[[#This Row],[TWh '[2020']]]*1000</f>
        <v>-5012010</v>
      </c>
      <c r="G15" s="3">
        <f>Table79101116[[#This Row],[Mrd m3 '[2035']]]*9.77*(-1)</f>
        <v>-5012.01</v>
      </c>
    </row>
    <row r="16" spans="1:7">
      <c r="A16" t="s">
        <v>49</v>
      </c>
      <c r="B16" t="s">
        <v>78</v>
      </c>
      <c r="C16">
        <f>219*(Table79101116[[#This Row],[values 2024]]/(D8+D16+D17+D18+D19+D20))</f>
        <v>64.382674320158046</v>
      </c>
      <c r="D16">
        <v>50.338750000000005</v>
      </c>
      <c r="E16" s="2">
        <f>Table79101116[[#This Row],[values 2024]]/1000</f>
        <v>5.0338750000000002E-2</v>
      </c>
      <c r="F16" s="2">
        <f>Table79101116[[#This Row],[TWh '[2020']]]*1000</f>
        <v>-629018.72810794401</v>
      </c>
      <c r="G16" s="3">
        <f>Table79101116[[#This Row],[Mrd m3 '[2035']]]*9.77*(-1)</f>
        <v>-629.01872810794407</v>
      </c>
    </row>
    <row r="17" spans="1:7">
      <c r="A17" t="s">
        <v>51</v>
      </c>
      <c r="B17" t="s">
        <v>80</v>
      </c>
      <c r="C17">
        <f>219*(Table79101116[[#This Row],[values 2024]]/(D8+D16+D17+D18+D19+D20))</f>
        <v>12.91778223800941</v>
      </c>
      <c r="D17">
        <v>10.1</v>
      </c>
      <c r="E17" s="2">
        <f>Table79101116[[#This Row],[values 2024]]/1000</f>
        <v>1.01E-2</v>
      </c>
      <c r="F17" s="2">
        <f>Table79101116[[#This Row],[TWh '[2020']]]*1000</f>
        <v>-126206.73246535193</v>
      </c>
      <c r="G17" s="3">
        <f>Table79101116[[#This Row],[Mrd m3 '[2035']]]*9.77*(-1)</f>
        <v>-126.20673246535193</v>
      </c>
    </row>
    <row r="18" spans="1:7">
      <c r="A18" t="s">
        <v>50</v>
      </c>
      <c r="B18" t="s">
        <v>79</v>
      </c>
      <c r="C18">
        <f>219*(Table79101116[[#This Row],[values 2024]]/(D8+D16+D17+D18+D19+D20))</f>
        <v>4.5921477152286014</v>
      </c>
      <c r="D18">
        <v>3.5904531497162</v>
      </c>
      <c r="E18" s="2">
        <f>Table79101116[[#This Row],[values 2024]]/1000</f>
        <v>3.5904531497161999E-3</v>
      </c>
      <c r="F18" s="2">
        <f>Table79101116[[#This Row],[TWh '[2020']]]*1000</f>
        <v>-44865.283177783429</v>
      </c>
      <c r="G18" s="3">
        <f>Table79101116[[#This Row],[Mrd m3 '[2035']]]*9.77*(-1)</f>
        <v>-44.865283177783432</v>
      </c>
    </row>
    <row r="19" spans="1:7">
      <c r="A19" t="s">
        <v>96</v>
      </c>
      <c r="B19" t="s">
        <v>175</v>
      </c>
      <c r="C19">
        <f>219*(Table79101116[[#This Row],[values 2024]]/(D8+D16+D17+D18+D19+D20))</f>
        <v>0.28482527313776113</v>
      </c>
      <c r="D19">
        <v>0.22269575424695218</v>
      </c>
      <c r="E19" s="2">
        <f>Table79101116[[#This Row],[values 2024]]/1000</f>
        <v>2.2269575424695219E-4</v>
      </c>
      <c r="F19" s="2">
        <f>Table79101116[[#This Row],[TWh '[2020']]]*1000</f>
        <v>-2782.7429185559263</v>
      </c>
      <c r="G19" s="3">
        <f>Table79101116[[#This Row],[Mrd m3 '[2035']]]*9.77*(-1)</f>
        <v>-2.7827429185559263</v>
      </c>
    </row>
    <row r="20" spans="1:7">
      <c r="A20" t="s">
        <v>177</v>
      </c>
      <c r="B20" t="s">
        <v>178</v>
      </c>
      <c r="C20">
        <f>219*(Table79101116[[#This Row],[values 2024]]/(D8+D16+D17+D18+D19+D20))</f>
        <v>76.796072934881607</v>
      </c>
      <c r="D20">
        <v>60.044388607206308</v>
      </c>
      <c r="E20" s="2">
        <f>Table79101116[[#This Row],[values 2024]]/1000</f>
        <v>6.004438860720631E-2</v>
      </c>
      <c r="F20" s="2">
        <f>Table79101116[[#This Row],[TWh '[2020']]]*1000</f>
        <v>-750297.63257379329</v>
      </c>
      <c r="G20" s="3">
        <f>Table79101116[[#This Row],[Mrd m3 '[2035']]]*9.77*(-1)</f>
        <v>-750.29763257379329</v>
      </c>
    </row>
    <row r="21" spans="1:7">
      <c r="A21" t="s">
        <v>192</v>
      </c>
      <c r="B21" t="s">
        <v>195</v>
      </c>
      <c r="C21">
        <f>1131*Table79101116[[#This Row],[values 2024]]/(D9+D10+D11+D12+D13+D21)</f>
        <v>110.65527302814039</v>
      </c>
      <c r="D21">
        <v>91.516490396967811</v>
      </c>
      <c r="E21" s="2">
        <f>Table79101116[[#This Row],[values 2024]]/1000</f>
        <v>9.1516490396967812E-2</v>
      </c>
      <c r="F21" s="2">
        <f>Table79101116[[#This Row],[TWh '[2020']]]*1000</f>
        <v>-1081102.0174849315</v>
      </c>
      <c r="G21" s="3">
        <f>Table79101116[[#This Row],[Mrd m3 '[2035']]]*9.77*(-1)</f>
        <v>-1081.1020174849316</v>
      </c>
    </row>
    <row r="22" spans="1:7">
      <c r="A22" t="s">
        <v>52</v>
      </c>
      <c r="B22" t="s">
        <v>81</v>
      </c>
      <c r="C22">
        <f>671*(Table79101116[[#This Row],[values 2024]]/(D14+D15+D22))</f>
        <v>18.895564896412189</v>
      </c>
      <c r="D22">
        <v>16.784035990584101</v>
      </c>
      <c r="E22" s="2">
        <f>Table79101116[[#This Row],[values 2024]]/1000</f>
        <v>1.67840359905841E-2</v>
      </c>
      <c r="F22" s="2">
        <f>Table79101116[[#This Row],[TWh '[2020']]]*1000</f>
        <v>-184609.66903794708</v>
      </c>
      <c r="G22" s="3">
        <f>Table79101116[[#This Row],[Mrd m3 '[2035']]]*9.77*(-1)</f>
        <v>-184.60966903794707</v>
      </c>
    </row>
    <row r="23" spans="1:7">
      <c r="A23" t="s">
        <v>295</v>
      </c>
      <c r="B23" t="s">
        <v>296</v>
      </c>
      <c r="E23" s="2"/>
      <c r="F23" s="2"/>
      <c r="G23" s="3"/>
    </row>
    <row r="24" spans="1:7">
      <c r="A24" t="s">
        <v>79</v>
      </c>
      <c r="B24" t="s">
        <v>136</v>
      </c>
    </row>
    <row r="25" spans="1:7">
      <c r="A25" t="s">
        <v>80</v>
      </c>
      <c r="B25" t="s">
        <v>176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211D-DC17-4DD6-B657-CA08F8FBC20F}">
  <dimension ref="A1:H109"/>
  <sheetViews>
    <sheetView topLeftCell="A26" workbookViewId="0">
      <selection activeCell="D84" sqref="D84"/>
    </sheetView>
  </sheetViews>
  <sheetFormatPr defaultRowHeight="14.5"/>
  <cols>
    <col min="3" max="3" width="20.453125" customWidth="1"/>
    <col min="4" max="4" width="17.1796875" customWidth="1"/>
    <col min="5" max="5" width="16.1796875" customWidth="1"/>
    <col min="6" max="6" width="8.81640625" customWidth="1"/>
    <col min="11" max="12" width="10.1796875" customWidth="1"/>
  </cols>
  <sheetData>
    <row r="1" spans="1:8">
      <c r="A1" t="s">
        <v>92</v>
      </c>
      <c r="B1" t="s">
        <v>93</v>
      </c>
      <c r="C1" t="s">
        <v>138</v>
      </c>
      <c r="D1" t="s">
        <v>139</v>
      </c>
      <c r="E1" t="s">
        <v>140</v>
      </c>
      <c r="F1" t="s">
        <v>105</v>
      </c>
      <c r="G1" t="s">
        <v>106</v>
      </c>
      <c r="H1" t="s">
        <v>142</v>
      </c>
    </row>
    <row r="2" spans="1:8">
      <c r="A2" t="s">
        <v>41</v>
      </c>
      <c r="B2" t="s">
        <v>21</v>
      </c>
      <c r="C2">
        <v>487.1</v>
      </c>
      <c r="D2">
        <v>549.9</v>
      </c>
      <c r="F2">
        <f>MIN(Table3[[#This Row],[GWh/d '[capacity map']]:[GWh/d '[transparency map']]])*365</f>
        <v>177791.5</v>
      </c>
      <c r="G2">
        <f t="shared" ref="G2:G32" si="0">F2/1000</f>
        <v>177.79150000000001</v>
      </c>
    </row>
    <row r="3" spans="1:8">
      <c r="A3" t="s">
        <v>20</v>
      </c>
      <c r="B3" t="s">
        <v>19</v>
      </c>
      <c r="C3">
        <v>339.96799999999996</v>
      </c>
      <c r="F3">
        <f>MIN(Table3[[#This Row],[GWh/d '[capacity map']]:[GWh/d '[transparency map']]])*365</f>
        <v>124088.31999999999</v>
      </c>
      <c r="G3">
        <f t="shared" si="0"/>
        <v>124.08832</v>
      </c>
    </row>
    <row r="4" spans="1:8">
      <c r="A4" t="s">
        <v>20</v>
      </c>
      <c r="B4" t="s">
        <v>30</v>
      </c>
      <c r="C4">
        <v>153.1</v>
      </c>
      <c r="F4">
        <f>MIN(Table3[[#This Row],[GWh/d '[capacity map']]:[GWh/d '[transparency map']]])*365</f>
        <v>55881.5</v>
      </c>
      <c r="G4">
        <f t="shared" si="0"/>
        <v>55.881500000000003</v>
      </c>
    </row>
    <row r="5" spans="1:8">
      <c r="A5" t="s">
        <v>20</v>
      </c>
      <c r="B5" t="s">
        <v>21</v>
      </c>
      <c r="C5">
        <v>1150</v>
      </c>
      <c r="F5">
        <f>MIN(Table3[[#This Row],[GWh/d '[capacity map']]:[GWh/d '[transparency map']]])*365</f>
        <v>419750</v>
      </c>
      <c r="G5">
        <f t="shared" si="0"/>
        <v>419.75</v>
      </c>
    </row>
    <row r="6" spans="1:8">
      <c r="A6" t="s">
        <v>20</v>
      </c>
      <c r="B6" t="s">
        <v>23</v>
      </c>
      <c r="C6">
        <v>112.5</v>
      </c>
      <c r="F6">
        <f>MIN(Table3[[#This Row],[GWh/d '[capacity map']]:[GWh/d '[transparency map']]])*365</f>
        <v>41062.5</v>
      </c>
      <c r="G6">
        <f t="shared" si="0"/>
        <v>41.0625</v>
      </c>
    </row>
    <row r="7" spans="1:8">
      <c r="A7" t="s">
        <v>20</v>
      </c>
      <c r="B7" t="s">
        <v>29</v>
      </c>
      <c r="C7">
        <v>246.5</v>
      </c>
      <c r="F7">
        <f>MIN(Table3[[#This Row],[GWh/d '[capacity map']]:[GWh/d '[transparency map']]])*365</f>
        <v>89972.5</v>
      </c>
      <c r="G7">
        <f t="shared" si="0"/>
        <v>89.972499999999997</v>
      </c>
    </row>
    <row r="8" spans="1:8">
      <c r="A8" t="s">
        <v>17</v>
      </c>
      <c r="B8" t="s">
        <v>19</v>
      </c>
      <c r="C8">
        <v>322.77</v>
      </c>
      <c r="F8">
        <f>MIN(Table3[[#This Row],[GWh/d '[capacity map']]:[GWh/d '[transparency map']]])*365</f>
        <v>117811.04999999999</v>
      </c>
      <c r="G8">
        <f t="shared" si="0"/>
        <v>117.81104999999999</v>
      </c>
    </row>
    <row r="9" spans="1:8">
      <c r="A9" t="s">
        <v>17</v>
      </c>
      <c r="B9" t="s">
        <v>25</v>
      </c>
      <c r="C9">
        <v>870</v>
      </c>
      <c r="F9">
        <f>MIN(Table3[[#This Row],[GWh/d '[capacity map']]:[GWh/d '[transparency map']]])*365</f>
        <v>317550</v>
      </c>
      <c r="G9">
        <f t="shared" si="0"/>
        <v>317.55</v>
      </c>
    </row>
    <row r="10" spans="1:8">
      <c r="A10" t="s">
        <v>17</v>
      </c>
      <c r="B10" t="s">
        <v>42</v>
      </c>
      <c r="E10">
        <v>41.973541999999995</v>
      </c>
      <c r="F10">
        <f>MIN(Table3[[#This Row],[GWh/d '[capacity map']]:[GWh/d '[transparency map']]])*365</f>
        <v>15320.342829999998</v>
      </c>
      <c r="G10">
        <f t="shared" si="0"/>
        <v>15.320342829999998</v>
      </c>
    </row>
    <row r="11" spans="1:8">
      <c r="A11" t="s">
        <v>17</v>
      </c>
      <c r="B11" t="s">
        <v>18</v>
      </c>
      <c r="C11">
        <v>331.2</v>
      </c>
      <c r="F11">
        <f>MIN(Table3[[#This Row],[GWh/d '[capacity map']]:[GWh/d '[transparency map']]])*365</f>
        <v>120888</v>
      </c>
      <c r="G11">
        <f t="shared" si="0"/>
        <v>120.88800000000001</v>
      </c>
    </row>
    <row r="12" spans="1:8">
      <c r="A12" t="s">
        <v>17</v>
      </c>
      <c r="B12" t="s">
        <v>11</v>
      </c>
      <c r="C12">
        <v>803.4</v>
      </c>
      <c r="D12">
        <v>261.10000000000002</v>
      </c>
      <c r="F12">
        <f>MIN(Table3[[#This Row],[GWh/d '[capacity map']]:[GWh/d '[transparency map']]])*365</f>
        <v>95301.500000000015</v>
      </c>
      <c r="G12">
        <f t="shared" si="0"/>
        <v>95.301500000000019</v>
      </c>
    </row>
    <row r="13" spans="1:8">
      <c r="A13" t="s">
        <v>32</v>
      </c>
      <c r="B13" t="s">
        <v>264</v>
      </c>
      <c r="C13">
        <v>117.8</v>
      </c>
      <c r="F13">
        <f>MIN(Table3[[#This Row],[GWh/d '[capacity map']]:[GWh/d '[transparency map']]])*365</f>
        <v>42997</v>
      </c>
      <c r="G13">
        <f t="shared" si="0"/>
        <v>42.997</v>
      </c>
    </row>
    <row r="14" spans="1:8">
      <c r="A14" t="s">
        <v>32</v>
      </c>
      <c r="B14" t="s">
        <v>45</v>
      </c>
      <c r="C14">
        <v>27.38</v>
      </c>
      <c r="D14">
        <v>33.380000000000003</v>
      </c>
      <c r="F14">
        <f>MIN(Table3[[#This Row],[GWh/d '[capacity map']]:[GWh/d '[transparency map']]])*365</f>
        <v>9993.6999999999989</v>
      </c>
      <c r="G14">
        <f t="shared" si="0"/>
        <v>9.9936999999999987</v>
      </c>
    </row>
    <row r="15" spans="1:8">
      <c r="A15" t="s">
        <v>32</v>
      </c>
      <c r="B15" t="s">
        <v>33</v>
      </c>
      <c r="C15">
        <v>148.15</v>
      </c>
      <c r="F15">
        <f>MIN(Table3[[#This Row],[GWh/d '[capacity map']]:[GWh/d '[transparency map']]])*365</f>
        <v>54074.75</v>
      </c>
      <c r="G15">
        <f t="shared" si="0"/>
        <v>54.074750000000002</v>
      </c>
    </row>
    <row r="16" spans="1:8">
      <c r="A16" t="s">
        <v>32</v>
      </c>
      <c r="B16" t="s">
        <v>31</v>
      </c>
      <c r="C16">
        <v>398.13</v>
      </c>
      <c r="D16">
        <v>467.5</v>
      </c>
      <c r="F16">
        <f>MIN(Table3[[#This Row],[GWh/d '[capacity map']]:[GWh/d '[transparency map']]])*365</f>
        <v>145317.45000000001</v>
      </c>
      <c r="G16">
        <f t="shared" si="0"/>
        <v>145.31745000000001</v>
      </c>
    </row>
    <row r="17" spans="1:7">
      <c r="A17" t="s">
        <v>32</v>
      </c>
      <c r="B17" t="s">
        <v>46</v>
      </c>
      <c r="C17">
        <v>497.16</v>
      </c>
      <c r="D17">
        <v>576</v>
      </c>
      <c r="F17">
        <f>MIN(Table3[[#This Row],[GWh/d '[capacity map']]:[GWh/d '[transparency map']]])*365</f>
        <v>181463.40000000002</v>
      </c>
      <c r="G17">
        <f t="shared" si="0"/>
        <v>181.46340000000004</v>
      </c>
    </row>
    <row r="18" spans="1:7">
      <c r="A18" t="s">
        <v>52</v>
      </c>
      <c r="B18" t="s">
        <v>34</v>
      </c>
      <c r="C18">
        <v>325.39999999999998</v>
      </c>
      <c r="D18">
        <v>325.39999999999998</v>
      </c>
      <c r="F18">
        <f>MIN(Table3[[#This Row],[GWh/d '[capacity map']]:[GWh/d '[transparency map']]])*365</f>
        <v>118770.99999999999</v>
      </c>
      <c r="G18">
        <f t="shared" si="0"/>
        <v>118.77099999999999</v>
      </c>
    </row>
    <row r="19" spans="1:7">
      <c r="A19" t="s">
        <v>52</v>
      </c>
      <c r="B19" t="s">
        <v>27</v>
      </c>
      <c r="C19">
        <v>1203.4999999999998</v>
      </c>
      <c r="D19">
        <v>1203.4999999999998</v>
      </c>
      <c r="F19">
        <f>MIN(Table3[[#This Row],[GWh/d '[capacity map']]:[GWh/d '[transparency map']]])*365</f>
        <v>439277.49999999994</v>
      </c>
      <c r="G19">
        <f t="shared" si="0"/>
        <v>439.27749999999992</v>
      </c>
    </row>
    <row r="20" spans="1:7">
      <c r="A20" t="s">
        <v>52</v>
      </c>
      <c r="B20" t="s">
        <v>38</v>
      </c>
      <c r="E20">
        <v>35.53171072</v>
      </c>
      <c r="F20">
        <f>MIN(Table3[[#This Row],[GWh/d '[capacity map']]:[GWh/d '[transparency map']]])*365</f>
        <v>12969.074412800001</v>
      </c>
      <c r="G20">
        <f t="shared" si="0"/>
        <v>12.969074412800001</v>
      </c>
    </row>
    <row r="21" spans="1:7">
      <c r="A21" t="s">
        <v>22</v>
      </c>
      <c r="B21" t="s">
        <v>19</v>
      </c>
      <c r="C21">
        <v>172.8</v>
      </c>
      <c r="F21">
        <f>MIN(Table3[[#This Row],[GWh/d '[capacity map']]:[GWh/d '[transparency map']]])*365</f>
        <v>63072.000000000007</v>
      </c>
      <c r="G21">
        <f t="shared" si="0"/>
        <v>63.07200000000001</v>
      </c>
    </row>
    <row r="22" spans="1:7">
      <c r="A22" t="s">
        <v>22</v>
      </c>
      <c r="B22" t="s">
        <v>25</v>
      </c>
      <c r="C22">
        <v>100</v>
      </c>
      <c r="F22">
        <f>MIN(Table3[[#This Row],[GWh/d '[capacity map']]:[GWh/d '[transparency map']]])*365</f>
        <v>36500</v>
      </c>
      <c r="G22">
        <f t="shared" si="0"/>
        <v>36.5</v>
      </c>
    </row>
    <row r="23" spans="1:7">
      <c r="A23" t="s">
        <v>22</v>
      </c>
      <c r="B23" t="s">
        <v>21</v>
      </c>
      <c r="C23">
        <v>640.4</v>
      </c>
      <c r="F23">
        <f>MIN(Table3[[#This Row],[GWh/d '[capacity map']]:[GWh/d '[transparency map']]])*365</f>
        <v>233746</v>
      </c>
      <c r="G23">
        <f t="shared" si="0"/>
        <v>233.74600000000001</v>
      </c>
    </row>
    <row r="24" spans="1:7">
      <c r="A24" t="s">
        <v>28</v>
      </c>
      <c r="B24" t="s">
        <v>19</v>
      </c>
      <c r="C24">
        <v>1231.759</v>
      </c>
      <c r="F24">
        <f>MIN(Table3[[#This Row],[GWh/d '[capacity map']]:[GWh/d '[transparency map']]])*365</f>
        <v>449592.03500000003</v>
      </c>
      <c r="G24">
        <f t="shared" si="0"/>
        <v>449.59203500000001</v>
      </c>
    </row>
    <row r="25" spans="1:7">
      <c r="A25" t="s">
        <v>28</v>
      </c>
      <c r="B25" t="s">
        <v>27</v>
      </c>
      <c r="C25">
        <v>28</v>
      </c>
      <c r="F25">
        <f>MIN(Table3[[#This Row],[GWh/d '[capacity map']]:[GWh/d '[transparency map']]])*365</f>
        <v>10220</v>
      </c>
      <c r="G25">
        <f t="shared" si="0"/>
        <v>10.220000000000001</v>
      </c>
    </row>
    <row r="26" spans="1:7">
      <c r="A26" t="s">
        <v>28</v>
      </c>
      <c r="B26" t="s">
        <v>29</v>
      </c>
      <c r="C26">
        <v>1246.4000000000001</v>
      </c>
      <c r="F26">
        <f>MIN(Table3[[#This Row],[GWh/d '[capacity map']]:[GWh/d '[transparency map']]])*365</f>
        <v>454936.00000000006</v>
      </c>
      <c r="G26">
        <f t="shared" si="0"/>
        <v>454.93600000000004</v>
      </c>
    </row>
    <row r="27" spans="1:7">
      <c r="A27" t="s">
        <v>19</v>
      </c>
      <c r="B27" t="s">
        <v>20</v>
      </c>
      <c r="C27">
        <v>344.24799999999993</v>
      </c>
      <c r="F27">
        <f>MIN(Table3[[#This Row],[GWh/d '[capacity map']]:[GWh/d '[transparency map']]])*365</f>
        <v>125650.51999999997</v>
      </c>
      <c r="G27">
        <f t="shared" si="0"/>
        <v>125.65051999999997</v>
      </c>
    </row>
    <row r="28" spans="1:7">
      <c r="A28" t="s">
        <v>19</v>
      </c>
      <c r="B28" t="s">
        <v>17</v>
      </c>
      <c r="C28">
        <v>396.15000000000003</v>
      </c>
      <c r="F28">
        <f>MIN(Table3[[#This Row],[GWh/d '[capacity map']]:[GWh/d '[transparency map']]])*365</f>
        <v>144594.75</v>
      </c>
      <c r="G28">
        <f t="shared" si="0"/>
        <v>144.59475</v>
      </c>
    </row>
    <row r="29" spans="1:7">
      <c r="A29" t="s">
        <v>19</v>
      </c>
      <c r="B29" t="s">
        <v>22</v>
      </c>
      <c r="C29">
        <v>328</v>
      </c>
      <c r="F29">
        <f>MIN(Table3[[#This Row],[GWh/d '[capacity map']]:[GWh/d '[transparency map']]])*365</f>
        <v>119720</v>
      </c>
      <c r="G29">
        <f t="shared" si="0"/>
        <v>119.72</v>
      </c>
    </row>
    <row r="30" spans="1:7">
      <c r="A30" t="s">
        <v>19</v>
      </c>
      <c r="B30" t="s">
        <v>28</v>
      </c>
      <c r="C30">
        <v>1803.77</v>
      </c>
      <c r="F30">
        <f>MIN(Table3[[#This Row],[GWh/d '[capacity map']]:[GWh/d '[transparency map']]])*365</f>
        <v>658376.05000000005</v>
      </c>
      <c r="G30">
        <f t="shared" si="0"/>
        <v>658.37605000000008</v>
      </c>
    </row>
    <row r="31" spans="1:7">
      <c r="A31" t="s">
        <v>19</v>
      </c>
      <c r="B31" t="s">
        <v>26</v>
      </c>
      <c r="C31">
        <v>136.11199999999999</v>
      </c>
      <c r="F31">
        <f>MIN(Table3[[#This Row],[GWh/d '[capacity map']]:[GWh/d '[transparency map']]])*365</f>
        <v>49680.88</v>
      </c>
      <c r="G31">
        <f t="shared" si="0"/>
        <v>49.680879999999995</v>
      </c>
    </row>
    <row r="32" spans="1:7">
      <c r="A32" t="s">
        <v>19</v>
      </c>
      <c r="B32" t="s">
        <v>25</v>
      </c>
      <c r="C32">
        <v>613.71600000000001</v>
      </c>
      <c r="F32">
        <f>MIN(Table3[[#This Row],[GWh/d '[capacity map']]:[GWh/d '[transparency map']]])*365</f>
        <v>224006.34</v>
      </c>
      <c r="G32">
        <f t="shared" si="0"/>
        <v>224.00633999999999</v>
      </c>
    </row>
    <row r="33" spans="1:8">
      <c r="A33" t="s">
        <v>19</v>
      </c>
      <c r="B33" t="s">
        <v>42</v>
      </c>
      <c r="C33">
        <v>26.71</v>
      </c>
      <c r="F33">
        <f>MIN(Table3[[#This Row],[GWh/d '[capacity map']]:[GWh/d '[transparency map']]])*365</f>
        <v>9749.15</v>
      </c>
      <c r="G33">
        <f t="shared" ref="G33:G64" si="1">F33/1000</f>
        <v>9.7491500000000002</v>
      </c>
    </row>
    <row r="34" spans="1:8">
      <c r="A34" t="s">
        <v>19</v>
      </c>
      <c r="B34" t="s">
        <v>18</v>
      </c>
      <c r="C34">
        <v>1628.3030000000001</v>
      </c>
      <c r="F34">
        <f>MIN(Table3[[#This Row],[GWh/d '[capacity map']]:[GWh/d '[transparency map']]])*365</f>
        <v>594330.59500000009</v>
      </c>
      <c r="G34">
        <f t="shared" si="1"/>
        <v>594.33059500000013</v>
      </c>
    </row>
    <row r="35" spans="1:8">
      <c r="A35" t="s">
        <v>19</v>
      </c>
      <c r="B35" t="s">
        <v>27</v>
      </c>
      <c r="C35">
        <v>233.5</v>
      </c>
      <c r="F35">
        <f>MIN(Table3[[#This Row],[GWh/d '[capacity map']]:[GWh/d '[transparency map']]])*365</f>
        <v>85227.5</v>
      </c>
      <c r="G35">
        <f t="shared" si="1"/>
        <v>85.227500000000006</v>
      </c>
    </row>
    <row r="36" spans="1:8">
      <c r="A36" t="s">
        <v>26</v>
      </c>
      <c r="B36" t="s">
        <v>19</v>
      </c>
      <c r="C36">
        <v>4.1189999999999998</v>
      </c>
      <c r="F36">
        <f>MIN(Table3[[#This Row],[GWh/d '[capacity map']]:[GWh/d '[transparency map']]])*365</f>
        <v>1503.4349999999999</v>
      </c>
      <c r="G36">
        <f t="shared" si="1"/>
        <v>1.5034349999999999</v>
      </c>
    </row>
    <row r="37" spans="1:8">
      <c r="A37" t="s">
        <v>26</v>
      </c>
      <c r="B37" t="s">
        <v>82</v>
      </c>
      <c r="E37">
        <v>41</v>
      </c>
      <c r="F37">
        <f>MIN(Table3[[#This Row],[GWh/d '[capacity map']]:[GWh/d '[transparency map']]])*365</f>
        <v>14965</v>
      </c>
      <c r="G37">
        <f t="shared" si="1"/>
        <v>14.965</v>
      </c>
      <c r="H37" t="s">
        <v>145</v>
      </c>
    </row>
    <row r="38" spans="1:8">
      <c r="A38" t="s">
        <v>49</v>
      </c>
      <c r="B38" t="s">
        <v>36</v>
      </c>
      <c r="C38">
        <v>731.7</v>
      </c>
      <c r="D38">
        <v>337.1</v>
      </c>
      <c r="F38">
        <f>MIN(Table3[[#This Row],[GWh/d '[capacity map']]:[GWh/d '[transparency map']]])*365</f>
        <v>123041.50000000001</v>
      </c>
      <c r="G38">
        <f t="shared" si="1"/>
        <v>123.04150000000001</v>
      </c>
    </row>
    <row r="39" spans="1:8">
      <c r="A39" t="s">
        <v>49</v>
      </c>
      <c r="B39" t="s">
        <v>96</v>
      </c>
      <c r="D39">
        <v>337.1</v>
      </c>
      <c r="F39">
        <f>MIN(Table3[[#This Row],[GWh/d '[capacity map']]:[GWh/d '[transparency map']]])*365</f>
        <v>123041.50000000001</v>
      </c>
      <c r="G39">
        <f t="shared" si="1"/>
        <v>123.04150000000001</v>
      </c>
      <c r="H39" t="s">
        <v>146</v>
      </c>
    </row>
    <row r="40" spans="1:8">
      <c r="A40" t="s">
        <v>49</v>
      </c>
      <c r="B40" t="s">
        <v>50</v>
      </c>
      <c r="C40">
        <v>1138.0999999999999</v>
      </c>
      <c r="D40">
        <v>1154</v>
      </c>
      <c r="F40">
        <f>MIN(Table3[[#This Row],[GWh/d '[capacity map']]:[GWh/d '[transparency map']]])*365</f>
        <v>415406.49999999994</v>
      </c>
      <c r="G40">
        <f t="shared" si="1"/>
        <v>415.40649999999994</v>
      </c>
      <c r="H40" t="s">
        <v>144</v>
      </c>
    </row>
    <row r="41" spans="1:8">
      <c r="A41" t="s">
        <v>53</v>
      </c>
      <c r="B41" t="s">
        <v>54</v>
      </c>
      <c r="E41">
        <v>61.341321000000001</v>
      </c>
      <c r="F41">
        <f>MIN(Table3[[#This Row],[GWh/d '[capacity map']]:[GWh/d '[transparency map']]])*365</f>
        <v>22389.582165</v>
      </c>
      <c r="G41">
        <f t="shared" si="1"/>
        <v>22.389582165</v>
      </c>
    </row>
    <row r="42" spans="1:8">
      <c r="A42" t="s">
        <v>53</v>
      </c>
      <c r="B42" t="s">
        <v>35</v>
      </c>
      <c r="E42">
        <v>67.7</v>
      </c>
      <c r="F42">
        <f>MIN(Table3[[#This Row],[GWh/d '[capacity map']]:[GWh/d '[transparency map']]])*365</f>
        <v>24710.5</v>
      </c>
      <c r="G42">
        <f t="shared" si="1"/>
        <v>24.7105</v>
      </c>
    </row>
    <row r="43" spans="1:8">
      <c r="A43" t="s">
        <v>264</v>
      </c>
      <c r="B43" t="s">
        <v>41</v>
      </c>
      <c r="C43">
        <v>487.1</v>
      </c>
      <c r="D43">
        <v>549.9</v>
      </c>
      <c r="F43">
        <f>MIN(Table3[[#This Row],[GWh/d '[capacity map']]:[GWh/d '[transparency map']]])*365</f>
        <v>177791.5</v>
      </c>
      <c r="G43">
        <f t="shared" si="1"/>
        <v>177.79150000000001</v>
      </c>
      <c r="H43" t="s">
        <v>143</v>
      </c>
    </row>
    <row r="44" spans="1:8">
      <c r="A44" t="s">
        <v>264</v>
      </c>
      <c r="B44" t="s">
        <v>32</v>
      </c>
      <c r="C44">
        <v>64.819999999999993</v>
      </c>
      <c r="F44">
        <f>MIN(Table3[[#This Row],[GWh/d '[capacity map']]:[GWh/d '[transparency map']]])*365</f>
        <v>23659.3</v>
      </c>
      <c r="G44">
        <f t="shared" si="1"/>
        <v>23.659299999999998</v>
      </c>
    </row>
    <row r="45" spans="1:8">
      <c r="A45" t="s">
        <v>36</v>
      </c>
      <c r="B45" t="s">
        <v>25</v>
      </c>
      <c r="C45">
        <v>224.4</v>
      </c>
      <c r="F45">
        <f>MIN(Table3[[#This Row],[GWh/d '[capacity map']]:[GWh/d '[transparency map']]])*365</f>
        <v>81906</v>
      </c>
      <c r="G45">
        <f t="shared" si="1"/>
        <v>81.906000000000006</v>
      </c>
    </row>
    <row r="46" spans="1:8">
      <c r="A46" t="s">
        <v>36</v>
      </c>
      <c r="B46" t="s">
        <v>37</v>
      </c>
      <c r="C46">
        <v>144</v>
      </c>
      <c r="F46">
        <f>MIN(Table3[[#This Row],[GWh/d '[capacity map']]:[GWh/d '[transparency map']]])*365</f>
        <v>52560</v>
      </c>
      <c r="G46">
        <f t="shared" si="1"/>
        <v>52.56</v>
      </c>
    </row>
    <row r="47" spans="1:8">
      <c r="A47" t="s">
        <v>54</v>
      </c>
      <c r="B47" t="s">
        <v>53</v>
      </c>
      <c r="E47">
        <v>32.802250000000008</v>
      </c>
      <c r="F47">
        <f>MIN(Table3[[#This Row],[GWh/d '[capacity map']]:[GWh/d '[transparency map']]])*365</f>
        <v>11972.821250000003</v>
      </c>
      <c r="G47">
        <f t="shared" si="1"/>
        <v>11.972821250000003</v>
      </c>
    </row>
    <row r="48" spans="1:8">
      <c r="A48" t="s">
        <v>25</v>
      </c>
      <c r="B48" t="s">
        <v>17</v>
      </c>
      <c r="C48">
        <v>270</v>
      </c>
      <c r="F48">
        <f>MIN(Table3[[#This Row],[GWh/d '[capacity map']]:[GWh/d '[transparency map']]])*365</f>
        <v>98550</v>
      </c>
      <c r="G48">
        <f t="shared" si="1"/>
        <v>98.55</v>
      </c>
    </row>
    <row r="49" spans="1:7">
      <c r="A49" t="s">
        <v>25</v>
      </c>
      <c r="B49" t="s">
        <v>22</v>
      </c>
      <c r="C49">
        <v>223</v>
      </c>
      <c r="F49">
        <f>MIN(Table3[[#This Row],[GWh/d '[capacity map']]:[GWh/d '[transparency map']]])*365</f>
        <v>81395</v>
      </c>
      <c r="G49">
        <f t="shared" si="1"/>
        <v>81.394999999999996</v>
      </c>
    </row>
    <row r="50" spans="1:7">
      <c r="A50" t="s">
        <v>25</v>
      </c>
      <c r="B50" t="s">
        <v>36</v>
      </c>
      <c r="C50">
        <v>164.572</v>
      </c>
      <c r="F50">
        <f>MIN(Table3[[#This Row],[GWh/d '[capacity map']]:[GWh/d '[transparency map']]])*365</f>
        <v>60068.78</v>
      </c>
      <c r="G50">
        <f t="shared" si="1"/>
        <v>60.068779999999997</v>
      </c>
    </row>
    <row r="51" spans="1:7">
      <c r="A51" t="s">
        <v>24</v>
      </c>
      <c r="B51" t="s">
        <v>30</v>
      </c>
      <c r="C51">
        <v>48.57</v>
      </c>
      <c r="F51">
        <f>MIN(Table3[[#This Row],[GWh/d '[capacity map']]:[GWh/d '[transparency map']]])*365</f>
        <v>17728.05</v>
      </c>
      <c r="G51">
        <f t="shared" si="1"/>
        <v>17.72805</v>
      </c>
    </row>
    <row r="52" spans="1:7">
      <c r="A52" t="s">
        <v>24</v>
      </c>
      <c r="B52" t="s">
        <v>23</v>
      </c>
      <c r="C52">
        <v>7.7</v>
      </c>
      <c r="F52">
        <f>MIN(Table3[[#This Row],[GWh/d '[capacity map']]:[GWh/d '[transparency map']]])*365</f>
        <v>2810.5</v>
      </c>
      <c r="G52">
        <f t="shared" si="1"/>
        <v>2.8105000000000002</v>
      </c>
    </row>
    <row r="53" spans="1:7">
      <c r="A53" t="s">
        <v>30</v>
      </c>
      <c r="B53" t="s">
        <v>24</v>
      </c>
      <c r="C53">
        <v>77.400000000000006</v>
      </c>
      <c r="F53">
        <f>MIN(Table3[[#This Row],[GWh/d '[capacity map']]:[GWh/d '[transparency map']]])*365</f>
        <v>28251.000000000004</v>
      </c>
      <c r="G53">
        <f t="shared" si="1"/>
        <v>28.251000000000005</v>
      </c>
    </row>
    <row r="54" spans="1:7">
      <c r="A54" t="s">
        <v>30</v>
      </c>
      <c r="B54" t="s">
        <v>33</v>
      </c>
      <c r="C54">
        <v>77.5</v>
      </c>
      <c r="F54">
        <f>MIN(Table3[[#This Row],[GWh/d '[capacity map']]:[GWh/d '[transparency map']]])*365</f>
        <v>28287.5</v>
      </c>
      <c r="G54">
        <f t="shared" si="1"/>
        <v>28.287500000000001</v>
      </c>
    </row>
    <row r="55" spans="1:7">
      <c r="A55" t="s">
        <v>30</v>
      </c>
      <c r="B55" t="s">
        <v>31</v>
      </c>
      <c r="C55">
        <v>142</v>
      </c>
      <c r="D55">
        <v>142</v>
      </c>
      <c r="F55">
        <f>MIN(Table3[[#This Row],[GWh/d '[capacity map']]:[GWh/d '[transparency map']]])*365</f>
        <v>51830</v>
      </c>
      <c r="G55">
        <f t="shared" si="1"/>
        <v>51.83</v>
      </c>
    </row>
    <row r="56" spans="1:7">
      <c r="A56" t="s">
        <v>30</v>
      </c>
      <c r="B56" t="s">
        <v>29</v>
      </c>
      <c r="C56">
        <v>50.883000000000003</v>
      </c>
      <c r="F56">
        <f>MIN(Table3[[#This Row],[GWh/d '[capacity map']]:[GWh/d '[transparency map']]])*365</f>
        <v>18572.295000000002</v>
      </c>
      <c r="G56">
        <f t="shared" si="1"/>
        <v>18.572295</v>
      </c>
    </row>
    <row r="57" spans="1:7">
      <c r="A57" t="s">
        <v>21</v>
      </c>
      <c r="B57" t="s">
        <v>20</v>
      </c>
      <c r="C57">
        <v>193.5</v>
      </c>
      <c r="F57">
        <f>MIN(Table3[[#This Row],[GWh/d '[capacity map']]:[GWh/d '[transparency map']]])*365</f>
        <v>70627.5</v>
      </c>
      <c r="G57">
        <f t="shared" si="1"/>
        <v>70.627499999999998</v>
      </c>
    </row>
    <row r="58" spans="1:7">
      <c r="A58" t="s">
        <v>21</v>
      </c>
      <c r="B58" t="s">
        <v>22</v>
      </c>
      <c r="C58">
        <v>431.4</v>
      </c>
      <c r="F58">
        <f>MIN(Table3[[#This Row],[GWh/d '[capacity map']]:[GWh/d '[transparency map']]])*365</f>
        <v>157461</v>
      </c>
      <c r="G58">
        <f t="shared" si="1"/>
        <v>157.46100000000001</v>
      </c>
    </row>
    <row r="59" spans="1:7">
      <c r="A59" t="s">
        <v>21</v>
      </c>
      <c r="B59" t="s">
        <v>23</v>
      </c>
      <c r="C59">
        <v>28.5</v>
      </c>
      <c r="F59">
        <f>MIN(Table3[[#This Row],[GWh/d '[capacity map']]:[GWh/d '[transparency map']]])*365</f>
        <v>10402.5</v>
      </c>
      <c r="G59">
        <f t="shared" si="1"/>
        <v>10.4025</v>
      </c>
    </row>
    <row r="60" spans="1:7">
      <c r="A60" t="s">
        <v>34</v>
      </c>
      <c r="B60" t="s">
        <v>35</v>
      </c>
      <c r="C60">
        <v>67.599999999999994</v>
      </c>
      <c r="F60">
        <f>MIN(Table3[[#This Row],[GWh/d '[capacity map']]:[GWh/d '[transparency map']]])*365</f>
        <v>24673.999999999996</v>
      </c>
      <c r="G60">
        <f t="shared" si="1"/>
        <v>24.673999999999996</v>
      </c>
    </row>
    <row r="61" spans="1:7">
      <c r="A61" t="s">
        <v>34</v>
      </c>
      <c r="B61" t="s">
        <v>40</v>
      </c>
      <c r="C61">
        <v>114.2</v>
      </c>
      <c r="F61">
        <f>MIN(Table3[[#This Row],[GWh/d '[capacity map']]:[GWh/d '[transparency map']]])*365</f>
        <v>41683</v>
      </c>
      <c r="G61">
        <f t="shared" si="1"/>
        <v>41.683</v>
      </c>
    </row>
    <row r="62" spans="1:7">
      <c r="A62" t="s">
        <v>42</v>
      </c>
      <c r="B62" t="s">
        <v>17</v>
      </c>
      <c r="E62">
        <v>41.973541999999995</v>
      </c>
      <c r="F62">
        <f>MIN(Table3[[#This Row],[GWh/d '[capacity map']]:[GWh/d '[transparency map']]])*365</f>
        <v>15320.342829999998</v>
      </c>
      <c r="G62">
        <f t="shared" si="1"/>
        <v>15.320342829999998</v>
      </c>
    </row>
    <row r="63" spans="1:7">
      <c r="A63" t="s">
        <v>35</v>
      </c>
      <c r="B63" t="s">
        <v>53</v>
      </c>
      <c r="E63">
        <v>67.7</v>
      </c>
      <c r="F63">
        <f>MIN(Table3[[#This Row],[GWh/d '[capacity map']]:[GWh/d '[transparency map']]])*365</f>
        <v>24710.5</v>
      </c>
      <c r="G63">
        <f t="shared" si="1"/>
        <v>24.7105</v>
      </c>
    </row>
    <row r="64" spans="1:7">
      <c r="A64" t="s">
        <v>35</v>
      </c>
      <c r="B64" t="s">
        <v>34</v>
      </c>
      <c r="C64">
        <v>65.099999999999994</v>
      </c>
      <c r="F64">
        <f>MIN(Table3[[#This Row],[GWh/d '[capacity map']]:[GWh/d '[transparency map']]])*365</f>
        <v>23761.499999999996</v>
      </c>
      <c r="G64">
        <f t="shared" si="1"/>
        <v>23.761499999999998</v>
      </c>
    </row>
    <row r="65" spans="1:7">
      <c r="A65" t="s">
        <v>35</v>
      </c>
      <c r="B65" t="s">
        <v>40</v>
      </c>
      <c r="C65">
        <v>85</v>
      </c>
      <c r="D65">
        <v>118</v>
      </c>
      <c r="F65">
        <f>MIN(Table3[[#This Row],[GWh/d '[capacity map']]:[GWh/d '[transparency map']]])*365</f>
        <v>31025</v>
      </c>
      <c r="G65">
        <f t="shared" ref="G65:G95" si="2">F65/1000</f>
        <v>31.024999999999999</v>
      </c>
    </row>
    <row r="66" spans="1:7">
      <c r="A66" t="s">
        <v>51</v>
      </c>
      <c r="B66" t="s">
        <v>21</v>
      </c>
      <c r="C66">
        <v>475.8</v>
      </c>
      <c r="D66">
        <v>493.7</v>
      </c>
      <c r="F66">
        <f>MIN(Table3[[#This Row],[GWh/d '[capacity map']]:[GWh/d '[transparency map']]])*365</f>
        <v>173667</v>
      </c>
      <c r="G66">
        <f t="shared" si="2"/>
        <v>173.667</v>
      </c>
    </row>
    <row r="67" spans="1:7">
      <c r="A67" t="s">
        <v>96</v>
      </c>
      <c r="B67" t="s">
        <v>36</v>
      </c>
      <c r="D67">
        <v>442.8</v>
      </c>
      <c r="F67">
        <f>MIN(Table3[[#This Row],[GWh/d '[capacity map']]:[GWh/d '[transparency map']]])*365</f>
        <v>161622</v>
      </c>
      <c r="G67">
        <f t="shared" si="2"/>
        <v>161.62200000000001</v>
      </c>
    </row>
    <row r="68" spans="1:7">
      <c r="A68" t="s">
        <v>39</v>
      </c>
      <c r="B68" t="s">
        <v>33</v>
      </c>
      <c r="C68">
        <v>2.2000000000000002</v>
      </c>
      <c r="F68">
        <f>MIN(Table3[[#This Row],[GWh/d '[capacity map']]:[GWh/d '[transparency map']]])*365</f>
        <v>803.00000000000011</v>
      </c>
      <c r="G68">
        <f t="shared" si="2"/>
        <v>0.80300000000000016</v>
      </c>
    </row>
    <row r="69" spans="1:7">
      <c r="A69" t="s">
        <v>39</v>
      </c>
      <c r="B69" t="s">
        <v>38</v>
      </c>
      <c r="E69">
        <v>80.846503979999994</v>
      </c>
      <c r="F69">
        <f>MIN(Table3[[#This Row],[GWh/d '[capacity map']]:[GWh/d '[transparency map']]])*365</f>
        <v>29508.973952699998</v>
      </c>
      <c r="G69">
        <f t="shared" si="2"/>
        <v>29.5089739527</v>
      </c>
    </row>
    <row r="70" spans="1:7">
      <c r="A70" t="s">
        <v>18</v>
      </c>
      <c r="B70" t="s">
        <v>17</v>
      </c>
      <c r="C70">
        <v>1397.2</v>
      </c>
      <c r="F70">
        <f>MIN(Table3[[#This Row],[GWh/d '[capacity map']]:[GWh/d '[transparency map']]])*365</f>
        <v>509978</v>
      </c>
      <c r="G70">
        <f t="shared" si="2"/>
        <v>509.97800000000001</v>
      </c>
    </row>
    <row r="71" spans="1:7">
      <c r="A71" t="s">
        <v>18</v>
      </c>
      <c r="B71" t="s">
        <v>19</v>
      </c>
      <c r="C71">
        <v>1925.7729999999999</v>
      </c>
      <c r="F71">
        <f>MIN(Table3[[#This Row],[GWh/d '[capacity map']]:[GWh/d '[transparency map']]])*365</f>
        <v>702907.14500000002</v>
      </c>
      <c r="G71">
        <f t="shared" si="2"/>
        <v>702.90714500000001</v>
      </c>
    </row>
    <row r="72" spans="1:7">
      <c r="A72" t="s">
        <v>18</v>
      </c>
      <c r="B72" t="s">
        <v>11</v>
      </c>
      <c r="C72">
        <v>494.4</v>
      </c>
      <c r="F72">
        <f>MIN(Table3[[#This Row],[GWh/d '[capacity map']]:[GWh/d '[transparency map']]])*365</f>
        <v>180456</v>
      </c>
      <c r="G72">
        <f t="shared" si="2"/>
        <v>180.45599999999999</v>
      </c>
    </row>
    <row r="73" spans="1:7">
      <c r="A73" t="s">
        <v>48</v>
      </c>
      <c r="B73" t="s">
        <v>17</v>
      </c>
      <c r="C73">
        <v>488</v>
      </c>
      <c r="D73">
        <v>459.6</v>
      </c>
      <c r="F73">
        <f>MIN(Table3[[#This Row],[GWh/d '[capacity map']]:[GWh/d '[transparency map']]])*365</f>
        <v>167754</v>
      </c>
      <c r="G73">
        <f t="shared" si="2"/>
        <v>167.75399999999999</v>
      </c>
    </row>
    <row r="74" spans="1:7">
      <c r="A74" t="s">
        <v>48</v>
      </c>
      <c r="B74" t="s">
        <v>19</v>
      </c>
      <c r="C74">
        <v>2210.5639999999999</v>
      </c>
      <c r="D74">
        <v>1247</v>
      </c>
      <c r="F74">
        <f>MIN(Table3[[#This Row],[GWh/d '[capacity map']]:[GWh/d '[transparency map']]])*365</f>
        <v>455155</v>
      </c>
      <c r="G74">
        <f t="shared" si="2"/>
        <v>455.15499999999997</v>
      </c>
    </row>
    <row r="75" spans="1:7">
      <c r="A75" t="s">
        <v>48</v>
      </c>
      <c r="B75" t="s">
        <v>25</v>
      </c>
      <c r="C75">
        <v>570</v>
      </c>
      <c r="D75">
        <v>568.5</v>
      </c>
      <c r="F75">
        <f>MIN(Table3[[#This Row],[GWh/d '[capacity map']]:[GWh/d '[transparency map']]])*365</f>
        <v>207502.5</v>
      </c>
      <c r="G75">
        <f t="shared" si="2"/>
        <v>207.5025</v>
      </c>
    </row>
    <row r="76" spans="1:7">
      <c r="A76" t="s">
        <v>48</v>
      </c>
      <c r="B76" t="s">
        <v>18</v>
      </c>
      <c r="D76">
        <v>963.6</v>
      </c>
      <c r="F76">
        <f>MIN(Table3[[#This Row],[GWh/d '[capacity map']]:[GWh/d '[transparency map']]])*365</f>
        <v>351714</v>
      </c>
      <c r="G76">
        <f t="shared" si="2"/>
        <v>351.714</v>
      </c>
    </row>
    <row r="77" spans="1:7">
      <c r="A77" t="s">
        <v>48</v>
      </c>
      <c r="B77" t="s">
        <v>11</v>
      </c>
      <c r="C77">
        <v>1499.1</v>
      </c>
      <c r="D77">
        <v>1406</v>
      </c>
      <c r="F77">
        <f>MIN(Table3[[#This Row],[GWh/d '[capacity map']]:[GWh/d '[transparency map']]])*365</f>
        <v>513190</v>
      </c>
      <c r="G77">
        <f t="shared" si="2"/>
        <v>513.19000000000005</v>
      </c>
    </row>
    <row r="78" spans="1:7">
      <c r="A78" t="s">
        <v>27</v>
      </c>
      <c r="B78" t="s">
        <v>19</v>
      </c>
      <c r="C78">
        <v>931.6</v>
      </c>
      <c r="F78">
        <f>MIN(Table3[[#This Row],[GWh/d '[capacity map']]:[GWh/d '[transparency map']]])*365</f>
        <v>340034</v>
      </c>
      <c r="G78">
        <f t="shared" si="2"/>
        <v>340.03399999999999</v>
      </c>
    </row>
    <row r="79" spans="1:7">
      <c r="A79" t="s">
        <v>37</v>
      </c>
      <c r="B79" t="s">
        <v>36</v>
      </c>
      <c r="C79">
        <v>80</v>
      </c>
      <c r="F79">
        <f>MIN(Table3[[#This Row],[GWh/d '[capacity map']]:[GWh/d '[transparency map']]])*365</f>
        <v>29200</v>
      </c>
      <c r="G79">
        <f t="shared" si="2"/>
        <v>29.2</v>
      </c>
    </row>
    <row r="80" spans="1:7">
      <c r="A80" t="s">
        <v>33</v>
      </c>
      <c r="B80" t="s">
        <v>32</v>
      </c>
      <c r="C80">
        <v>805.75000000000011</v>
      </c>
      <c r="F80">
        <f>MIN(Table3[[#This Row],[GWh/d '[capacity map']]:[GWh/d '[transparency map']]])*365</f>
        <v>294098.75000000006</v>
      </c>
      <c r="G80">
        <f t="shared" si="2"/>
        <v>294.09875000000005</v>
      </c>
    </row>
    <row r="81" spans="1:8">
      <c r="A81" t="s">
        <v>33</v>
      </c>
      <c r="B81" t="s">
        <v>30</v>
      </c>
      <c r="C81">
        <v>50.3</v>
      </c>
      <c r="F81">
        <f>MIN(Table3[[#This Row],[GWh/d '[capacity map']]:[GWh/d '[transparency map']]])*365</f>
        <v>18359.5</v>
      </c>
      <c r="G81">
        <f t="shared" si="2"/>
        <v>18.359500000000001</v>
      </c>
    </row>
    <row r="82" spans="1:8">
      <c r="A82" t="s">
        <v>33</v>
      </c>
      <c r="B82" t="s">
        <v>39</v>
      </c>
      <c r="C82">
        <v>16.100000000000001</v>
      </c>
      <c r="E82">
        <v>55.7</v>
      </c>
      <c r="F82">
        <f>MIN(Table3[[#This Row],[GWh/d '[capacity map']]:[GWh/d '[transparency map']]])*365</f>
        <v>5876.5000000000009</v>
      </c>
      <c r="G82">
        <f t="shared" si="2"/>
        <v>5.8765000000000009</v>
      </c>
    </row>
    <row r="83" spans="1:8">
      <c r="A83" t="s">
        <v>33</v>
      </c>
      <c r="B83" t="s">
        <v>38</v>
      </c>
      <c r="C83">
        <v>122.2</v>
      </c>
      <c r="F83">
        <f>MIN(Table3[[#This Row],[GWh/d '[capacity map']]:[GWh/d '[transparency map']]])*365</f>
        <v>44603</v>
      </c>
      <c r="G83">
        <f t="shared" si="2"/>
        <v>44.603000000000002</v>
      </c>
    </row>
    <row r="84" spans="1:8">
      <c r="A84" t="s">
        <v>31</v>
      </c>
      <c r="B84" t="s">
        <v>44</v>
      </c>
      <c r="C84">
        <v>17.98</v>
      </c>
      <c r="F84">
        <f>MIN(Table3[[#This Row],[GWh/d '[capacity map']]:[GWh/d '[transparency map']]])*365</f>
        <v>6562.7</v>
      </c>
      <c r="G84">
        <f t="shared" si="2"/>
        <v>6.5626999999999995</v>
      </c>
    </row>
    <row r="85" spans="1:8">
      <c r="A85" t="s">
        <v>31</v>
      </c>
      <c r="B85" t="s">
        <v>32</v>
      </c>
      <c r="C85">
        <v>335.26</v>
      </c>
      <c r="F85">
        <f>MIN(Table3[[#This Row],[GWh/d '[capacity map']]:[GWh/d '[transparency map']]])*365</f>
        <v>122369.9</v>
      </c>
      <c r="G85">
        <f t="shared" si="2"/>
        <v>122.3699</v>
      </c>
    </row>
    <row r="86" spans="1:8">
      <c r="A86" t="s">
        <v>31</v>
      </c>
      <c r="B86" t="s">
        <v>30</v>
      </c>
      <c r="D86">
        <v>245.8</v>
      </c>
      <c r="F86">
        <f>MIN(Table3[[#This Row],[GWh/d '[capacity map']]:[GWh/d '[transparency map']]])*365</f>
        <v>89717</v>
      </c>
      <c r="G86">
        <f t="shared" si="2"/>
        <v>89.716999999999999</v>
      </c>
    </row>
    <row r="87" spans="1:8">
      <c r="A87" t="s">
        <v>40</v>
      </c>
      <c r="B87" t="s">
        <v>52</v>
      </c>
      <c r="C87">
        <v>1203.4999999999998</v>
      </c>
      <c r="F87">
        <f>MIN(Table3[[#This Row],[GWh/d '[capacity map']]:[GWh/d '[transparency map']]])*365</f>
        <v>439277.49999999994</v>
      </c>
      <c r="G87">
        <f t="shared" si="2"/>
        <v>439.27749999999992</v>
      </c>
    </row>
    <row r="88" spans="1:8">
      <c r="A88" t="s">
        <v>40</v>
      </c>
      <c r="B88" t="s">
        <v>19</v>
      </c>
      <c r="C88">
        <v>1742</v>
      </c>
      <c r="D88">
        <v>1406</v>
      </c>
      <c r="F88">
        <f>MIN(Table3[[#This Row],[GWh/d '[capacity map']]:[GWh/d '[transparency map']]])*365</f>
        <v>513190</v>
      </c>
      <c r="G88">
        <f t="shared" si="2"/>
        <v>513.19000000000005</v>
      </c>
    </row>
    <row r="89" spans="1:8">
      <c r="A89" t="s">
        <v>40</v>
      </c>
      <c r="B89" t="s">
        <v>54</v>
      </c>
      <c r="C89">
        <v>220</v>
      </c>
      <c r="D89">
        <v>220</v>
      </c>
      <c r="F89">
        <f>MIN(Table3[[#This Row],[GWh/d '[capacity map']]:[GWh/d '[transparency map']]])*365</f>
        <v>80300</v>
      </c>
      <c r="G89">
        <f t="shared" si="2"/>
        <v>80.3</v>
      </c>
    </row>
    <row r="90" spans="1:8">
      <c r="A90" t="s">
        <v>40</v>
      </c>
      <c r="B90" t="s">
        <v>35</v>
      </c>
      <c r="C90">
        <v>168</v>
      </c>
      <c r="D90">
        <v>168</v>
      </c>
      <c r="F90">
        <f>MIN(Table3[[#This Row],[GWh/d '[capacity map']]:[GWh/d '[transparency map']]])*365</f>
        <v>61320</v>
      </c>
      <c r="G90">
        <f t="shared" si="2"/>
        <v>61.32</v>
      </c>
    </row>
    <row r="91" spans="1:8">
      <c r="A91" t="s">
        <v>40</v>
      </c>
      <c r="B91" t="s">
        <v>46</v>
      </c>
      <c r="E91">
        <v>958.9</v>
      </c>
      <c r="F91">
        <f>MIN(Table3[[#This Row],[GWh/d '[capacity map']]:[GWh/d '[transparency map']]])*365</f>
        <v>349998.5</v>
      </c>
      <c r="G91">
        <f t="shared" si="2"/>
        <v>349.99849999999998</v>
      </c>
      <c r="H91" t="s">
        <v>141</v>
      </c>
    </row>
    <row r="92" spans="1:8">
      <c r="A92" t="s">
        <v>40</v>
      </c>
      <c r="B92" t="s">
        <v>38</v>
      </c>
      <c r="D92">
        <v>1334</v>
      </c>
      <c r="E92">
        <v>5459.5088498999994</v>
      </c>
      <c r="F92">
        <f>MIN(Table3[[#This Row],[GWh/d '[capacity map']]:[GWh/d '[transparency map']]])*365</f>
        <v>486910</v>
      </c>
      <c r="G92">
        <f t="shared" si="2"/>
        <v>486.91</v>
      </c>
    </row>
    <row r="93" spans="1:8">
      <c r="A93" t="s">
        <v>23</v>
      </c>
      <c r="B93" t="s">
        <v>24</v>
      </c>
      <c r="C93">
        <v>53.7</v>
      </c>
      <c r="F93">
        <f>MIN(Table3[[#This Row],[GWh/d '[capacity map']]:[GWh/d '[transparency map']]])*365</f>
        <v>19600.5</v>
      </c>
      <c r="G93">
        <f t="shared" si="2"/>
        <v>19.6005</v>
      </c>
    </row>
    <row r="94" spans="1:8">
      <c r="A94" t="s">
        <v>23</v>
      </c>
      <c r="B94" t="s">
        <v>21</v>
      </c>
      <c r="C94">
        <v>21.5</v>
      </c>
      <c r="F94">
        <f>MIN(Table3[[#This Row],[GWh/d '[capacity map']]:[GWh/d '[transparency map']]])*365</f>
        <v>7847.5</v>
      </c>
      <c r="G94">
        <f t="shared" si="2"/>
        <v>7.8475000000000001</v>
      </c>
    </row>
    <row r="95" spans="1:8">
      <c r="A95" t="s">
        <v>29</v>
      </c>
      <c r="B95" t="s">
        <v>20</v>
      </c>
      <c r="C95">
        <v>1570.4</v>
      </c>
      <c r="F95">
        <f>MIN(Table3[[#This Row],[GWh/d '[capacity map']]:[GWh/d '[transparency map']]])*365</f>
        <v>573196</v>
      </c>
      <c r="G95">
        <f t="shared" si="2"/>
        <v>573.19600000000003</v>
      </c>
    </row>
    <row r="96" spans="1:8">
      <c r="A96" t="s">
        <v>29</v>
      </c>
      <c r="B96" t="s">
        <v>28</v>
      </c>
      <c r="C96">
        <v>457.6</v>
      </c>
      <c r="F96">
        <f>MIN(Table3[[#This Row],[GWh/d '[capacity map']]:[GWh/d '[transparency map']]])*365</f>
        <v>167024</v>
      </c>
      <c r="G96">
        <f t="shared" ref="G96:G109" si="3">F96/1000</f>
        <v>167.024</v>
      </c>
    </row>
    <row r="97" spans="1:7">
      <c r="A97" t="s">
        <v>29</v>
      </c>
      <c r="B97" t="s">
        <v>30</v>
      </c>
      <c r="C97">
        <v>128.9</v>
      </c>
      <c r="F97">
        <f>MIN(Table3[[#This Row],[GWh/d '[capacity map']]:[GWh/d '[transparency map']]])*365</f>
        <v>47048.5</v>
      </c>
      <c r="G97">
        <f t="shared" si="3"/>
        <v>47.048499999999997</v>
      </c>
    </row>
    <row r="98" spans="1:7">
      <c r="A98" t="s">
        <v>29</v>
      </c>
      <c r="B98" t="s">
        <v>38</v>
      </c>
      <c r="C98">
        <v>416</v>
      </c>
      <c r="D98">
        <v>280.8</v>
      </c>
      <c r="F98">
        <f>MIN(Table3[[#This Row],[GWh/d '[capacity map']]:[GWh/d '[transparency map']]])*365</f>
        <v>102492</v>
      </c>
      <c r="G98">
        <f t="shared" si="3"/>
        <v>102.492</v>
      </c>
    </row>
    <row r="99" spans="1:7">
      <c r="A99" t="s">
        <v>50</v>
      </c>
      <c r="B99" t="s">
        <v>21</v>
      </c>
      <c r="C99">
        <v>1138.0999999999999</v>
      </c>
      <c r="D99">
        <v>1154</v>
      </c>
      <c r="F99">
        <f>MIN(Table3[[#This Row],[GWh/d '[capacity map']]:[GWh/d '[transparency map']]])*365</f>
        <v>415406.49999999994</v>
      </c>
      <c r="G99">
        <f t="shared" si="3"/>
        <v>415.40649999999994</v>
      </c>
    </row>
    <row r="100" spans="1:7">
      <c r="A100" t="s">
        <v>46</v>
      </c>
      <c r="B100" t="s">
        <v>32</v>
      </c>
      <c r="C100">
        <v>576.03</v>
      </c>
      <c r="D100">
        <v>701.8</v>
      </c>
      <c r="F100">
        <f>MIN(Table3[[#This Row],[GWh/d '[capacity map']]:[GWh/d '[transparency map']]])*365</f>
        <v>210250.94999999998</v>
      </c>
      <c r="G100">
        <f t="shared" si="3"/>
        <v>210.25094999999999</v>
      </c>
    </row>
    <row r="101" spans="1:7">
      <c r="A101" t="s">
        <v>46</v>
      </c>
      <c r="B101" t="s">
        <v>264</v>
      </c>
      <c r="C101">
        <v>398.6</v>
      </c>
      <c r="D101">
        <v>395</v>
      </c>
      <c r="F101">
        <f>MIN(Table3[[#This Row],[GWh/d '[capacity map']]:[GWh/d '[transparency map']]])*365</f>
        <v>144175</v>
      </c>
      <c r="G101">
        <f t="shared" si="3"/>
        <v>144.17500000000001</v>
      </c>
    </row>
    <row r="102" spans="1:7">
      <c r="A102" t="s">
        <v>38</v>
      </c>
      <c r="B102" t="s">
        <v>30</v>
      </c>
      <c r="C102">
        <v>515.6</v>
      </c>
      <c r="D102">
        <v>517.5</v>
      </c>
      <c r="F102">
        <f>MIN(Table3[[#This Row],[GWh/d '[capacity map']]:[GWh/d '[transparency map']]])*365</f>
        <v>188194</v>
      </c>
      <c r="G102">
        <f t="shared" si="3"/>
        <v>188.19399999999999</v>
      </c>
    </row>
    <row r="103" spans="1:7">
      <c r="A103" t="s">
        <v>38</v>
      </c>
      <c r="B103" t="s">
        <v>39</v>
      </c>
      <c r="E103">
        <v>255.46047452000005</v>
      </c>
      <c r="F103">
        <f>MIN(Table3[[#This Row],[GWh/d '[capacity map']]:[GWh/d '[transparency map']]])*365</f>
        <v>93243.073199800012</v>
      </c>
      <c r="G103">
        <f t="shared" si="3"/>
        <v>93.243073199800008</v>
      </c>
    </row>
    <row r="104" spans="1:7">
      <c r="A104" t="s">
        <v>38</v>
      </c>
      <c r="B104" t="s">
        <v>27</v>
      </c>
      <c r="C104">
        <v>135.6</v>
      </c>
      <c r="D104">
        <v>135.6</v>
      </c>
      <c r="F104">
        <f>MIN(Table3[[#This Row],[GWh/d '[capacity map']]:[GWh/d '[transparency map']]])*365</f>
        <v>49494</v>
      </c>
      <c r="G104">
        <f t="shared" si="3"/>
        <v>49.494</v>
      </c>
    </row>
    <row r="105" spans="1:7">
      <c r="A105" t="s">
        <v>38</v>
      </c>
      <c r="B105" t="s">
        <v>33</v>
      </c>
      <c r="C105">
        <v>1163.4000000000001</v>
      </c>
      <c r="D105">
        <v>201.6</v>
      </c>
      <c r="F105">
        <f>MIN(Table3[[#This Row],[GWh/d '[capacity map']]:[GWh/d '[transparency map']]])*365</f>
        <v>73584</v>
      </c>
      <c r="G105">
        <f t="shared" si="3"/>
        <v>73.584000000000003</v>
      </c>
    </row>
    <row r="106" spans="1:7">
      <c r="A106" t="s">
        <v>38</v>
      </c>
      <c r="B106" t="s">
        <v>29</v>
      </c>
      <c r="C106">
        <v>2277.6</v>
      </c>
      <c r="D106">
        <f>1799+436.8</f>
        <v>2235.8000000000002</v>
      </c>
      <c r="F106">
        <f>MIN(Table3[[#This Row],[GWh/d '[capacity map']]:[GWh/d '[transparency map']]])*365</f>
        <v>816067.00000000012</v>
      </c>
      <c r="G106">
        <f t="shared" si="3"/>
        <v>816.06700000000012</v>
      </c>
    </row>
    <row r="107" spans="1:7">
      <c r="A107" t="s">
        <v>11</v>
      </c>
      <c r="B107" t="s">
        <v>17</v>
      </c>
      <c r="D107">
        <v>227.2</v>
      </c>
      <c r="F107">
        <f>MIN(Table3[[#This Row],[GWh/d '[capacity map']]:[GWh/d '[transparency map']]])*365</f>
        <v>82928</v>
      </c>
      <c r="G107">
        <f t="shared" si="3"/>
        <v>82.927999999999997</v>
      </c>
    </row>
    <row r="108" spans="1:7">
      <c r="A108" t="s">
        <v>11</v>
      </c>
      <c r="B108" t="s">
        <v>43</v>
      </c>
      <c r="C108">
        <v>386.9</v>
      </c>
      <c r="D108">
        <v>385</v>
      </c>
      <c r="F108">
        <f>MIN(Table3[[#This Row],[GWh/d '[capacity map']]:[GWh/d '[transparency map']]])*365</f>
        <v>140525</v>
      </c>
      <c r="G108">
        <f t="shared" si="3"/>
        <v>140.52500000000001</v>
      </c>
    </row>
    <row r="109" spans="1:7">
      <c r="A109" t="s">
        <v>11</v>
      </c>
      <c r="B109" t="s">
        <v>18</v>
      </c>
      <c r="C109">
        <v>494.4</v>
      </c>
      <c r="D109">
        <v>184.8</v>
      </c>
      <c r="F109">
        <f>MIN(Table3[[#This Row],[GWh/d '[capacity map']]:[GWh/d '[transparency map']]])*365</f>
        <v>67452</v>
      </c>
      <c r="G109">
        <f t="shared" si="3"/>
        <v>67.451999999999998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DC53-AE01-4DBE-BF9B-43427CD51EF0}">
  <dimension ref="A1:F37"/>
  <sheetViews>
    <sheetView topLeftCell="A8" workbookViewId="0">
      <selection activeCell="O22" sqref="O22"/>
    </sheetView>
  </sheetViews>
  <sheetFormatPr defaultRowHeight="14.5"/>
  <sheetData>
    <row r="1" spans="1:5">
      <c r="A1" t="s">
        <v>92</v>
      </c>
      <c r="B1" t="s">
        <v>93</v>
      </c>
      <c r="C1" t="s">
        <v>94</v>
      </c>
      <c r="D1" t="s">
        <v>105</v>
      </c>
      <c r="E1" t="s">
        <v>106</v>
      </c>
    </row>
    <row r="2" spans="1:5">
      <c r="A2" t="s">
        <v>40</v>
      </c>
      <c r="B2" t="s">
        <v>38</v>
      </c>
      <c r="C2">
        <v>1334</v>
      </c>
      <c r="D2">
        <f>C2*365</f>
        <v>486910</v>
      </c>
      <c r="E2">
        <f>D2/1000</f>
        <v>486.91</v>
      </c>
    </row>
    <row r="3" spans="1:5">
      <c r="A3" t="s">
        <v>172</v>
      </c>
      <c r="B3" t="s">
        <v>46</v>
      </c>
      <c r="C3">
        <v>395</v>
      </c>
      <c r="D3">
        <f t="shared" ref="D3:D30" si="0">C3*365</f>
        <v>144175</v>
      </c>
      <c r="E3">
        <f t="shared" ref="E3:E30" si="1">D3/1000</f>
        <v>144.17500000000001</v>
      </c>
    </row>
    <row r="4" spans="1:5">
      <c r="A4" t="s">
        <v>38</v>
      </c>
      <c r="B4" t="s">
        <v>27</v>
      </c>
      <c r="C4">
        <v>135.6</v>
      </c>
      <c r="D4">
        <f t="shared" si="0"/>
        <v>49494</v>
      </c>
      <c r="E4">
        <f t="shared" si="1"/>
        <v>49.494</v>
      </c>
    </row>
    <row r="5" spans="1:5">
      <c r="A5" t="s">
        <v>38</v>
      </c>
      <c r="B5" t="s">
        <v>29</v>
      </c>
      <c r="C5">
        <f>1799+436.8</f>
        <v>2235.8000000000002</v>
      </c>
      <c r="D5">
        <f t="shared" si="0"/>
        <v>816067.00000000012</v>
      </c>
      <c r="E5">
        <f t="shared" si="1"/>
        <v>816.06700000000012</v>
      </c>
    </row>
    <row r="6" spans="1:5">
      <c r="A6" t="s">
        <v>38</v>
      </c>
      <c r="B6" t="s">
        <v>30</v>
      </c>
      <c r="C6">
        <v>517.5</v>
      </c>
      <c r="D6">
        <f t="shared" si="0"/>
        <v>188887.5</v>
      </c>
      <c r="E6">
        <f t="shared" si="1"/>
        <v>188.88749999999999</v>
      </c>
    </row>
    <row r="7" spans="1:5">
      <c r="A7" t="s">
        <v>31</v>
      </c>
      <c r="B7" t="s">
        <v>30</v>
      </c>
      <c r="C7">
        <v>245.8</v>
      </c>
      <c r="D7">
        <f t="shared" si="0"/>
        <v>89717</v>
      </c>
      <c r="E7">
        <f t="shared" si="1"/>
        <v>89.716999999999999</v>
      </c>
    </row>
    <row r="8" spans="1:5">
      <c r="A8" t="s">
        <v>32</v>
      </c>
      <c r="B8" t="s">
        <v>31</v>
      </c>
      <c r="C8">
        <v>467.5</v>
      </c>
      <c r="D8">
        <f t="shared" si="0"/>
        <v>170637.5</v>
      </c>
      <c r="E8">
        <f t="shared" si="1"/>
        <v>170.63749999999999</v>
      </c>
    </row>
    <row r="9" spans="1:5">
      <c r="A9" t="s">
        <v>32</v>
      </c>
      <c r="B9" t="s">
        <v>45</v>
      </c>
      <c r="C9">
        <v>33.380000000000003</v>
      </c>
      <c r="D9">
        <f t="shared" si="0"/>
        <v>12183.7</v>
      </c>
      <c r="E9">
        <f t="shared" si="1"/>
        <v>12.1837</v>
      </c>
    </row>
    <row r="10" spans="1:5">
      <c r="A10" t="s">
        <v>46</v>
      </c>
      <c r="B10" t="s">
        <v>32</v>
      </c>
      <c r="C10">
        <v>701.8</v>
      </c>
      <c r="D10">
        <f t="shared" si="0"/>
        <v>256156.99999999997</v>
      </c>
      <c r="E10">
        <f t="shared" si="1"/>
        <v>256.15699999999998</v>
      </c>
    </row>
    <row r="11" spans="1:5">
      <c r="A11" t="s">
        <v>40</v>
      </c>
      <c r="B11" t="s">
        <v>35</v>
      </c>
      <c r="C11">
        <v>168</v>
      </c>
      <c r="D11">
        <f t="shared" si="0"/>
        <v>61320</v>
      </c>
      <c r="E11">
        <f t="shared" si="1"/>
        <v>61.32</v>
      </c>
    </row>
    <row r="12" spans="1:5">
      <c r="A12" t="s">
        <v>40</v>
      </c>
      <c r="B12" t="s">
        <v>54</v>
      </c>
      <c r="C12">
        <v>220</v>
      </c>
      <c r="D12">
        <f t="shared" si="0"/>
        <v>80300</v>
      </c>
      <c r="E12">
        <f t="shared" si="1"/>
        <v>80.3</v>
      </c>
    </row>
    <row r="13" spans="1:5">
      <c r="A13" t="s">
        <v>51</v>
      </c>
      <c r="B13" t="s">
        <v>21</v>
      </c>
      <c r="C13">
        <v>493.7</v>
      </c>
      <c r="D13">
        <f t="shared" si="0"/>
        <v>180200.5</v>
      </c>
      <c r="E13">
        <f t="shared" si="1"/>
        <v>180.20050000000001</v>
      </c>
    </row>
    <row r="14" spans="1:5">
      <c r="A14" t="s">
        <v>50</v>
      </c>
      <c r="B14" t="s">
        <v>21</v>
      </c>
      <c r="C14">
        <v>1154</v>
      </c>
      <c r="D14">
        <f t="shared" si="0"/>
        <v>421210</v>
      </c>
      <c r="E14">
        <f t="shared" si="1"/>
        <v>421.21</v>
      </c>
    </row>
    <row r="15" spans="1:5">
      <c r="A15" t="s">
        <v>49</v>
      </c>
      <c r="B15" t="s">
        <v>36</v>
      </c>
      <c r="C15">
        <v>337.1</v>
      </c>
      <c r="D15">
        <f t="shared" si="0"/>
        <v>123041.50000000001</v>
      </c>
      <c r="E15">
        <f t="shared" si="1"/>
        <v>123.04150000000001</v>
      </c>
    </row>
    <row r="16" spans="1:5">
      <c r="A16" t="s">
        <v>96</v>
      </c>
      <c r="B16" t="s">
        <v>36</v>
      </c>
      <c r="C16">
        <v>442.8</v>
      </c>
      <c r="D16">
        <f t="shared" si="0"/>
        <v>161622</v>
      </c>
      <c r="E16">
        <f t="shared" si="1"/>
        <v>161.62200000000001</v>
      </c>
    </row>
    <row r="17" spans="1:6">
      <c r="A17" t="s">
        <v>48</v>
      </c>
      <c r="B17" t="s">
        <v>19</v>
      </c>
      <c r="C17">
        <v>1247</v>
      </c>
      <c r="D17">
        <f t="shared" si="0"/>
        <v>455155</v>
      </c>
      <c r="E17">
        <f t="shared" si="1"/>
        <v>455.15499999999997</v>
      </c>
    </row>
    <row r="18" spans="1:6">
      <c r="A18" t="s">
        <v>48</v>
      </c>
      <c r="B18" t="s">
        <v>18</v>
      </c>
      <c r="C18">
        <v>963.6</v>
      </c>
      <c r="D18">
        <f t="shared" si="0"/>
        <v>351714</v>
      </c>
      <c r="E18">
        <f t="shared" si="1"/>
        <v>351.714</v>
      </c>
    </row>
    <row r="19" spans="1:6">
      <c r="A19" t="s">
        <v>48</v>
      </c>
      <c r="B19" t="s">
        <v>17</v>
      </c>
      <c r="C19">
        <v>459.6</v>
      </c>
      <c r="D19">
        <f t="shared" si="0"/>
        <v>167754</v>
      </c>
      <c r="E19">
        <f t="shared" si="1"/>
        <v>167.75399999999999</v>
      </c>
    </row>
    <row r="20" spans="1:6">
      <c r="A20" t="s">
        <v>48</v>
      </c>
      <c r="B20" t="s">
        <v>25</v>
      </c>
      <c r="C20">
        <v>568.5</v>
      </c>
      <c r="D20">
        <f t="shared" si="0"/>
        <v>207502.5</v>
      </c>
      <c r="E20">
        <f t="shared" si="1"/>
        <v>207.5025</v>
      </c>
    </row>
    <row r="21" spans="1:6">
      <c r="A21" t="s">
        <v>48</v>
      </c>
      <c r="B21" t="s">
        <v>11</v>
      </c>
      <c r="C21">
        <v>1406</v>
      </c>
      <c r="D21">
        <f t="shared" si="0"/>
        <v>513190</v>
      </c>
      <c r="E21">
        <f t="shared" si="1"/>
        <v>513.19000000000005</v>
      </c>
    </row>
    <row r="22" spans="1:6">
      <c r="A22" t="s">
        <v>11</v>
      </c>
      <c r="B22" t="s">
        <v>97</v>
      </c>
      <c r="C22">
        <v>385</v>
      </c>
      <c r="D22">
        <f t="shared" si="0"/>
        <v>140525</v>
      </c>
      <c r="E22">
        <f t="shared" si="1"/>
        <v>140.52500000000001</v>
      </c>
    </row>
    <row r="23" spans="1:6">
      <c r="A23" s="4" t="s">
        <v>11</v>
      </c>
      <c r="B23" s="4" t="s">
        <v>17</v>
      </c>
      <c r="C23" s="4">
        <v>227.2</v>
      </c>
      <c r="D23" s="4">
        <f t="shared" si="0"/>
        <v>82928</v>
      </c>
      <c r="E23" s="4">
        <f t="shared" si="1"/>
        <v>82.927999999999997</v>
      </c>
    </row>
    <row r="24" spans="1:6">
      <c r="A24" s="4" t="s">
        <v>11</v>
      </c>
      <c r="B24" s="4" t="s">
        <v>18</v>
      </c>
      <c r="C24" s="4">
        <v>184.8</v>
      </c>
      <c r="D24" s="4">
        <f t="shared" si="0"/>
        <v>67452</v>
      </c>
      <c r="E24" s="4">
        <f t="shared" si="1"/>
        <v>67.451999999999998</v>
      </c>
    </row>
    <row r="25" spans="1:6">
      <c r="A25" t="s">
        <v>41</v>
      </c>
      <c r="B25" t="s">
        <v>21</v>
      </c>
      <c r="C25">
        <v>549.9</v>
      </c>
      <c r="D25">
        <f t="shared" si="0"/>
        <v>200713.5</v>
      </c>
      <c r="E25">
        <f t="shared" si="1"/>
        <v>200.71350000000001</v>
      </c>
    </row>
    <row r="26" spans="1:6">
      <c r="A26" t="s">
        <v>264</v>
      </c>
      <c r="B26" t="s">
        <v>41</v>
      </c>
      <c r="C26">
        <v>549.9</v>
      </c>
      <c r="D26">
        <f t="shared" si="0"/>
        <v>200713.5</v>
      </c>
      <c r="E26">
        <f t="shared" si="1"/>
        <v>200.71350000000001</v>
      </c>
    </row>
    <row r="27" spans="1:6">
      <c r="A27" t="s">
        <v>46</v>
      </c>
      <c r="B27" t="s">
        <v>264</v>
      </c>
      <c r="C27">
        <v>395</v>
      </c>
      <c r="D27">
        <f t="shared" si="0"/>
        <v>144175</v>
      </c>
      <c r="E27">
        <f t="shared" si="1"/>
        <v>144.17500000000001</v>
      </c>
    </row>
    <row r="28" spans="1:6">
      <c r="A28" t="s">
        <v>49</v>
      </c>
      <c r="B28" t="s">
        <v>96</v>
      </c>
      <c r="C28">
        <f>C15</f>
        <v>337.1</v>
      </c>
      <c r="D28">
        <f t="shared" si="0"/>
        <v>123041.50000000001</v>
      </c>
      <c r="E28">
        <f t="shared" si="1"/>
        <v>123.04150000000001</v>
      </c>
      <c r="F28" t="s">
        <v>123</v>
      </c>
    </row>
    <row r="29" spans="1:6">
      <c r="A29" t="s">
        <v>49</v>
      </c>
      <c r="B29" t="s">
        <v>50</v>
      </c>
      <c r="C29">
        <v>1154</v>
      </c>
      <c r="D29">
        <f t="shared" si="0"/>
        <v>421210</v>
      </c>
      <c r="E29">
        <f t="shared" si="1"/>
        <v>421.21</v>
      </c>
      <c r="F29" t="s">
        <v>124</v>
      </c>
    </row>
    <row r="30" spans="1:6">
      <c r="A30" t="s">
        <v>26</v>
      </c>
      <c r="B30" t="s">
        <v>82</v>
      </c>
      <c r="C30">
        <v>41</v>
      </c>
      <c r="D30">
        <f t="shared" si="0"/>
        <v>14965</v>
      </c>
      <c r="E30">
        <f t="shared" si="1"/>
        <v>14.965</v>
      </c>
      <c r="F30" t="s">
        <v>125</v>
      </c>
    </row>
    <row r="31" spans="1:6">
      <c r="A31" t="s">
        <v>40</v>
      </c>
      <c r="B31" t="s">
        <v>52</v>
      </c>
      <c r="F31" t="s">
        <v>126</v>
      </c>
    </row>
    <row r="33" spans="1:6">
      <c r="A33" t="s">
        <v>48</v>
      </c>
      <c r="B33" t="s">
        <v>26</v>
      </c>
      <c r="C33">
        <v>321.89999999999998</v>
      </c>
      <c r="D33">
        <f t="shared" ref="D33:D34" si="2">C33*365</f>
        <v>117493.49999999999</v>
      </c>
      <c r="E33">
        <f t="shared" ref="E33:E34" si="3">D33/1000</f>
        <v>117.49349999999998</v>
      </c>
      <c r="F33" t="s">
        <v>98</v>
      </c>
    </row>
    <row r="34" spans="1:6">
      <c r="A34" t="s">
        <v>26</v>
      </c>
      <c r="B34" t="s">
        <v>27</v>
      </c>
      <c r="C34">
        <v>321.89999999999998</v>
      </c>
      <c r="D34">
        <f t="shared" si="2"/>
        <v>117493.49999999999</v>
      </c>
      <c r="E34">
        <f t="shared" si="3"/>
        <v>117.49349999999998</v>
      </c>
      <c r="F34" t="s">
        <v>98</v>
      </c>
    </row>
    <row r="37" spans="1:6">
      <c r="A37" t="s">
        <v>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B708-6819-43AD-B444-2B653F840206}">
  <dimension ref="A1:H116"/>
  <sheetViews>
    <sheetView topLeftCell="A70" workbookViewId="0">
      <selection activeCell="I73" sqref="I73"/>
    </sheetView>
  </sheetViews>
  <sheetFormatPr defaultRowHeight="14.5"/>
  <cols>
    <col min="3" max="3" width="20.453125" customWidth="1"/>
    <col min="4" max="4" width="17.1796875" customWidth="1"/>
    <col min="5" max="5" width="16.1796875" customWidth="1"/>
    <col min="6" max="6" width="8.81640625" customWidth="1"/>
    <col min="11" max="12" width="10.1796875" customWidth="1"/>
  </cols>
  <sheetData>
    <row r="1" spans="1:8">
      <c r="A1" t="s">
        <v>92</v>
      </c>
      <c r="B1" t="s">
        <v>93</v>
      </c>
      <c r="C1" t="s">
        <v>138</v>
      </c>
      <c r="D1" t="s">
        <v>139</v>
      </c>
      <c r="E1" t="s">
        <v>140</v>
      </c>
      <c r="F1" t="s">
        <v>105</v>
      </c>
      <c r="G1" t="s">
        <v>106</v>
      </c>
      <c r="H1" t="s">
        <v>142</v>
      </c>
    </row>
    <row r="2" spans="1:8">
      <c r="A2" t="s">
        <v>41</v>
      </c>
      <c r="B2" t="s">
        <v>21</v>
      </c>
      <c r="C2">
        <v>494.33</v>
      </c>
      <c r="F2">
        <f>MIN(Table37[[#This Row],[GWh/d '[capacity map']]:[GWh/d '[transparency map']]])*365</f>
        <v>180430.44999999998</v>
      </c>
      <c r="G2">
        <f t="shared" ref="G2:G32" si="0">F2/1000</f>
        <v>180.43044999999998</v>
      </c>
    </row>
    <row r="3" spans="1:8">
      <c r="A3" t="s">
        <v>20</v>
      </c>
      <c r="B3" t="s">
        <v>19</v>
      </c>
      <c r="C3">
        <v>797.93600000000004</v>
      </c>
      <c r="F3">
        <f>MIN(Table37[[#This Row],[GWh/d '[capacity map']]:[GWh/d '[transparency map']]])*365</f>
        <v>291246.64</v>
      </c>
      <c r="G3">
        <f t="shared" si="0"/>
        <v>291.24664000000001</v>
      </c>
    </row>
    <row r="4" spans="1:8">
      <c r="A4" t="s">
        <v>20</v>
      </c>
      <c r="B4" t="s">
        <v>30</v>
      </c>
      <c r="C4">
        <v>153.08000000000001</v>
      </c>
      <c r="F4">
        <f>MIN(Table37[[#This Row],[GWh/d '[capacity map']]:[GWh/d '[transparency map']]])*365</f>
        <v>55874.200000000004</v>
      </c>
      <c r="G4">
        <f t="shared" si="0"/>
        <v>55.874200000000002</v>
      </c>
    </row>
    <row r="5" spans="1:8">
      <c r="A5" t="s">
        <v>20</v>
      </c>
      <c r="B5" t="s">
        <v>21</v>
      </c>
      <c r="C5">
        <v>1176.1099999999999</v>
      </c>
      <c r="F5">
        <f>MIN(Table37[[#This Row],[GWh/d '[capacity map']]:[GWh/d '[transparency map']]])*365</f>
        <v>429280.14999999997</v>
      </c>
      <c r="G5">
        <f t="shared" si="0"/>
        <v>429.28014999999999</v>
      </c>
    </row>
    <row r="6" spans="1:8">
      <c r="A6" t="s">
        <v>20</v>
      </c>
      <c r="B6" t="s">
        <v>23</v>
      </c>
      <c r="C6">
        <v>112.5</v>
      </c>
      <c r="F6">
        <f>MIN(Table37[[#This Row],[GWh/d '[capacity map']]:[GWh/d '[transparency map']]])*365</f>
        <v>41062.5</v>
      </c>
      <c r="G6">
        <f t="shared" si="0"/>
        <v>41.0625</v>
      </c>
    </row>
    <row r="7" spans="1:8">
      <c r="A7" t="s">
        <v>20</v>
      </c>
      <c r="B7" t="s">
        <v>29</v>
      </c>
      <c r="C7">
        <v>384.8</v>
      </c>
      <c r="F7">
        <f>MIN(Table37[[#This Row],[GWh/d '[capacity map']]:[GWh/d '[transparency map']]])*365</f>
        <v>140452</v>
      </c>
      <c r="G7">
        <f t="shared" si="0"/>
        <v>140.452</v>
      </c>
    </row>
    <row r="8" spans="1:8">
      <c r="A8" t="s">
        <v>17</v>
      </c>
      <c r="B8" t="s">
        <v>19</v>
      </c>
      <c r="C8">
        <v>542</v>
      </c>
      <c r="F8">
        <f>MIN(Table37[[#This Row],[GWh/d '[capacity map']]:[GWh/d '[transparency map']]])*365</f>
        <v>197830</v>
      </c>
      <c r="G8">
        <f t="shared" si="0"/>
        <v>197.83</v>
      </c>
    </row>
    <row r="9" spans="1:8">
      <c r="A9" t="s">
        <v>17</v>
      </c>
      <c r="B9" t="s">
        <v>25</v>
      </c>
      <c r="C9">
        <v>530</v>
      </c>
      <c r="F9">
        <f>MIN(Table37[[#This Row],[GWh/d '[capacity map']]:[GWh/d '[transparency map']]])*365</f>
        <v>193450</v>
      </c>
      <c r="G9">
        <f t="shared" si="0"/>
        <v>193.45</v>
      </c>
    </row>
    <row r="10" spans="1:8">
      <c r="A10" t="s">
        <v>17</v>
      </c>
      <c r="B10" t="s">
        <v>42</v>
      </c>
      <c r="C10">
        <v>48.8</v>
      </c>
      <c r="E10">
        <v>41.973541999999995</v>
      </c>
      <c r="F10">
        <f>MIN(Table37[[#This Row],[GWh/d '[capacity map']]:[GWh/d '[transparency map']]])*365</f>
        <v>15320.342829999998</v>
      </c>
      <c r="G10">
        <f t="shared" si="0"/>
        <v>15.320342829999998</v>
      </c>
    </row>
    <row r="11" spans="1:8">
      <c r="A11" t="s">
        <v>17</v>
      </c>
      <c r="B11" t="s">
        <v>18</v>
      </c>
      <c r="C11">
        <v>428</v>
      </c>
      <c r="F11">
        <f>MIN(Table37[[#This Row],[GWh/d '[capacity map']]:[GWh/d '[transparency map']]])*365</f>
        <v>156220</v>
      </c>
      <c r="G11">
        <f t="shared" si="0"/>
        <v>156.22</v>
      </c>
    </row>
    <row r="12" spans="1:8">
      <c r="A12" t="s">
        <v>17</v>
      </c>
      <c r="B12" t="s">
        <v>11</v>
      </c>
      <c r="C12">
        <v>803.4</v>
      </c>
      <c r="D12">
        <v>205.9</v>
      </c>
      <c r="F12">
        <f>MIN(Table37[[#This Row],[GWh/d '[capacity map']]:[GWh/d '[transparency map']]])*365</f>
        <v>75153.5</v>
      </c>
      <c r="G12">
        <f t="shared" si="0"/>
        <v>75.153499999999994</v>
      </c>
    </row>
    <row r="13" spans="1:8">
      <c r="A13" t="s">
        <v>32</v>
      </c>
      <c r="B13" t="s">
        <v>264</v>
      </c>
      <c r="C13">
        <v>120.36</v>
      </c>
      <c r="F13">
        <f>MIN(Table37[[#This Row],[GWh/d '[capacity map']]:[GWh/d '[transparency map']]])*365</f>
        <v>43931.4</v>
      </c>
      <c r="G13">
        <f t="shared" si="0"/>
        <v>43.931400000000004</v>
      </c>
    </row>
    <row r="14" spans="1:8">
      <c r="A14" t="s">
        <v>32</v>
      </c>
      <c r="B14" t="s">
        <v>45</v>
      </c>
      <c r="C14">
        <v>33.28</v>
      </c>
      <c r="D14">
        <v>33.28</v>
      </c>
      <c r="F14">
        <f>MIN(Table37[[#This Row],[GWh/d '[capacity map']]:[GWh/d '[transparency map']]])*365</f>
        <v>12147.2</v>
      </c>
      <c r="G14">
        <f t="shared" si="0"/>
        <v>12.147200000000002</v>
      </c>
    </row>
    <row r="15" spans="1:8">
      <c r="A15" t="s">
        <v>32</v>
      </c>
      <c r="B15" t="s">
        <v>33</v>
      </c>
      <c r="C15">
        <v>211.73400000000001</v>
      </c>
      <c r="F15">
        <f>MIN(Table37[[#This Row],[GWh/d '[capacity map']]:[GWh/d '[transparency map']]])*365</f>
        <v>77282.91</v>
      </c>
      <c r="G15">
        <f t="shared" si="0"/>
        <v>77.282910000000001</v>
      </c>
    </row>
    <row r="16" spans="1:8">
      <c r="A16" t="s">
        <v>32</v>
      </c>
      <c r="B16" t="s">
        <v>31</v>
      </c>
      <c r="C16">
        <v>459.76800000000003</v>
      </c>
      <c r="D16">
        <v>467.5</v>
      </c>
      <c r="F16">
        <f>MIN(Table37[[#This Row],[GWh/d '[capacity map']]:[GWh/d '[transparency map']]])*365</f>
        <v>167815.32</v>
      </c>
      <c r="G16">
        <f t="shared" si="0"/>
        <v>167.81532000000001</v>
      </c>
    </row>
    <row r="17" spans="1:8">
      <c r="A17" t="s">
        <v>32</v>
      </c>
      <c r="B17" t="s">
        <v>46</v>
      </c>
      <c r="D17">
        <v>701.8</v>
      </c>
      <c r="F17">
        <f>MIN(Table37[[#This Row],[GWh/d '[capacity map']]:[GWh/d '[transparency map']]])*365</f>
        <v>256156.99999999997</v>
      </c>
      <c r="G17">
        <f t="shared" si="0"/>
        <v>256.15699999999998</v>
      </c>
      <c r="H17" t="s">
        <v>148</v>
      </c>
    </row>
    <row r="18" spans="1:8">
      <c r="A18" t="s">
        <v>52</v>
      </c>
      <c r="B18" t="s">
        <v>34</v>
      </c>
      <c r="D18">
        <v>325.39999999999998</v>
      </c>
      <c r="F18">
        <f>MIN(Table37[[#This Row],[GWh/d '[capacity map']]:[GWh/d '[transparency map']]])*365</f>
        <v>118770.99999999999</v>
      </c>
      <c r="G18">
        <f t="shared" si="0"/>
        <v>118.77099999999999</v>
      </c>
      <c r="H18" t="s">
        <v>148</v>
      </c>
    </row>
    <row r="19" spans="1:8">
      <c r="A19" t="s">
        <v>52</v>
      </c>
      <c r="B19" t="s">
        <v>27</v>
      </c>
      <c r="D19">
        <v>0</v>
      </c>
      <c r="F19">
        <f>MIN(Table37[[#This Row],[GWh/d '[capacity map']]:[GWh/d '[transparency map']]])*365</f>
        <v>0</v>
      </c>
      <c r="G19">
        <f t="shared" si="0"/>
        <v>0</v>
      </c>
      <c r="H19" t="s">
        <v>148</v>
      </c>
    </row>
    <row r="20" spans="1:8">
      <c r="A20" t="s">
        <v>52</v>
      </c>
      <c r="B20" t="s">
        <v>38</v>
      </c>
      <c r="E20">
        <v>35.53171072</v>
      </c>
      <c r="F20">
        <f>MIN(Table37[[#This Row],[GWh/d '[capacity map']]:[GWh/d '[transparency map']]])*365</f>
        <v>12969.074412800001</v>
      </c>
      <c r="G20">
        <f t="shared" si="0"/>
        <v>12.969074412800001</v>
      </c>
    </row>
    <row r="21" spans="1:8">
      <c r="A21" t="s">
        <v>22</v>
      </c>
      <c r="B21" t="s">
        <v>19</v>
      </c>
      <c r="C21">
        <v>240</v>
      </c>
      <c r="F21">
        <f>MIN(Table37[[#This Row],[GWh/d '[capacity map']]:[GWh/d '[transparency map']]])*365</f>
        <v>87600</v>
      </c>
      <c r="G21">
        <f t="shared" si="0"/>
        <v>87.6</v>
      </c>
    </row>
    <row r="22" spans="1:8">
      <c r="A22" t="s">
        <v>22</v>
      </c>
      <c r="B22" t="s">
        <v>25</v>
      </c>
      <c r="C22">
        <v>100</v>
      </c>
      <c r="F22">
        <f>MIN(Table37[[#This Row],[GWh/d '[capacity map']]:[GWh/d '[transparency map']]])*365</f>
        <v>36500</v>
      </c>
      <c r="G22">
        <f t="shared" si="0"/>
        <v>36.5</v>
      </c>
    </row>
    <row r="23" spans="1:8">
      <c r="A23" t="s">
        <v>22</v>
      </c>
      <c r="B23" t="s">
        <v>21</v>
      </c>
      <c r="C23">
        <v>640.48</v>
      </c>
      <c r="F23">
        <f>MIN(Table37[[#This Row],[GWh/d '[capacity map']]:[GWh/d '[transparency map']]])*365</f>
        <v>233775.2</v>
      </c>
      <c r="G23">
        <f t="shared" si="0"/>
        <v>233.77520000000001</v>
      </c>
    </row>
    <row r="24" spans="1:8">
      <c r="A24" t="s">
        <v>28</v>
      </c>
      <c r="B24" t="s">
        <v>19</v>
      </c>
      <c r="C24">
        <v>960.97</v>
      </c>
      <c r="F24">
        <f>MIN(Table37[[#This Row],[GWh/d '[capacity map']]:[GWh/d '[transparency map']]])*365</f>
        <v>350754.05</v>
      </c>
      <c r="G24">
        <f t="shared" si="0"/>
        <v>350.75405000000001</v>
      </c>
    </row>
    <row r="25" spans="1:8">
      <c r="A25" t="s">
        <v>28</v>
      </c>
      <c r="B25" t="s">
        <v>27</v>
      </c>
      <c r="C25">
        <v>28.03</v>
      </c>
      <c r="F25">
        <f>MIN(Table37[[#This Row],[GWh/d '[capacity map']]:[GWh/d '[transparency map']]])*365</f>
        <v>10230.950000000001</v>
      </c>
      <c r="G25">
        <f t="shared" si="0"/>
        <v>10.23095</v>
      </c>
    </row>
    <row r="26" spans="1:8">
      <c r="A26" t="s">
        <v>28</v>
      </c>
      <c r="B26" t="s">
        <v>29</v>
      </c>
      <c r="C26">
        <v>1399</v>
      </c>
      <c r="F26">
        <f>MIN(Table37[[#This Row],[GWh/d '[capacity map']]:[GWh/d '[transparency map']]])*365</f>
        <v>510635</v>
      </c>
      <c r="G26">
        <f t="shared" si="0"/>
        <v>510.63499999999999</v>
      </c>
    </row>
    <row r="27" spans="1:8">
      <c r="A27" t="s">
        <v>19</v>
      </c>
      <c r="B27" t="s">
        <v>20</v>
      </c>
      <c r="C27">
        <v>710.94036800000003</v>
      </c>
      <c r="F27">
        <f>MIN(Table37[[#This Row],[GWh/d '[capacity map']]:[GWh/d '[transparency map']]])*365</f>
        <v>259493.23432000002</v>
      </c>
      <c r="G27">
        <f t="shared" si="0"/>
        <v>259.49323432</v>
      </c>
    </row>
    <row r="28" spans="1:8">
      <c r="A28" t="s">
        <v>19</v>
      </c>
      <c r="B28" t="s">
        <v>17</v>
      </c>
      <c r="C28">
        <v>356</v>
      </c>
      <c r="F28">
        <f>MIN(Table37[[#This Row],[GWh/d '[capacity map']]:[GWh/d '[transparency map']]])*365</f>
        <v>129940</v>
      </c>
      <c r="G28">
        <f t="shared" si="0"/>
        <v>129.94</v>
      </c>
    </row>
    <row r="29" spans="1:8">
      <c r="A29" t="s">
        <v>19</v>
      </c>
      <c r="B29" t="s">
        <v>22</v>
      </c>
      <c r="C29">
        <v>353.83</v>
      </c>
      <c r="F29">
        <f>MIN(Table37[[#This Row],[GWh/d '[capacity map']]:[GWh/d '[transparency map']]])*365</f>
        <v>129147.95</v>
      </c>
      <c r="G29">
        <f t="shared" si="0"/>
        <v>129.14795000000001</v>
      </c>
    </row>
    <row r="30" spans="1:8">
      <c r="A30" t="s">
        <v>19</v>
      </c>
      <c r="B30" t="s">
        <v>28</v>
      </c>
      <c r="C30">
        <v>1628</v>
      </c>
      <c r="F30">
        <f>MIN(Table37[[#This Row],[GWh/d '[capacity map']]:[GWh/d '[transparency map']]])*365</f>
        <v>594220</v>
      </c>
      <c r="G30">
        <f t="shared" si="0"/>
        <v>594.22</v>
      </c>
    </row>
    <row r="31" spans="1:8">
      <c r="A31" t="s">
        <v>19</v>
      </c>
      <c r="B31" t="s">
        <v>26</v>
      </c>
      <c r="C31">
        <v>123.627</v>
      </c>
      <c r="F31">
        <f>MIN(Table37[[#This Row],[GWh/d '[capacity map']]:[GWh/d '[transparency map']]])*365</f>
        <v>45123.854999999996</v>
      </c>
      <c r="G31">
        <f t="shared" si="0"/>
        <v>45.123854999999999</v>
      </c>
    </row>
    <row r="32" spans="1:8">
      <c r="A32" t="s">
        <v>19</v>
      </c>
      <c r="B32" t="s">
        <v>25</v>
      </c>
      <c r="C32">
        <v>613.74174400000004</v>
      </c>
      <c r="F32">
        <f>MIN(Table37[[#This Row],[GWh/d '[capacity map']]:[GWh/d '[transparency map']]])*365</f>
        <v>224015.73656000002</v>
      </c>
      <c r="G32">
        <f t="shared" si="0"/>
        <v>224.01573656000002</v>
      </c>
    </row>
    <row r="33" spans="1:8">
      <c r="A33" t="s">
        <v>19</v>
      </c>
      <c r="B33" t="s">
        <v>42</v>
      </c>
      <c r="C33">
        <v>24</v>
      </c>
      <c r="F33">
        <f>MIN(Table37[[#This Row],[GWh/d '[capacity map']]:[GWh/d '[transparency map']]])*365</f>
        <v>8760</v>
      </c>
      <c r="G33">
        <f t="shared" ref="G33:G65" si="1">F33/1000</f>
        <v>8.76</v>
      </c>
    </row>
    <row r="34" spans="1:8">
      <c r="A34" t="s">
        <v>19</v>
      </c>
      <c r="B34" t="s">
        <v>18</v>
      </c>
      <c r="C34">
        <v>1513.9</v>
      </c>
      <c r="F34">
        <f>MIN(Table37[[#This Row],[GWh/d '[capacity map']]:[GWh/d '[transparency map']]])*365</f>
        <v>552573.5</v>
      </c>
      <c r="G34">
        <f t="shared" si="1"/>
        <v>552.57349999999997</v>
      </c>
    </row>
    <row r="35" spans="1:8">
      <c r="A35" t="s">
        <v>19</v>
      </c>
      <c r="B35" t="s">
        <v>27</v>
      </c>
      <c r="C35">
        <v>326.27999999999997</v>
      </c>
      <c r="F35">
        <f>MIN(Table37[[#This Row],[GWh/d '[capacity map']]:[GWh/d '[transparency map']]])*365</f>
        <v>119092.2</v>
      </c>
      <c r="G35">
        <f t="shared" si="1"/>
        <v>119.09219999999999</v>
      </c>
    </row>
    <row r="36" spans="1:8">
      <c r="A36" t="s">
        <v>26</v>
      </c>
      <c r="B36" t="s">
        <v>19</v>
      </c>
      <c r="C36">
        <v>15.7</v>
      </c>
      <c r="F36">
        <f>MIN(Table37[[#This Row],[GWh/d '[capacity map']]:[GWh/d '[transparency map']]])*365</f>
        <v>5730.5</v>
      </c>
      <c r="G36">
        <f t="shared" si="1"/>
        <v>5.7305000000000001</v>
      </c>
    </row>
    <row r="37" spans="1:8">
      <c r="A37" t="s">
        <v>26</v>
      </c>
      <c r="B37" t="s">
        <v>27</v>
      </c>
      <c r="C37">
        <v>321.60000000000002</v>
      </c>
      <c r="F37">
        <f>MIN(Table37[[#This Row],[GWh/d '[capacity map']]:[GWh/d '[transparency map']]])*365</f>
        <v>117384.00000000001</v>
      </c>
      <c r="G37">
        <f t="shared" si="1"/>
        <v>117.38400000000001</v>
      </c>
    </row>
    <row r="38" spans="1:8">
      <c r="A38" t="s">
        <v>48</v>
      </c>
      <c r="B38" t="s">
        <v>26</v>
      </c>
      <c r="C38">
        <v>321.60000000000002</v>
      </c>
      <c r="F38">
        <f>MIN(Table37[[#This Row],[GWh/d '[capacity map']]:[GWh/d '[transparency map']]])*365</f>
        <v>117384.00000000001</v>
      </c>
      <c r="G38">
        <f>F38/1000</f>
        <v>117.38400000000001</v>
      </c>
      <c r="H38" t="s">
        <v>288</v>
      </c>
    </row>
    <row r="39" spans="1:8">
      <c r="A39" t="s">
        <v>26</v>
      </c>
      <c r="B39" t="s">
        <v>82</v>
      </c>
      <c r="E39">
        <v>30</v>
      </c>
      <c r="F39">
        <f>MIN(Table37[[#This Row],[GWh/d '[capacity map']]:[GWh/d '[transparency map']]])*365</f>
        <v>10950</v>
      </c>
      <c r="G39">
        <f t="shared" si="1"/>
        <v>10.95</v>
      </c>
      <c r="H39" t="s">
        <v>145</v>
      </c>
    </row>
    <row r="40" spans="1:8">
      <c r="A40" t="s">
        <v>49</v>
      </c>
      <c r="B40" t="s">
        <v>36</v>
      </c>
      <c r="C40">
        <v>337.12</v>
      </c>
      <c r="D40">
        <v>337.1</v>
      </c>
      <c r="F40">
        <f>MIN(Table37[[#This Row],[GWh/d '[capacity map']]:[GWh/d '[transparency map']]])*365</f>
        <v>123041.50000000001</v>
      </c>
      <c r="G40">
        <f t="shared" si="1"/>
        <v>123.04150000000001</v>
      </c>
    </row>
    <row r="41" spans="1:8">
      <c r="A41" t="s">
        <v>49</v>
      </c>
      <c r="B41" t="s">
        <v>96</v>
      </c>
      <c r="D41">
        <v>31.92</v>
      </c>
      <c r="F41">
        <f>MIN(Table37[[#This Row],[GWh/d '[capacity map']]:[GWh/d '[transparency map']]])*365</f>
        <v>11650.800000000001</v>
      </c>
      <c r="G41">
        <f t="shared" si="1"/>
        <v>11.6508</v>
      </c>
      <c r="H41" t="s">
        <v>146</v>
      </c>
    </row>
    <row r="42" spans="1:8">
      <c r="A42" t="s">
        <v>49</v>
      </c>
      <c r="B42" t="s">
        <v>50</v>
      </c>
      <c r="C42">
        <v>1154.47</v>
      </c>
      <c r="F42">
        <f>MIN(Table37[[#This Row],[GWh/d '[capacity map']]:[GWh/d '[transparency map']]])*365</f>
        <v>421381.55</v>
      </c>
      <c r="G42">
        <f t="shared" si="1"/>
        <v>421.38155</v>
      </c>
      <c r="H42" t="s">
        <v>144</v>
      </c>
    </row>
    <row r="43" spans="1:8">
      <c r="A43" t="s">
        <v>53</v>
      </c>
      <c r="B43" t="s">
        <v>54</v>
      </c>
      <c r="E43">
        <v>61.341321000000001</v>
      </c>
      <c r="F43">
        <f>MIN(Table37[[#This Row],[GWh/d '[capacity map']]:[GWh/d '[transparency map']]])*365</f>
        <v>22389.582165</v>
      </c>
      <c r="G43">
        <f t="shared" si="1"/>
        <v>22.389582165</v>
      </c>
    </row>
    <row r="44" spans="1:8">
      <c r="A44" t="s">
        <v>53</v>
      </c>
      <c r="B44" t="s">
        <v>35</v>
      </c>
      <c r="E44">
        <v>67.7</v>
      </c>
      <c r="F44">
        <f>MIN(Table37[[#This Row],[GWh/d '[capacity map']]:[GWh/d '[transparency map']]])*365</f>
        <v>24710.5</v>
      </c>
      <c r="G44">
        <f t="shared" si="1"/>
        <v>24.7105</v>
      </c>
    </row>
    <row r="45" spans="1:8">
      <c r="A45" t="s">
        <v>264</v>
      </c>
      <c r="B45" t="s">
        <v>41</v>
      </c>
      <c r="C45">
        <v>487.1</v>
      </c>
      <c r="F45">
        <f>MIN(Table37[[#This Row],[GWh/d '[capacity map']]:[GWh/d '[transparency map']]])*365</f>
        <v>177791.5</v>
      </c>
      <c r="G45">
        <f t="shared" si="1"/>
        <v>177.79150000000001</v>
      </c>
      <c r="H45" t="s">
        <v>143</v>
      </c>
    </row>
    <row r="46" spans="1:8">
      <c r="A46" t="s">
        <v>264</v>
      </c>
      <c r="B46" t="s">
        <v>32</v>
      </c>
      <c r="C46">
        <v>172.57</v>
      </c>
      <c r="F46">
        <f>MIN(Table37[[#This Row],[GWh/d '[capacity map']]:[GWh/d '[transparency map']]])*365</f>
        <v>62988.049999999996</v>
      </c>
      <c r="G46">
        <f t="shared" si="1"/>
        <v>62.988049999999994</v>
      </c>
    </row>
    <row r="47" spans="1:8">
      <c r="A47" t="s">
        <v>36</v>
      </c>
      <c r="B47" t="s">
        <v>25</v>
      </c>
      <c r="C47">
        <v>224.4</v>
      </c>
      <c r="F47">
        <f>MIN(Table37[[#This Row],[GWh/d '[capacity map']]:[GWh/d '[transparency map']]])*365</f>
        <v>81906</v>
      </c>
      <c r="G47">
        <f t="shared" si="1"/>
        <v>81.906000000000006</v>
      </c>
    </row>
    <row r="48" spans="1:8">
      <c r="A48" t="s">
        <v>36</v>
      </c>
      <c r="B48" t="s">
        <v>37</v>
      </c>
      <c r="C48">
        <v>144</v>
      </c>
      <c r="F48">
        <f>MIN(Table37[[#This Row],[GWh/d '[capacity map']]:[GWh/d '[transparency map']]])*365</f>
        <v>52560</v>
      </c>
      <c r="G48">
        <f t="shared" si="1"/>
        <v>52.56</v>
      </c>
    </row>
    <row r="49" spans="1:7">
      <c r="A49" t="s">
        <v>54</v>
      </c>
      <c r="B49" t="s">
        <v>53</v>
      </c>
      <c r="C49" s="5">
        <v>78</v>
      </c>
      <c r="E49">
        <v>32.802250000000008</v>
      </c>
      <c r="F49">
        <f>MIN(Table37[[#This Row],[GWh/d '[capacity map']]:[GWh/d '[transparency map']]])*365</f>
        <v>11972.821250000003</v>
      </c>
      <c r="G49">
        <f t="shared" si="1"/>
        <v>11.972821250000003</v>
      </c>
    </row>
    <row r="50" spans="1:7">
      <c r="A50" t="s">
        <v>25</v>
      </c>
      <c r="B50" t="s">
        <v>17</v>
      </c>
      <c r="C50">
        <v>270</v>
      </c>
      <c r="F50">
        <f>MIN(Table37[[#This Row],[GWh/d '[capacity map']]:[GWh/d '[transparency map']]])*365</f>
        <v>98550</v>
      </c>
      <c r="G50">
        <f t="shared" si="1"/>
        <v>98.55</v>
      </c>
    </row>
    <row r="51" spans="1:7">
      <c r="A51" t="s">
        <v>25</v>
      </c>
      <c r="B51" t="s">
        <v>22</v>
      </c>
      <c r="C51">
        <v>259.02</v>
      </c>
      <c r="F51">
        <f>MIN(Table37[[#This Row],[GWh/d '[capacity map']]:[GWh/d '[transparency map']]])*365</f>
        <v>94542.299999999988</v>
      </c>
      <c r="G51">
        <f t="shared" si="1"/>
        <v>94.542299999999983</v>
      </c>
    </row>
    <row r="52" spans="1:7">
      <c r="A52" t="s">
        <v>25</v>
      </c>
      <c r="B52" t="s">
        <v>19</v>
      </c>
      <c r="C52">
        <v>100</v>
      </c>
      <c r="F52">
        <f>MIN(Table37[[#This Row],[GWh/d '[capacity map']]:[GWh/d '[transparency map']]])*365</f>
        <v>36500</v>
      </c>
      <c r="G52">
        <f t="shared" si="1"/>
        <v>36.5</v>
      </c>
    </row>
    <row r="53" spans="1:7">
      <c r="A53" t="s">
        <v>25</v>
      </c>
      <c r="B53" t="s">
        <v>36</v>
      </c>
      <c r="C53">
        <v>164.57</v>
      </c>
      <c r="F53">
        <f>MIN(Table37[[#This Row],[GWh/d '[capacity map']]:[GWh/d '[transparency map']]])*365</f>
        <v>60068.049999999996</v>
      </c>
      <c r="G53">
        <f t="shared" si="1"/>
        <v>60.068049999999992</v>
      </c>
    </row>
    <row r="54" spans="1:7">
      <c r="A54" t="s">
        <v>24</v>
      </c>
      <c r="B54" t="s">
        <v>30</v>
      </c>
      <c r="C54">
        <v>50.9</v>
      </c>
      <c r="F54">
        <f>MIN(Table37[[#This Row],[GWh/d '[capacity map']]:[GWh/d '[transparency map']]])*365</f>
        <v>18578.5</v>
      </c>
      <c r="G54">
        <f t="shared" si="1"/>
        <v>18.578499999999998</v>
      </c>
    </row>
    <row r="55" spans="1:7">
      <c r="A55" t="s">
        <v>24</v>
      </c>
      <c r="B55" t="s">
        <v>23</v>
      </c>
      <c r="C55">
        <v>7.7</v>
      </c>
      <c r="F55">
        <f>MIN(Table37[[#This Row],[GWh/d '[capacity map']]:[GWh/d '[transparency map']]])*365</f>
        <v>2810.5</v>
      </c>
      <c r="G55">
        <f t="shared" si="1"/>
        <v>2.8105000000000002</v>
      </c>
    </row>
    <row r="56" spans="1:7">
      <c r="A56" t="s">
        <v>30</v>
      </c>
      <c r="B56" t="s">
        <v>24</v>
      </c>
      <c r="C56">
        <v>77.2</v>
      </c>
      <c r="F56">
        <f>MIN(Table37[[#This Row],[GWh/d '[capacity map']]:[GWh/d '[transparency map']]])*365</f>
        <v>28178</v>
      </c>
      <c r="G56">
        <f t="shared" si="1"/>
        <v>28.178000000000001</v>
      </c>
    </row>
    <row r="57" spans="1:7">
      <c r="A57" t="s">
        <v>30</v>
      </c>
      <c r="B57" t="s">
        <v>33</v>
      </c>
      <c r="C57">
        <v>77.459999999999994</v>
      </c>
      <c r="F57">
        <f>MIN(Table37[[#This Row],[GWh/d '[capacity map']]:[GWh/d '[transparency map']]])*365</f>
        <v>28272.899999999998</v>
      </c>
      <c r="G57">
        <f t="shared" si="1"/>
        <v>28.272899999999996</v>
      </c>
    </row>
    <row r="58" spans="1:7">
      <c r="A58" t="s">
        <v>30</v>
      </c>
      <c r="B58" t="s">
        <v>31</v>
      </c>
      <c r="C58">
        <v>141.97999999999999</v>
      </c>
      <c r="D58">
        <v>245.8</v>
      </c>
      <c r="F58">
        <f>MIN(Table37[[#This Row],[GWh/d '[capacity map']]:[GWh/d '[transparency map']]])*365</f>
        <v>51822.7</v>
      </c>
      <c r="G58">
        <f t="shared" si="1"/>
        <v>51.822699999999998</v>
      </c>
    </row>
    <row r="59" spans="1:7">
      <c r="A59" t="s">
        <v>30</v>
      </c>
      <c r="B59" t="s">
        <v>29</v>
      </c>
      <c r="C59">
        <v>50.88</v>
      </c>
      <c r="F59">
        <f>MIN(Table37[[#This Row],[GWh/d '[capacity map']]:[GWh/d '[transparency map']]])*365</f>
        <v>18571.2</v>
      </c>
      <c r="G59">
        <f t="shared" si="1"/>
        <v>18.571200000000001</v>
      </c>
    </row>
    <row r="60" spans="1:7">
      <c r="A60" t="s">
        <v>21</v>
      </c>
      <c r="B60" t="s">
        <v>20</v>
      </c>
      <c r="C60">
        <v>194.05</v>
      </c>
      <c r="F60">
        <f>MIN(Table37[[#This Row],[GWh/d '[capacity map']]:[GWh/d '[transparency map']]])*365</f>
        <v>70828.25</v>
      </c>
      <c r="G60">
        <f t="shared" si="1"/>
        <v>70.828249999999997</v>
      </c>
    </row>
    <row r="61" spans="1:7">
      <c r="A61" t="s">
        <v>21</v>
      </c>
      <c r="B61" t="s">
        <v>22</v>
      </c>
      <c r="C61">
        <v>387.85</v>
      </c>
      <c r="F61">
        <f>MIN(Table37[[#This Row],[GWh/d '[capacity map']]:[GWh/d '[transparency map']]])*365</f>
        <v>141565.25</v>
      </c>
      <c r="G61">
        <f t="shared" si="1"/>
        <v>141.56524999999999</v>
      </c>
    </row>
    <row r="62" spans="1:7">
      <c r="A62" t="s">
        <v>21</v>
      </c>
      <c r="B62" t="s">
        <v>23</v>
      </c>
      <c r="C62">
        <v>38.99</v>
      </c>
      <c r="F62">
        <f>MIN(Table37[[#This Row],[GWh/d '[capacity map']]:[GWh/d '[transparency map']]])*365</f>
        <v>14231.35</v>
      </c>
      <c r="G62">
        <f t="shared" si="1"/>
        <v>14.231350000000001</v>
      </c>
    </row>
    <row r="63" spans="1:7">
      <c r="A63" t="s">
        <v>34</v>
      </c>
      <c r="B63" t="s">
        <v>35</v>
      </c>
      <c r="C63">
        <v>90</v>
      </c>
      <c r="F63">
        <f>MIN(Table37[[#This Row],[GWh/d '[capacity map']]:[GWh/d '[transparency map']]])*365</f>
        <v>32850</v>
      </c>
      <c r="G63">
        <f t="shared" si="1"/>
        <v>32.85</v>
      </c>
    </row>
    <row r="64" spans="1:7">
      <c r="A64" t="s">
        <v>34</v>
      </c>
      <c r="B64" t="s">
        <v>27</v>
      </c>
      <c r="C64">
        <v>58.069200000000002</v>
      </c>
      <c r="F64">
        <f>MIN(Table37[[#This Row],[GWh/d '[capacity map']]:[GWh/d '[transparency map']]])*365</f>
        <v>21195.258000000002</v>
      </c>
      <c r="G64">
        <f t="shared" si="1"/>
        <v>21.195258000000003</v>
      </c>
    </row>
    <row r="65" spans="1:8">
      <c r="A65" t="s">
        <v>34</v>
      </c>
      <c r="B65" t="s">
        <v>40</v>
      </c>
      <c r="C65">
        <v>0</v>
      </c>
      <c r="F65">
        <f>MIN(Table37[[#This Row],[GWh/d '[capacity map']]:[GWh/d '[transparency map']]])*365</f>
        <v>0</v>
      </c>
      <c r="G65">
        <f t="shared" si="1"/>
        <v>0</v>
      </c>
      <c r="H65" t="s">
        <v>148</v>
      </c>
    </row>
    <row r="66" spans="1:8">
      <c r="A66" t="s">
        <v>42</v>
      </c>
      <c r="B66" t="s">
        <v>17</v>
      </c>
      <c r="E66">
        <v>41.973541999999995</v>
      </c>
      <c r="F66">
        <f>MIN(Table37[[#This Row],[GWh/d '[capacity map']]:[GWh/d '[transparency map']]])*365</f>
        <v>15320.342829999998</v>
      </c>
      <c r="G66">
        <f t="shared" ref="G66:G96" si="2">F66/1000</f>
        <v>15.320342829999998</v>
      </c>
    </row>
    <row r="67" spans="1:8">
      <c r="A67" t="s">
        <v>35</v>
      </c>
      <c r="B67" t="s">
        <v>53</v>
      </c>
      <c r="E67">
        <v>67.7</v>
      </c>
      <c r="F67">
        <f>MIN(Table37[[#This Row],[GWh/d '[capacity map']]:[GWh/d '[transparency map']]])*365</f>
        <v>24710.5</v>
      </c>
      <c r="G67">
        <f t="shared" si="2"/>
        <v>24.7105</v>
      </c>
    </row>
    <row r="68" spans="1:8">
      <c r="A68" t="s">
        <v>35</v>
      </c>
      <c r="B68" t="s">
        <v>34</v>
      </c>
      <c r="C68">
        <v>82</v>
      </c>
      <c r="F68">
        <f>MIN(Table37[[#This Row],[GWh/d '[capacity map']]:[GWh/d '[transparency map']]])*365</f>
        <v>29930</v>
      </c>
      <c r="G68">
        <f t="shared" si="2"/>
        <v>29.93</v>
      </c>
    </row>
    <row r="69" spans="1:8">
      <c r="A69" t="s">
        <v>35</v>
      </c>
      <c r="B69" t="s">
        <v>40</v>
      </c>
      <c r="D69">
        <v>0</v>
      </c>
      <c r="F69">
        <f>MIN(Table37[[#This Row],[GWh/d '[capacity map']]:[GWh/d '[transparency map']]])*365</f>
        <v>0</v>
      </c>
      <c r="G69">
        <f t="shared" si="2"/>
        <v>0</v>
      </c>
    </row>
    <row r="70" spans="1:8">
      <c r="A70" t="s">
        <v>51</v>
      </c>
      <c r="B70" t="s">
        <v>21</v>
      </c>
      <c r="D70">
        <v>493.7</v>
      </c>
      <c r="F70">
        <f>MIN(Table37[[#This Row],[GWh/d '[capacity map']]:[GWh/d '[transparency map']]])*365</f>
        <v>180200.5</v>
      </c>
      <c r="G70">
        <f t="shared" si="2"/>
        <v>180.20050000000001</v>
      </c>
      <c r="H70" t="s">
        <v>148</v>
      </c>
    </row>
    <row r="71" spans="1:8">
      <c r="A71" t="s">
        <v>96</v>
      </c>
      <c r="B71" t="s">
        <v>36</v>
      </c>
      <c r="D71">
        <v>31.92</v>
      </c>
      <c r="F71">
        <f>MIN(Table37[[#This Row],[GWh/d '[capacity map']]:[GWh/d '[transparency map']]])*365</f>
        <v>11650.800000000001</v>
      </c>
      <c r="G71">
        <f t="shared" si="2"/>
        <v>11.6508</v>
      </c>
    </row>
    <row r="72" spans="1:8">
      <c r="A72" t="s">
        <v>39</v>
      </c>
      <c r="B72" t="s">
        <v>33</v>
      </c>
      <c r="C72">
        <v>2.2000000000000002</v>
      </c>
      <c r="F72">
        <f>MIN(Table37[[#This Row],[GWh/d '[capacity map']]:[GWh/d '[transparency map']]])*365</f>
        <v>803.00000000000011</v>
      </c>
      <c r="G72">
        <f t="shared" si="2"/>
        <v>0.80300000000000016</v>
      </c>
    </row>
    <row r="73" spans="1:8">
      <c r="A73" t="s">
        <v>39</v>
      </c>
      <c r="B73" t="s">
        <v>38</v>
      </c>
      <c r="E73">
        <v>80.846503979999994</v>
      </c>
      <c r="F73">
        <f>MIN(Table37[[#This Row],[GWh/d '[capacity map']]:[GWh/d '[transparency map']]])*365</f>
        <v>29508.973952699998</v>
      </c>
      <c r="G73">
        <f t="shared" si="2"/>
        <v>29.5089739527</v>
      </c>
    </row>
    <row r="74" spans="1:8">
      <c r="A74" t="s">
        <v>18</v>
      </c>
      <c r="B74" t="s">
        <v>17</v>
      </c>
      <c r="C74">
        <v>1387.5634559999999</v>
      </c>
      <c r="F74">
        <f>MIN(Table37[[#This Row],[GWh/d '[capacity map']]:[GWh/d '[transparency map']]])*365</f>
        <v>506460.66143999994</v>
      </c>
      <c r="G74">
        <f t="shared" si="2"/>
        <v>506.46066143999991</v>
      </c>
    </row>
    <row r="75" spans="1:8">
      <c r="A75" t="s">
        <v>18</v>
      </c>
      <c r="B75" t="s">
        <v>19</v>
      </c>
      <c r="C75">
        <v>1849.1500000000003</v>
      </c>
      <c r="F75">
        <f>MIN(Table37[[#This Row],[GWh/d '[capacity map']]:[GWh/d '[transparency map']]])*365</f>
        <v>674939.75000000012</v>
      </c>
      <c r="G75">
        <f t="shared" si="2"/>
        <v>674.93975000000012</v>
      </c>
    </row>
    <row r="76" spans="1:8">
      <c r="A76" t="s">
        <v>18</v>
      </c>
      <c r="B76" t="s">
        <v>11</v>
      </c>
      <c r="C76">
        <v>494.4</v>
      </c>
      <c r="F76">
        <f>MIN(Table37[[#This Row],[GWh/d '[capacity map']]:[GWh/d '[transparency map']]])*365</f>
        <v>180456</v>
      </c>
      <c r="G76">
        <f t="shared" si="2"/>
        <v>180.45599999999999</v>
      </c>
    </row>
    <row r="77" spans="1:8">
      <c r="A77" t="s">
        <v>48</v>
      </c>
      <c r="B77" t="s">
        <v>17</v>
      </c>
      <c r="C77">
        <v>488.4</v>
      </c>
      <c r="D77">
        <v>453.2</v>
      </c>
      <c r="F77">
        <f>MIN(Table37[[#This Row],[GWh/d '[capacity map']]:[GWh/d '[transparency map']]])*365</f>
        <v>165418</v>
      </c>
      <c r="G77">
        <f t="shared" si="2"/>
        <v>165.41800000000001</v>
      </c>
    </row>
    <row r="78" spans="1:8">
      <c r="A78" t="s">
        <v>48</v>
      </c>
      <c r="B78" t="s">
        <v>19</v>
      </c>
      <c r="C78">
        <v>2195.9271199999998</v>
      </c>
      <c r="D78">
        <v>1226</v>
      </c>
      <c r="F78">
        <f>MIN(Table37[[#This Row],[GWh/d '[capacity map']]:[GWh/d '[transparency map']]])*365</f>
        <v>447490</v>
      </c>
      <c r="G78">
        <f t="shared" si="2"/>
        <v>447.49</v>
      </c>
    </row>
    <row r="79" spans="1:8">
      <c r="A79" t="s">
        <v>48</v>
      </c>
      <c r="B79" t="s">
        <v>25</v>
      </c>
      <c r="C79">
        <v>575</v>
      </c>
      <c r="D79">
        <v>568.5</v>
      </c>
      <c r="F79">
        <f>MIN(Table37[[#This Row],[GWh/d '[capacity map']]:[GWh/d '[transparency map']]])*365</f>
        <v>207502.5</v>
      </c>
      <c r="G79">
        <f t="shared" si="2"/>
        <v>207.5025</v>
      </c>
    </row>
    <row r="80" spans="1:8">
      <c r="A80" t="s">
        <v>48</v>
      </c>
      <c r="B80" t="s">
        <v>18</v>
      </c>
      <c r="D80">
        <v>963.6</v>
      </c>
      <c r="F80">
        <f>MIN(Table37[[#This Row],[GWh/d '[capacity map']]:[GWh/d '[transparency map']]])*365</f>
        <v>351714</v>
      </c>
      <c r="G80">
        <f t="shared" si="2"/>
        <v>351.714</v>
      </c>
    </row>
    <row r="81" spans="1:7">
      <c r="A81" t="s">
        <v>48</v>
      </c>
      <c r="B81" t="s">
        <v>11</v>
      </c>
      <c r="C81">
        <v>1499.1</v>
      </c>
      <c r="D81">
        <v>1406</v>
      </c>
      <c r="F81">
        <f>MIN(Table37[[#This Row],[GWh/d '[capacity map']]:[GWh/d '[transparency map']]])*365</f>
        <v>513190</v>
      </c>
      <c r="G81">
        <f t="shared" si="2"/>
        <v>513.19000000000005</v>
      </c>
    </row>
    <row r="82" spans="1:7">
      <c r="A82" t="s">
        <v>27</v>
      </c>
      <c r="B82" t="s">
        <v>19</v>
      </c>
      <c r="C82">
        <v>0.09</v>
      </c>
      <c r="F82">
        <f>MIN(Table37[[#This Row],[GWh/d '[capacity map']]:[GWh/d '[transparency map']]])*365</f>
        <v>32.85</v>
      </c>
      <c r="G82">
        <f t="shared" si="2"/>
        <v>3.2850000000000004E-2</v>
      </c>
    </row>
    <row r="83" spans="1:7">
      <c r="A83" t="s">
        <v>27</v>
      </c>
      <c r="B83" t="s">
        <v>26</v>
      </c>
      <c r="C83">
        <v>91.2</v>
      </c>
      <c r="F83">
        <f>MIN(Table37[[#This Row],[GWh/d '[capacity map']]:[GWh/d '[transparency map']]])*365</f>
        <v>33288</v>
      </c>
      <c r="G83">
        <f t="shared" si="2"/>
        <v>33.287999999999997</v>
      </c>
    </row>
    <row r="84" spans="1:7">
      <c r="A84" t="s">
        <v>27</v>
      </c>
      <c r="B84" t="s">
        <v>29</v>
      </c>
      <c r="C84">
        <v>173.94</v>
      </c>
      <c r="F84">
        <f>MIN(Table37[[#This Row],[GWh/d '[capacity map']]:[GWh/d '[transparency map']]])*365</f>
        <v>63488.1</v>
      </c>
      <c r="G84">
        <f t="shared" si="2"/>
        <v>63.488099999999996</v>
      </c>
    </row>
    <row r="85" spans="1:7">
      <c r="A85" t="s">
        <v>37</v>
      </c>
      <c r="B85" t="s">
        <v>36</v>
      </c>
      <c r="C85">
        <v>80</v>
      </c>
      <c r="F85">
        <f>MIN(Table37[[#This Row],[GWh/d '[capacity map']]:[GWh/d '[transparency map']]])*365</f>
        <v>29200</v>
      </c>
      <c r="G85">
        <f t="shared" si="2"/>
        <v>29.2</v>
      </c>
    </row>
    <row r="86" spans="1:7">
      <c r="A86" t="s">
        <v>33</v>
      </c>
      <c r="B86" t="s">
        <v>32</v>
      </c>
      <c r="C86">
        <v>231.417</v>
      </c>
      <c r="F86">
        <f>MIN(Table37[[#This Row],[GWh/d '[capacity map']]:[GWh/d '[transparency map']]])*365</f>
        <v>84467.205000000002</v>
      </c>
      <c r="G86">
        <f t="shared" si="2"/>
        <v>84.467205000000007</v>
      </c>
    </row>
    <row r="87" spans="1:7">
      <c r="A87" t="s">
        <v>33</v>
      </c>
      <c r="B87" t="s">
        <v>30</v>
      </c>
      <c r="C87">
        <v>73.37</v>
      </c>
      <c r="F87">
        <f>MIN(Table37[[#This Row],[GWh/d '[capacity map']]:[GWh/d '[transparency map']]])*365</f>
        <v>26780.050000000003</v>
      </c>
      <c r="G87">
        <f t="shared" si="2"/>
        <v>26.780050000000003</v>
      </c>
    </row>
    <row r="88" spans="1:7">
      <c r="A88" t="s">
        <v>33</v>
      </c>
      <c r="B88" t="s">
        <v>39</v>
      </c>
      <c r="C88">
        <v>55.7</v>
      </c>
      <c r="E88">
        <v>55.7</v>
      </c>
      <c r="F88">
        <f>MIN(Table37[[#This Row],[GWh/d '[capacity map']]:[GWh/d '[transparency map']]])*365</f>
        <v>20330.5</v>
      </c>
      <c r="G88">
        <f t="shared" si="2"/>
        <v>20.330500000000001</v>
      </c>
    </row>
    <row r="89" spans="1:7">
      <c r="A89" t="s">
        <v>33</v>
      </c>
      <c r="B89" t="s">
        <v>38</v>
      </c>
      <c r="C89">
        <v>122.2</v>
      </c>
      <c r="F89">
        <f>MIN(Table37[[#This Row],[GWh/d '[capacity map']]:[GWh/d '[transparency map']]])*365</f>
        <v>44603</v>
      </c>
      <c r="G89">
        <f t="shared" si="2"/>
        <v>44.603000000000002</v>
      </c>
    </row>
    <row r="90" spans="1:7">
      <c r="A90" t="s">
        <v>31</v>
      </c>
      <c r="B90" t="s">
        <v>44</v>
      </c>
      <c r="C90">
        <v>14</v>
      </c>
      <c r="F90">
        <f>MIN(Table37[[#This Row],[GWh/d '[capacity map']]:[GWh/d '[transparency map']]])*365</f>
        <v>5110</v>
      </c>
      <c r="G90">
        <f t="shared" si="2"/>
        <v>5.1100000000000003</v>
      </c>
    </row>
    <row r="91" spans="1:7">
      <c r="A91" t="s">
        <v>31</v>
      </c>
      <c r="B91" t="s">
        <v>32</v>
      </c>
      <c r="C91">
        <v>350.11200000000002</v>
      </c>
      <c r="F91">
        <f>MIN(Table37[[#This Row],[GWh/d '[capacity map']]:[GWh/d '[transparency map']]])*365</f>
        <v>127790.88</v>
      </c>
      <c r="G91">
        <f t="shared" si="2"/>
        <v>127.79088</v>
      </c>
    </row>
    <row r="92" spans="1:7">
      <c r="A92" t="s">
        <v>31</v>
      </c>
      <c r="B92" t="s">
        <v>30</v>
      </c>
      <c r="D92">
        <v>245.8</v>
      </c>
      <c r="F92">
        <f>MIN(Table37[[#This Row],[GWh/d '[capacity map']]:[GWh/d '[transparency map']]])*365</f>
        <v>89717</v>
      </c>
      <c r="G92">
        <f t="shared" si="2"/>
        <v>89.716999999999999</v>
      </c>
    </row>
    <row r="93" spans="1:7">
      <c r="A93" t="s">
        <v>40</v>
      </c>
      <c r="B93" t="s">
        <v>52</v>
      </c>
      <c r="C93">
        <v>1203.4999999999998</v>
      </c>
      <c r="F93">
        <f>MIN(Table37[[#This Row],[GWh/d '[capacity map']]:[GWh/d '[transparency map']]])*365</f>
        <v>439277.49999999994</v>
      </c>
      <c r="G93">
        <f t="shared" si="2"/>
        <v>439.27749999999992</v>
      </c>
    </row>
    <row r="94" spans="1:7">
      <c r="A94" t="s">
        <v>40</v>
      </c>
      <c r="B94" t="s">
        <v>19</v>
      </c>
      <c r="D94">
        <v>0</v>
      </c>
      <c r="F94">
        <f>MIN(Table37[[#This Row],[GWh/d '[capacity map']]:[GWh/d '[transparency map']]])*365</f>
        <v>0</v>
      </c>
      <c r="G94">
        <f t="shared" si="2"/>
        <v>0</v>
      </c>
    </row>
    <row r="95" spans="1:7">
      <c r="A95" t="s">
        <v>40</v>
      </c>
      <c r="B95" t="s">
        <v>54</v>
      </c>
      <c r="D95">
        <v>0</v>
      </c>
      <c r="F95">
        <f>MIN(Table37[[#This Row],[GWh/d '[capacity map']]:[GWh/d '[transparency map']]])*365</f>
        <v>0</v>
      </c>
      <c r="G95">
        <f t="shared" si="2"/>
        <v>0</v>
      </c>
    </row>
    <row r="96" spans="1:7">
      <c r="A96" t="s">
        <v>40</v>
      </c>
      <c r="B96" t="s">
        <v>35</v>
      </c>
      <c r="D96">
        <v>0</v>
      </c>
      <c r="F96">
        <f>MIN(Table37[[#This Row],[GWh/d '[capacity map']]:[GWh/d '[transparency map']]])*365</f>
        <v>0</v>
      </c>
      <c r="G96">
        <f t="shared" si="2"/>
        <v>0</v>
      </c>
    </row>
    <row r="97" spans="1:8">
      <c r="A97" t="s">
        <v>40</v>
      </c>
      <c r="B97" t="s">
        <v>46</v>
      </c>
      <c r="E97">
        <v>958.9</v>
      </c>
      <c r="F97">
        <f>MIN(Table37[[#This Row],[GWh/d '[capacity map']]:[GWh/d '[transparency map']]])*365</f>
        <v>349998.5</v>
      </c>
      <c r="G97">
        <f t="shared" ref="G97:G116" si="3">F97/1000</f>
        <v>349.99849999999998</v>
      </c>
      <c r="H97" t="s">
        <v>141</v>
      </c>
    </row>
    <row r="98" spans="1:8">
      <c r="A98" t="s">
        <v>40</v>
      </c>
      <c r="B98" t="s">
        <v>38</v>
      </c>
      <c r="E98">
        <v>5459.5088498999994</v>
      </c>
      <c r="F98">
        <f>MIN(Table37[[#This Row],[GWh/d '[capacity map']]:[GWh/d '[transparency map']]])*365</f>
        <v>1992720.7302134999</v>
      </c>
      <c r="G98">
        <f t="shared" si="3"/>
        <v>1992.7207302134998</v>
      </c>
    </row>
    <row r="99" spans="1:8">
      <c r="A99" t="s">
        <v>23</v>
      </c>
      <c r="B99" t="s">
        <v>24</v>
      </c>
      <c r="C99">
        <v>53.7</v>
      </c>
      <c r="F99">
        <f>MIN(Table37[[#This Row],[GWh/d '[capacity map']]:[GWh/d '[transparency map']]])*365</f>
        <v>19600.5</v>
      </c>
      <c r="G99">
        <f t="shared" si="3"/>
        <v>19.6005</v>
      </c>
    </row>
    <row r="100" spans="1:8">
      <c r="A100" t="s">
        <v>23</v>
      </c>
      <c r="B100" t="s">
        <v>21</v>
      </c>
      <c r="C100">
        <v>25.77</v>
      </c>
      <c r="F100">
        <f>MIN(Table37[[#This Row],[GWh/d '[capacity map']]:[GWh/d '[transparency map']]])*365</f>
        <v>9406.0499999999993</v>
      </c>
      <c r="G100">
        <f t="shared" si="3"/>
        <v>9.4060499999999987</v>
      </c>
    </row>
    <row r="101" spans="1:8">
      <c r="A101" t="s">
        <v>29</v>
      </c>
      <c r="B101" t="s">
        <v>20</v>
      </c>
      <c r="C101">
        <v>1708.7</v>
      </c>
      <c r="F101">
        <f>MIN(Table37[[#This Row],[GWh/d '[capacity map']]:[GWh/d '[transparency map']]])*365</f>
        <v>623675.5</v>
      </c>
      <c r="G101">
        <f t="shared" si="3"/>
        <v>623.67550000000006</v>
      </c>
    </row>
    <row r="102" spans="1:8">
      <c r="A102" t="s">
        <v>29</v>
      </c>
      <c r="B102" t="s">
        <v>28</v>
      </c>
      <c r="C102">
        <v>395.2</v>
      </c>
      <c r="F102">
        <f>MIN(Table37[[#This Row],[GWh/d '[capacity map']]:[GWh/d '[transparency map']]])*365</f>
        <v>144248</v>
      </c>
      <c r="G102">
        <f t="shared" si="3"/>
        <v>144.24799999999999</v>
      </c>
    </row>
    <row r="103" spans="1:8">
      <c r="A103" t="s">
        <v>29</v>
      </c>
      <c r="B103" t="s">
        <v>30</v>
      </c>
      <c r="C103">
        <v>128.97</v>
      </c>
      <c r="F103">
        <f>MIN(Table37[[#This Row],[GWh/d '[capacity map']]:[GWh/d '[transparency map']]])*365</f>
        <v>47074.05</v>
      </c>
      <c r="G103">
        <f t="shared" si="3"/>
        <v>47.07405</v>
      </c>
    </row>
    <row r="104" spans="1:8">
      <c r="A104" t="s">
        <v>29</v>
      </c>
      <c r="B104" t="s">
        <v>27</v>
      </c>
      <c r="C104">
        <v>144.50399999999999</v>
      </c>
      <c r="F104">
        <f>MIN(Table37[[#This Row],[GWh/d '[capacity map']]:[GWh/d '[transparency map']]])*365</f>
        <v>52743.96</v>
      </c>
      <c r="G104">
        <f t="shared" si="3"/>
        <v>52.743960000000001</v>
      </c>
    </row>
    <row r="105" spans="1:8">
      <c r="A105" t="s">
        <v>29</v>
      </c>
      <c r="B105" t="s">
        <v>38</v>
      </c>
      <c r="C105">
        <v>436.8</v>
      </c>
      <c r="D105">
        <v>280.8</v>
      </c>
      <c r="F105">
        <f>MIN(Table37[[#This Row],[GWh/d '[capacity map']]:[GWh/d '[transparency map']]])*365</f>
        <v>102492</v>
      </c>
      <c r="G105">
        <f t="shared" si="3"/>
        <v>102.492</v>
      </c>
    </row>
    <row r="106" spans="1:8">
      <c r="A106" t="s">
        <v>50</v>
      </c>
      <c r="B106" t="s">
        <v>21</v>
      </c>
      <c r="C106">
        <v>1154.47</v>
      </c>
      <c r="D106">
        <v>1154</v>
      </c>
      <c r="F106">
        <f>MIN(Table37[[#This Row],[GWh/d '[capacity map']]:[GWh/d '[transparency map']]])*365</f>
        <v>421210</v>
      </c>
      <c r="G106">
        <f t="shared" si="3"/>
        <v>421.21</v>
      </c>
      <c r="H106" t="s">
        <v>147</v>
      </c>
    </row>
    <row r="107" spans="1:8">
      <c r="A107" t="s">
        <v>46</v>
      </c>
      <c r="B107" t="s">
        <v>32</v>
      </c>
      <c r="C107">
        <v>576.03</v>
      </c>
      <c r="F107">
        <f>MIN(Table37[[#This Row],[GWh/d '[capacity map']]:[GWh/d '[transparency map']]])*365</f>
        <v>210250.94999999998</v>
      </c>
      <c r="G107">
        <f t="shared" si="3"/>
        <v>210.25094999999999</v>
      </c>
    </row>
    <row r="108" spans="1:8">
      <c r="A108" t="s">
        <v>46</v>
      </c>
      <c r="B108" t="s">
        <v>264</v>
      </c>
      <c r="C108">
        <v>398.6</v>
      </c>
      <c r="F108">
        <f>MIN(Table37[[#This Row],[GWh/d '[capacity map']]:[GWh/d '[transparency map']]])*365</f>
        <v>145489</v>
      </c>
      <c r="G108">
        <f t="shared" si="3"/>
        <v>145.489</v>
      </c>
    </row>
    <row r="109" spans="1:8">
      <c r="A109" t="s">
        <v>38</v>
      </c>
      <c r="B109" t="s">
        <v>30</v>
      </c>
      <c r="D109">
        <v>84.77</v>
      </c>
      <c r="F109">
        <f>MIN(Table37[[#This Row],[GWh/d '[capacity map']]:[GWh/d '[transparency map']]])*365</f>
        <v>30941.05</v>
      </c>
      <c r="G109">
        <f t="shared" si="3"/>
        <v>30.941050000000001</v>
      </c>
    </row>
    <row r="110" spans="1:8">
      <c r="A110" t="s">
        <v>38</v>
      </c>
      <c r="B110" t="s">
        <v>39</v>
      </c>
      <c r="E110">
        <v>255.46047452000005</v>
      </c>
      <c r="F110">
        <f>MIN(Table37[[#This Row],[GWh/d '[capacity map']]:[GWh/d '[transparency map']]])*365</f>
        <v>93243.073199800012</v>
      </c>
      <c r="G110">
        <f t="shared" si="3"/>
        <v>93.243073199800008</v>
      </c>
    </row>
    <row r="111" spans="1:8">
      <c r="A111" t="s">
        <v>38</v>
      </c>
      <c r="B111" t="s">
        <v>27</v>
      </c>
      <c r="D111">
        <v>135.6</v>
      </c>
      <c r="F111">
        <f>MIN(Table37[[#This Row],[GWh/d '[capacity map']]:[GWh/d '[transparency map']]])*365</f>
        <v>49494</v>
      </c>
      <c r="G111">
        <f t="shared" si="3"/>
        <v>49.494</v>
      </c>
      <c r="H111" t="s">
        <v>148</v>
      </c>
    </row>
    <row r="112" spans="1:8">
      <c r="A112" t="s">
        <v>38</v>
      </c>
      <c r="B112" t="s">
        <v>33</v>
      </c>
      <c r="C112">
        <v>0</v>
      </c>
      <c r="D112">
        <v>0</v>
      </c>
      <c r="F112">
        <f>MIN(Table37[[#This Row],[GWh/d '[capacity map']]:[GWh/d '[transparency map']]])*365</f>
        <v>0</v>
      </c>
      <c r="G112">
        <f t="shared" si="3"/>
        <v>0</v>
      </c>
      <c r="H112" t="s">
        <v>148</v>
      </c>
    </row>
    <row r="113" spans="1:7">
      <c r="A113" t="s">
        <v>38</v>
      </c>
      <c r="B113" t="s">
        <v>29</v>
      </c>
      <c r="C113">
        <v>249.6</v>
      </c>
      <c r="D113">
        <v>1799</v>
      </c>
      <c r="F113">
        <f>MIN(Table37[[#This Row],[GWh/d '[capacity map']]:[GWh/d '[transparency map']]])*365</f>
        <v>91104</v>
      </c>
      <c r="G113">
        <f t="shared" si="3"/>
        <v>91.103999999999999</v>
      </c>
    </row>
    <row r="114" spans="1:7">
      <c r="A114" t="s">
        <v>11</v>
      </c>
      <c r="B114" t="s">
        <v>17</v>
      </c>
      <c r="C114">
        <v>651.70000000000005</v>
      </c>
      <c r="D114">
        <v>205.9</v>
      </c>
      <c r="F114">
        <f>MIN(Table37[[#This Row],[GWh/d '[capacity map']]:[GWh/d '[transparency map']]])*365</f>
        <v>75153.5</v>
      </c>
      <c r="G114">
        <f t="shared" si="3"/>
        <v>75.153499999999994</v>
      </c>
    </row>
    <row r="115" spans="1:7">
      <c r="A115" t="s">
        <v>11</v>
      </c>
      <c r="B115" t="s">
        <v>43</v>
      </c>
      <c r="C115">
        <v>386.58</v>
      </c>
      <c r="D115">
        <v>385</v>
      </c>
      <c r="F115">
        <f>MIN(Table37[[#This Row],[GWh/d '[capacity map']]:[GWh/d '[transparency map']]])*365</f>
        <v>140525</v>
      </c>
      <c r="G115">
        <f t="shared" si="3"/>
        <v>140.52500000000001</v>
      </c>
    </row>
    <row r="116" spans="1:7">
      <c r="A116" t="s">
        <v>11</v>
      </c>
      <c r="B116" t="s">
        <v>18</v>
      </c>
      <c r="C116">
        <v>168</v>
      </c>
      <c r="F116">
        <f>MIN(Table37[[#This Row],[GWh/d '[capacity map']]:[GWh/d '[transparency map']]])*365</f>
        <v>61320</v>
      </c>
      <c r="G116">
        <f t="shared" si="3"/>
        <v>61.32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76F9-722D-4157-A59B-8345FC848DDC}">
  <dimension ref="A1:H116"/>
  <sheetViews>
    <sheetView topLeftCell="A70" workbookViewId="0">
      <selection activeCell="I73" sqref="I73"/>
    </sheetView>
  </sheetViews>
  <sheetFormatPr defaultRowHeight="14.5"/>
  <cols>
    <col min="3" max="3" width="20.453125" customWidth="1"/>
    <col min="4" max="4" width="17.1796875" customWidth="1"/>
    <col min="5" max="5" width="16.1796875" customWidth="1"/>
    <col min="6" max="6" width="8.81640625" customWidth="1"/>
    <col min="11" max="12" width="10.1796875" customWidth="1"/>
  </cols>
  <sheetData>
    <row r="1" spans="1:8">
      <c r="A1" t="s">
        <v>92</v>
      </c>
      <c r="B1" t="s">
        <v>93</v>
      </c>
      <c r="C1" t="s">
        <v>138</v>
      </c>
      <c r="D1" t="s">
        <v>139</v>
      </c>
      <c r="E1" t="s">
        <v>140</v>
      </c>
      <c r="F1" t="s">
        <v>105</v>
      </c>
      <c r="G1" t="s">
        <v>106</v>
      </c>
      <c r="H1" t="s">
        <v>142</v>
      </c>
    </row>
    <row r="2" spans="1:8">
      <c r="A2" t="s">
        <v>41</v>
      </c>
      <c r="B2" t="s">
        <v>21</v>
      </c>
      <c r="C2">
        <v>494.33</v>
      </c>
      <c r="F2">
        <f>MIN(Table3722[[#This Row],[GWh/d '[capacity map']]:[GWh/d '[transparency map']]])*365</f>
        <v>180430.44999999998</v>
      </c>
      <c r="G2">
        <f t="shared" ref="G2:G65" si="0">F2/1000</f>
        <v>180.43044999999998</v>
      </c>
    </row>
    <row r="3" spans="1:8">
      <c r="A3" t="s">
        <v>20</v>
      </c>
      <c r="B3" t="s">
        <v>19</v>
      </c>
      <c r="C3">
        <v>797.93600000000004</v>
      </c>
      <c r="F3">
        <f>MIN(Table3722[[#This Row],[GWh/d '[capacity map']]:[GWh/d '[transparency map']]])*365</f>
        <v>291246.64</v>
      </c>
      <c r="G3">
        <f t="shared" si="0"/>
        <v>291.24664000000001</v>
      </c>
    </row>
    <row r="4" spans="1:8">
      <c r="A4" t="s">
        <v>20</v>
      </c>
      <c r="B4" t="s">
        <v>30</v>
      </c>
      <c r="C4">
        <v>153.08000000000001</v>
      </c>
      <c r="F4">
        <f>MIN(Table3722[[#This Row],[GWh/d '[capacity map']]:[GWh/d '[transparency map']]])*365</f>
        <v>55874.200000000004</v>
      </c>
      <c r="G4">
        <f t="shared" si="0"/>
        <v>55.874200000000002</v>
      </c>
    </row>
    <row r="5" spans="1:8">
      <c r="A5" t="s">
        <v>20</v>
      </c>
      <c r="B5" t="s">
        <v>21</v>
      </c>
      <c r="C5">
        <v>1176.1099999999999</v>
      </c>
      <c r="F5">
        <f>MIN(Table3722[[#This Row],[GWh/d '[capacity map']]:[GWh/d '[transparency map']]])*365</f>
        <v>429280.14999999997</v>
      </c>
      <c r="G5">
        <f t="shared" si="0"/>
        <v>429.28014999999999</v>
      </c>
    </row>
    <row r="6" spans="1:8">
      <c r="A6" t="s">
        <v>20</v>
      </c>
      <c r="B6" t="s">
        <v>23</v>
      </c>
      <c r="C6">
        <v>112.5</v>
      </c>
      <c r="F6">
        <f>MIN(Table3722[[#This Row],[GWh/d '[capacity map']]:[GWh/d '[transparency map']]])*365</f>
        <v>41062.5</v>
      </c>
      <c r="G6">
        <f t="shared" si="0"/>
        <v>41.0625</v>
      </c>
    </row>
    <row r="7" spans="1:8">
      <c r="A7" t="s">
        <v>20</v>
      </c>
      <c r="B7" t="s">
        <v>29</v>
      </c>
      <c r="C7">
        <v>384.8</v>
      </c>
      <c r="F7">
        <f>MIN(Table3722[[#This Row],[GWh/d '[capacity map']]:[GWh/d '[transparency map']]])*365</f>
        <v>140452</v>
      </c>
      <c r="G7">
        <f t="shared" si="0"/>
        <v>140.452</v>
      </c>
    </row>
    <row r="8" spans="1:8">
      <c r="A8" t="s">
        <v>17</v>
      </c>
      <c r="B8" t="s">
        <v>19</v>
      </c>
      <c r="C8">
        <v>542</v>
      </c>
      <c r="F8">
        <f>MIN(Table3722[[#This Row],[GWh/d '[capacity map']]:[GWh/d '[transparency map']]])*365</f>
        <v>197830</v>
      </c>
      <c r="G8">
        <f t="shared" si="0"/>
        <v>197.83</v>
      </c>
    </row>
    <row r="9" spans="1:8">
      <c r="A9" t="s">
        <v>17</v>
      </c>
      <c r="B9" t="s">
        <v>25</v>
      </c>
      <c r="C9">
        <v>530</v>
      </c>
      <c r="F9">
        <f>MIN(Table3722[[#This Row],[GWh/d '[capacity map']]:[GWh/d '[transparency map']]])*365</f>
        <v>193450</v>
      </c>
      <c r="G9">
        <f t="shared" si="0"/>
        <v>193.45</v>
      </c>
    </row>
    <row r="10" spans="1:8">
      <c r="A10" t="s">
        <v>17</v>
      </c>
      <c r="B10" t="s">
        <v>42</v>
      </c>
      <c r="C10">
        <v>48.8</v>
      </c>
      <c r="E10">
        <v>41.973541999999995</v>
      </c>
      <c r="F10">
        <f>MIN(Table3722[[#This Row],[GWh/d '[capacity map']]:[GWh/d '[transparency map']]])*365</f>
        <v>15320.342829999998</v>
      </c>
      <c r="G10">
        <f t="shared" si="0"/>
        <v>15.320342829999998</v>
      </c>
    </row>
    <row r="11" spans="1:8">
      <c r="A11" t="s">
        <v>17</v>
      </c>
      <c r="B11" t="s">
        <v>18</v>
      </c>
      <c r="C11">
        <v>428</v>
      </c>
      <c r="F11">
        <f>MIN(Table3722[[#This Row],[GWh/d '[capacity map']]:[GWh/d '[transparency map']]])*365</f>
        <v>156220</v>
      </c>
      <c r="G11">
        <f t="shared" si="0"/>
        <v>156.22</v>
      </c>
    </row>
    <row r="12" spans="1:8">
      <c r="A12" t="s">
        <v>17</v>
      </c>
      <c r="B12" t="s">
        <v>11</v>
      </c>
      <c r="C12">
        <v>803.4</v>
      </c>
      <c r="D12">
        <v>205.9</v>
      </c>
      <c r="F12">
        <f>MIN(Table3722[[#This Row],[GWh/d '[capacity map']]:[GWh/d '[transparency map']]])*365</f>
        <v>75153.5</v>
      </c>
      <c r="G12">
        <f t="shared" si="0"/>
        <v>75.153499999999994</v>
      </c>
    </row>
    <row r="13" spans="1:8">
      <c r="A13" t="s">
        <v>32</v>
      </c>
      <c r="B13" t="s">
        <v>264</v>
      </c>
      <c r="C13">
        <v>120.36</v>
      </c>
      <c r="F13">
        <f>MIN(Table3722[[#This Row],[GWh/d '[capacity map']]:[GWh/d '[transparency map']]])*365</f>
        <v>43931.4</v>
      </c>
      <c r="G13">
        <f t="shared" si="0"/>
        <v>43.931400000000004</v>
      </c>
    </row>
    <row r="14" spans="1:8">
      <c r="A14" t="s">
        <v>32</v>
      </c>
      <c r="B14" t="s">
        <v>45</v>
      </c>
      <c r="C14">
        <v>33.28</v>
      </c>
      <c r="D14">
        <v>33.28</v>
      </c>
      <c r="F14">
        <f>MIN(Table3722[[#This Row],[GWh/d '[capacity map']]:[GWh/d '[transparency map']]])*365</f>
        <v>12147.2</v>
      </c>
      <c r="G14">
        <f t="shared" si="0"/>
        <v>12.147200000000002</v>
      </c>
    </row>
    <row r="15" spans="1:8">
      <c r="A15" t="s">
        <v>32</v>
      </c>
      <c r="B15" t="s">
        <v>33</v>
      </c>
      <c r="C15">
        <v>211.73400000000001</v>
      </c>
      <c r="F15">
        <f>MIN(Table3722[[#This Row],[GWh/d '[capacity map']]:[GWh/d '[transparency map']]])*365</f>
        <v>77282.91</v>
      </c>
      <c r="G15">
        <f t="shared" si="0"/>
        <v>77.282910000000001</v>
      </c>
    </row>
    <row r="16" spans="1:8">
      <c r="A16" t="s">
        <v>32</v>
      </c>
      <c r="B16" t="s">
        <v>31</v>
      </c>
      <c r="C16">
        <v>459.76800000000003</v>
      </c>
      <c r="D16">
        <v>467.5</v>
      </c>
      <c r="F16">
        <f>MIN(Table3722[[#This Row],[GWh/d '[capacity map']]:[GWh/d '[transparency map']]])*365</f>
        <v>167815.32</v>
      </c>
      <c r="G16">
        <f t="shared" si="0"/>
        <v>167.81532000000001</v>
      </c>
    </row>
    <row r="17" spans="1:8">
      <c r="A17" t="s">
        <v>32</v>
      </c>
      <c r="B17" t="s">
        <v>46</v>
      </c>
      <c r="D17">
        <v>701.8</v>
      </c>
      <c r="F17">
        <f>MIN(Table3722[[#This Row],[GWh/d '[capacity map']]:[GWh/d '[transparency map']]])*365</f>
        <v>256156.99999999997</v>
      </c>
      <c r="G17">
        <f t="shared" si="0"/>
        <v>256.15699999999998</v>
      </c>
      <c r="H17" t="s">
        <v>148</v>
      </c>
    </row>
    <row r="18" spans="1:8">
      <c r="A18" t="s">
        <v>52</v>
      </c>
      <c r="B18" t="s">
        <v>34</v>
      </c>
      <c r="D18">
        <v>325.39999999999998</v>
      </c>
      <c r="F18">
        <f>MIN(Table3722[[#This Row],[GWh/d '[capacity map']]:[GWh/d '[transparency map']]])*365</f>
        <v>118770.99999999999</v>
      </c>
      <c r="G18">
        <f t="shared" si="0"/>
        <v>118.77099999999999</v>
      </c>
      <c r="H18" t="s">
        <v>148</v>
      </c>
    </row>
    <row r="19" spans="1:8">
      <c r="A19" t="s">
        <v>52</v>
      </c>
      <c r="B19" t="s">
        <v>27</v>
      </c>
      <c r="D19">
        <v>0</v>
      </c>
      <c r="F19">
        <f>MIN(Table3722[[#This Row],[GWh/d '[capacity map']]:[GWh/d '[transparency map']]])*365</f>
        <v>0</v>
      </c>
      <c r="G19">
        <f t="shared" si="0"/>
        <v>0</v>
      </c>
      <c r="H19" t="s">
        <v>148</v>
      </c>
    </row>
    <row r="20" spans="1:8">
      <c r="A20" t="s">
        <v>52</v>
      </c>
      <c r="B20" t="s">
        <v>38</v>
      </c>
      <c r="E20">
        <v>35.53171072</v>
      </c>
      <c r="F20">
        <f>MIN(Table3722[[#This Row],[GWh/d '[capacity map']]:[GWh/d '[transparency map']]])*365</f>
        <v>12969.074412800001</v>
      </c>
      <c r="G20">
        <f t="shared" si="0"/>
        <v>12.969074412800001</v>
      </c>
    </row>
    <row r="21" spans="1:8">
      <c r="A21" t="s">
        <v>22</v>
      </c>
      <c r="B21" t="s">
        <v>19</v>
      </c>
      <c r="C21">
        <v>240</v>
      </c>
      <c r="F21">
        <f>MIN(Table3722[[#This Row],[GWh/d '[capacity map']]:[GWh/d '[transparency map']]])*365</f>
        <v>87600</v>
      </c>
      <c r="G21">
        <f t="shared" si="0"/>
        <v>87.6</v>
      </c>
    </row>
    <row r="22" spans="1:8">
      <c r="A22" t="s">
        <v>22</v>
      </c>
      <c r="B22" t="s">
        <v>25</v>
      </c>
      <c r="C22">
        <v>100</v>
      </c>
      <c r="F22">
        <f>MIN(Table3722[[#This Row],[GWh/d '[capacity map']]:[GWh/d '[transparency map']]])*365</f>
        <v>36500</v>
      </c>
      <c r="G22">
        <f t="shared" si="0"/>
        <v>36.5</v>
      </c>
    </row>
    <row r="23" spans="1:8">
      <c r="A23" t="s">
        <v>22</v>
      </c>
      <c r="B23" t="s">
        <v>21</v>
      </c>
      <c r="C23">
        <v>640.48</v>
      </c>
      <c r="F23">
        <f>MIN(Table3722[[#This Row],[GWh/d '[capacity map']]:[GWh/d '[transparency map']]])*365</f>
        <v>233775.2</v>
      </c>
      <c r="G23">
        <f t="shared" si="0"/>
        <v>233.77520000000001</v>
      </c>
    </row>
    <row r="24" spans="1:8">
      <c r="A24" t="s">
        <v>28</v>
      </c>
      <c r="B24" t="s">
        <v>19</v>
      </c>
      <c r="C24">
        <v>960.97</v>
      </c>
      <c r="F24">
        <f>MIN(Table3722[[#This Row],[GWh/d '[capacity map']]:[GWh/d '[transparency map']]])*365</f>
        <v>350754.05</v>
      </c>
      <c r="G24">
        <f t="shared" si="0"/>
        <v>350.75405000000001</v>
      </c>
    </row>
    <row r="25" spans="1:8">
      <c r="A25" t="s">
        <v>28</v>
      </c>
      <c r="B25" t="s">
        <v>27</v>
      </c>
      <c r="C25">
        <v>28.03</v>
      </c>
      <c r="F25">
        <f>MIN(Table3722[[#This Row],[GWh/d '[capacity map']]:[GWh/d '[transparency map']]])*365</f>
        <v>10230.950000000001</v>
      </c>
      <c r="G25">
        <f t="shared" si="0"/>
        <v>10.23095</v>
      </c>
    </row>
    <row r="26" spans="1:8">
      <c r="A26" t="s">
        <v>28</v>
      </c>
      <c r="B26" t="s">
        <v>29</v>
      </c>
      <c r="C26">
        <v>1399</v>
      </c>
      <c r="F26">
        <f>MIN(Table3722[[#This Row],[GWh/d '[capacity map']]:[GWh/d '[transparency map']]])*365</f>
        <v>510635</v>
      </c>
      <c r="G26">
        <f t="shared" si="0"/>
        <v>510.63499999999999</v>
      </c>
    </row>
    <row r="27" spans="1:8">
      <c r="A27" t="s">
        <v>19</v>
      </c>
      <c r="B27" t="s">
        <v>20</v>
      </c>
      <c r="C27">
        <v>710.94036800000003</v>
      </c>
      <c r="F27">
        <f>MIN(Table3722[[#This Row],[GWh/d '[capacity map']]:[GWh/d '[transparency map']]])*365</f>
        <v>259493.23432000002</v>
      </c>
      <c r="G27">
        <f t="shared" si="0"/>
        <v>259.49323432</v>
      </c>
    </row>
    <row r="28" spans="1:8">
      <c r="A28" t="s">
        <v>19</v>
      </c>
      <c r="B28" t="s">
        <v>17</v>
      </c>
      <c r="C28">
        <v>356</v>
      </c>
      <c r="F28">
        <f>MIN(Table3722[[#This Row],[GWh/d '[capacity map']]:[GWh/d '[transparency map']]])*365</f>
        <v>129940</v>
      </c>
      <c r="G28">
        <f t="shared" si="0"/>
        <v>129.94</v>
      </c>
    </row>
    <row r="29" spans="1:8">
      <c r="A29" t="s">
        <v>19</v>
      </c>
      <c r="B29" t="s">
        <v>22</v>
      </c>
      <c r="C29">
        <v>353.83</v>
      </c>
      <c r="F29">
        <f>MIN(Table3722[[#This Row],[GWh/d '[capacity map']]:[GWh/d '[transparency map']]])*365</f>
        <v>129147.95</v>
      </c>
      <c r="G29">
        <f t="shared" si="0"/>
        <v>129.14795000000001</v>
      </c>
    </row>
    <row r="30" spans="1:8">
      <c r="A30" t="s">
        <v>19</v>
      </c>
      <c r="B30" t="s">
        <v>28</v>
      </c>
      <c r="C30">
        <v>1628</v>
      </c>
      <c r="F30">
        <f>MIN(Table3722[[#This Row],[GWh/d '[capacity map']]:[GWh/d '[transparency map']]])*365</f>
        <v>594220</v>
      </c>
      <c r="G30">
        <f t="shared" si="0"/>
        <v>594.22</v>
      </c>
    </row>
    <row r="31" spans="1:8">
      <c r="A31" t="s">
        <v>19</v>
      </c>
      <c r="B31" t="s">
        <v>26</v>
      </c>
      <c r="C31">
        <v>123.627</v>
      </c>
      <c r="F31">
        <f>MIN(Table3722[[#This Row],[GWh/d '[capacity map']]:[GWh/d '[transparency map']]])*365</f>
        <v>45123.854999999996</v>
      </c>
      <c r="G31">
        <f t="shared" si="0"/>
        <v>45.123854999999999</v>
      </c>
    </row>
    <row r="32" spans="1:8">
      <c r="A32" t="s">
        <v>19</v>
      </c>
      <c r="B32" t="s">
        <v>25</v>
      </c>
      <c r="C32">
        <v>613.74174400000004</v>
      </c>
      <c r="F32">
        <f>MIN(Table3722[[#This Row],[GWh/d '[capacity map']]:[GWh/d '[transparency map']]])*365</f>
        <v>224015.73656000002</v>
      </c>
      <c r="G32">
        <f t="shared" si="0"/>
        <v>224.01573656000002</v>
      </c>
    </row>
    <row r="33" spans="1:8">
      <c r="A33" t="s">
        <v>19</v>
      </c>
      <c r="B33" t="s">
        <v>42</v>
      </c>
      <c r="C33">
        <v>24</v>
      </c>
      <c r="F33">
        <f>MIN(Table3722[[#This Row],[GWh/d '[capacity map']]:[GWh/d '[transparency map']]])*365</f>
        <v>8760</v>
      </c>
      <c r="G33">
        <f t="shared" si="0"/>
        <v>8.76</v>
      </c>
    </row>
    <row r="34" spans="1:8">
      <c r="A34" t="s">
        <v>19</v>
      </c>
      <c r="B34" t="s">
        <v>18</v>
      </c>
      <c r="C34">
        <v>1513.9</v>
      </c>
      <c r="F34">
        <f>MIN(Table3722[[#This Row],[GWh/d '[capacity map']]:[GWh/d '[transparency map']]])*365</f>
        <v>552573.5</v>
      </c>
      <c r="G34">
        <f t="shared" si="0"/>
        <v>552.57349999999997</v>
      </c>
    </row>
    <row r="35" spans="1:8">
      <c r="A35" t="s">
        <v>19</v>
      </c>
      <c r="B35" t="s">
        <v>27</v>
      </c>
      <c r="C35">
        <v>326.27999999999997</v>
      </c>
      <c r="F35">
        <f>MIN(Table3722[[#This Row],[GWh/d '[capacity map']]:[GWh/d '[transparency map']]])*365</f>
        <v>119092.2</v>
      </c>
      <c r="G35">
        <f t="shared" si="0"/>
        <v>119.09219999999999</v>
      </c>
    </row>
    <row r="36" spans="1:8">
      <c r="A36" t="s">
        <v>26</v>
      </c>
      <c r="B36" t="s">
        <v>19</v>
      </c>
      <c r="C36">
        <v>15.7</v>
      </c>
      <c r="F36">
        <f>MIN(Table3722[[#This Row],[GWh/d '[capacity map']]:[GWh/d '[transparency map']]])*365</f>
        <v>5730.5</v>
      </c>
      <c r="G36">
        <f t="shared" si="0"/>
        <v>5.7305000000000001</v>
      </c>
    </row>
    <row r="37" spans="1:8">
      <c r="A37" t="s">
        <v>26</v>
      </c>
      <c r="B37" t="s">
        <v>27</v>
      </c>
      <c r="C37">
        <v>321.60000000000002</v>
      </c>
      <c r="F37">
        <f>MIN(Table3722[[#This Row],[GWh/d '[capacity map']]:[GWh/d '[transparency map']]])*365</f>
        <v>117384.00000000001</v>
      </c>
      <c r="G37">
        <f t="shared" si="0"/>
        <v>117.38400000000001</v>
      </c>
    </row>
    <row r="38" spans="1:8">
      <c r="A38" t="s">
        <v>48</v>
      </c>
      <c r="B38" t="s">
        <v>26</v>
      </c>
      <c r="C38">
        <v>321.60000000000002</v>
      </c>
      <c r="F38">
        <f>MIN(Table3722[[#This Row],[GWh/d '[capacity map']]:[GWh/d '[transparency map']]])*365</f>
        <v>117384.00000000001</v>
      </c>
      <c r="G38">
        <f>F38/1000</f>
        <v>117.38400000000001</v>
      </c>
      <c r="H38" t="s">
        <v>288</v>
      </c>
    </row>
    <row r="39" spans="1:8">
      <c r="A39" t="s">
        <v>26</v>
      </c>
      <c r="B39" t="s">
        <v>82</v>
      </c>
      <c r="E39">
        <v>30</v>
      </c>
      <c r="F39">
        <f>MIN(Table3722[[#This Row],[GWh/d '[capacity map']]:[GWh/d '[transparency map']]])*365</f>
        <v>10950</v>
      </c>
      <c r="G39">
        <f t="shared" si="0"/>
        <v>10.95</v>
      </c>
      <c r="H39" t="s">
        <v>145</v>
      </c>
    </row>
    <row r="40" spans="1:8">
      <c r="A40" t="s">
        <v>49</v>
      </c>
      <c r="B40" t="s">
        <v>36</v>
      </c>
      <c r="C40">
        <v>337.12</v>
      </c>
      <c r="D40">
        <v>337.1</v>
      </c>
      <c r="F40">
        <f>MIN(Table3722[[#This Row],[GWh/d '[capacity map']]:[GWh/d '[transparency map']]])*365</f>
        <v>123041.50000000001</v>
      </c>
      <c r="G40">
        <f t="shared" si="0"/>
        <v>123.04150000000001</v>
      </c>
    </row>
    <row r="41" spans="1:8">
      <c r="A41" t="s">
        <v>49</v>
      </c>
      <c r="B41" t="s">
        <v>96</v>
      </c>
      <c r="D41">
        <v>31.92</v>
      </c>
      <c r="F41">
        <f>MIN(Table3722[[#This Row],[GWh/d '[capacity map']]:[GWh/d '[transparency map']]])*365</f>
        <v>11650.800000000001</v>
      </c>
      <c r="G41">
        <f t="shared" si="0"/>
        <v>11.6508</v>
      </c>
      <c r="H41" t="s">
        <v>146</v>
      </c>
    </row>
    <row r="42" spans="1:8">
      <c r="A42" t="s">
        <v>49</v>
      </c>
      <c r="B42" t="s">
        <v>50</v>
      </c>
      <c r="C42">
        <v>1154.47</v>
      </c>
      <c r="F42">
        <f>MIN(Table3722[[#This Row],[GWh/d '[capacity map']]:[GWh/d '[transparency map']]])*365</f>
        <v>421381.55</v>
      </c>
      <c r="G42">
        <f t="shared" si="0"/>
        <v>421.38155</v>
      </c>
      <c r="H42" t="s">
        <v>144</v>
      </c>
    </row>
    <row r="43" spans="1:8">
      <c r="A43" t="s">
        <v>53</v>
      </c>
      <c r="B43" t="s">
        <v>54</v>
      </c>
      <c r="E43">
        <v>61.341321000000001</v>
      </c>
      <c r="F43">
        <f>MIN(Table3722[[#This Row],[GWh/d '[capacity map']]:[GWh/d '[transparency map']]])*365</f>
        <v>22389.582165</v>
      </c>
      <c r="G43">
        <f t="shared" si="0"/>
        <v>22.389582165</v>
      </c>
    </row>
    <row r="44" spans="1:8">
      <c r="A44" t="s">
        <v>53</v>
      </c>
      <c r="B44" t="s">
        <v>35</v>
      </c>
      <c r="E44">
        <v>67.7</v>
      </c>
      <c r="F44">
        <f>MIN(Table3722[[#This Row],[GWh/d '[capacity map']]:[GWh/d '[transparency map']]])*365</f>
        <v>24710.5</v>
      </c>
      <c r="G44">
        <f t="shared" si="0"/>
        <v>24.7105</v>
      </c>
    </row>
    <row r="45" spans="1:8">
      <c r="A45" t="s">
        <v>264</v>
      </c>
      <c r="B45" t="s">
        <v>41</v>
      </c>
      <c r="C45">
        <v>487.1</v>
      </c>
      <c r="F45">
        <f>MIN(Table3722[[#This Row],[GWh/d '[capacity map']]:[GWh/d '[transparency map']]])*365</f>
        <v>177791.5</v>
      </c>
      <c r="G45">
        <f t="shared" si="0"/>
        <v>177.79150000000001</v>
      </c>
      <c r="H45" t="s">
        <v>143</v>
      </c>
    </row>
    <row r="46" spans="1:8">
      <c r="A46" t="s">
        <v>264</v>
      </c>
      <c r="B46" t="s">
        <v>32</v>
      </c>
      <c r="C46">
        <v>172.57</v>
      </c>
      <c r="F46">
        <f>MIN(Table3722[[#This Row],[GWh/d '[capacity map']]:[GWh/d '[transparency map']]])*365</f>
        <v>62988.049999999996</v>
      </c>
      <c r="G46">
        <f t="shared" si="0"/>
        <v>62.988049999999994</v>
      </c>
    </row>
    <row r="47" spans="1:8">
      <c r="A47" t="s">
        <v>36</v>
      </c>
      <c r="B47" t="s">
        <v>25</v>
      </c>
      <c r="C47">
        <v>224.4</v>
      </c>
      <c r="F47">
        <f>MIN(Table3722[[#This Row],[GWh/d '[capacity map']]:[GWh/d '[transparency map']]])*365</f>
        <v>81906</v>
      </c>
      <c r="G47">
        <f t="shared" si="0"/>
        <v>81.906000000000006</v>
      </c>
    </row>
    <row r="48" spans="1:8">
      <c r="A48" t="s">
        <v>36</v>
      </c>
      <c r="B48" t="s">
        <v>37</v>
      </c>
      <c r="C48">
        <v>144</v>
      </c>
      <c r="F48">
        <f>MIN(Table3722[[#This Row],[GWh/d '[capacity map']]:[GWh/d '[transparency map']]])*365</f>
        <v>52560</v>
      </c>
      <c r="G48">
        <f t="shared" si="0"/>
        <v>52.56</v>
      </c>
    </row>
    <row r="49" spans="1:7">
      <c r="A49" t="s">
        <v>54</v>
      </c>
      <c r="B49" t="s">
        <v>53</v>
      </c>
      <c r="C49" s="5">
        <v>78</v>
      </c>
      <c r="E49">
        <v>32.802250000000008</v>
      </c>
      <c r="F49">
        <f>MIN(Table3722[[#This Row],[GWh/d '[capacity map']]:[GWh/d '[transparency map']]])*365</f>
        <v>11972.821250000003</v>
      </c>
      <c r="G49">
        <f t="shared" si="0"/>
        <v>11.972821250000003</v>
      </c>
    </row>
    <row r="50" spans="1:7">
      <c r="A50" t="s">
        <v>25</v>
      </c>
      <c r="B50" t="s">
        <v>17</v>
      </c>
      <c r="C50">
        <v>270</v>
      </c>
      <c r="F50">
        <f>MIN(Table3722[[#This Row],[GWh/d '[capacity map']]:[GWh/d '[transparency map']]])*365</f>
        <v>98550</v>
      </c>
      <c r="G50">
        <f t="shared" si="0"/>
        <v>98.55</v>
      </c>
    </row>
    <row r="51" spans="1:7">
      <c r="A51" t="s">
        <v>25</v>
      </c>
      <c r="B51" t="s">
        <v>22</v>
      </c>
      <c r="C51">
        <v>259.02</v>
      </c>
      <c r="F51">
        <f>MIN(Table3722[[#This Row],[GWh/d '[capacity map']]:[GWh/d '[transparency map']]])*365</f>
        <v>94542.299999999988</v>
      </c>
      <c r="G51">
        <f t="shared" si="0"/>
        <v>94.542299999999983</v>
      </c>
    </row>
    <row r="52" spans="1:7">
      <c r="A52" t="s">
        <v>25</v>
      </c>
      <c r="B52" t="s">
        <v>19</v>
      </c>
      <c r="C52">
        <v>100</v>
      </c>
      <c r="F52">
        <f>MIN(Table3722[[#This Row],[GWh/d '[capacity map']]:[GWh/d '[transparency map']]])*365</f>
        <v>36500</v>
      </c>
      <c r="G52">
        <f t="shared" si="0"/>
        <v>36.5</v>
      </c>
    </row>
    <row r="53" spans="1:7">
      <c r="A53" t="s">
        <v>25</v>
      </c>
      <c r="B53" t="s">
        <v>36</v>
      </c>
      <c r="C53">
        <v>164.57</v>
      </c>
      <c r="F53">
        <f>MIN(Table3722[[#This Row],[GWh/d '[capacity map']]:[GWh/d '[transparency map']]])*365</f>
        <v>60068.049999999996</v>
      </c>
      <c r="G53">
        <f t="shared" si="0"/>
        <v>60.068049999999992</v>
      </c>
    </row>
    <row r="54" spans="1:7">
      <c r="A54" t="s">
        <v>24</v>
      </c>
      <c r="B54" t="s">
        <v>30</v>
      </c>
      <c r="C54">
        <v>50.9</v>
      </c>
      <c r="F54">
        <f>MIN(Table3722[[#This Row],[GWh/d '[capacity map']]:[GWh/d '[transparency map']]])*365</f>
        <v>18578.5</v>
      </c>
      <c r="G54">
        <f t="shared" si="0"/>
        <v>18.578499999999998</v>
      </c>
    </row>
    <row r="55" spans="1:7">
      <c r="A55" t="s">
        <v>24</v>
      </c>
      <c r="B55" t="s">
        <v>23</v>
      </c>
      <c r="C55">
        <v>7.7</v>
      </c>
      <c r="F55">
        <f>MIN(Table3722[[#This Row],[GWh/d '[capacity map']]:[GWh/d '[transparency map']]])*365</f>
        <v>2810.5</v>
      </c>
      <c r="G55">
        <f t="shared" si="0"/>
        <v>2.8105000000000002</v>
      </c>
    </row>
    <row r="56" spans="1:7">
      <c r="A56" t="s">
        <v>30</v>
      </c>
      <c r="B56" t="s">
        <v>24</v>
      </c>
      <c r="C56">
        <v>77.2</v>
      </c>
      <c r="F56">
        <f>MIN(Table3722[[#This Row],[GWh/d '[capacity map']]:[GWh/d '[transparency map']]])*365</f>
        <v>28178</v>
      </c>
      <c r="G56">
        <f t="shared" si="0"/>
        <v>28.178000000000001</v>
      </c>
    </row>
    <row r="57" spans="1:7">
      <c r="A57" t="s">
        <v>30</v>
      </c>
      <c r="B57" t="s">
        <v>33</v>
      </c>
      <c r="C57">
        <v>77.459999999999994</v>
      </c>
      <c r="F57">
        <f>MIN(Table3722[[#This Row],[GWh/d '[capacity map']]:[GWh/d '[transparency map']]])*365</f>
        <v>28272.899999999998</v>
      </c>
      <c r="G57">
        <f t="shared" si="0"/>
        <v>28.272899999999996</v>
      </c>
    </row>
    <row r="58" spans="1:7">
      <c r="A58" t="s">
        <v>30</v>
      </c>
      <c r="B58" t="s">
        <v>31</v>
      </c>
      <c r="C58">
        <v>141.97999999999999</v>
      </c>
      <c r="D58">
        <v>245.8</v>
      </c>
      <c r="F58">
        <f>MIN(Table3722[[#This Row],[GWh/d '[capacity map']]:[GWh/d '[transparency map']]])*365</f>
        <v>51822.7</v>
      </c>
      <c r="G58">
        <f t="shared" si="0"/>
        <v>51.822699999999998</v>
      </c>
    </row>
    <row r="59" spans="1:7">
      <c r="A59" t="s">
        <v>30</v>
      </c>
      <c r="B59" t="s">
        <v>29</v>
      </c>
      <c r="C59">
        <v>50.88</v>
      </c>
      <c r="F59">
        <f>MIN(Table3722[[#This Row],[GWh/d '[capacity map']]:[GWh/d '[transparency map']]])*365</f>
        <v>18571.2</v>
      </c>
      <c r="G59">
        <f t="shared" si="0"/>
        <v>18.571200000000001</v>
      </c>
    </row>
    <row r="60" spans="1:7">
      <c r="A60" t="s">
        <v>21</v>
      </c>
      <c r="B60" t="s">
        <v>20</v>
      </c>
      <c r="C60">
        <v>194.05</v>
      </c>
      <c r="F60">
        <f>MIN(Table3722[[#This Row],[GWh/d '[capacity map']]:[GWh/d '[transparency map']]])*365</f>
        <v>70828.25</v>
      </c>
      <c r="G60">
        <f t="shared" si="0"/>
        <v>70.828249999999997</v>
      </c>
    </row>
    <row r="61" spans="1:7">
      <c r="A61" t="s">
        <v>21</v>
      </c>
      <c r="B61" t="s">
        <v>22</v>
      </c>
      <c r="C61">
        <v>387.85</v>
      </c>
      <c r="F61">
        <f>MIN(Table3722[[#This Row],[GWh/d '[capacity map']]:[GWh/d '[transparency map']]])*365</f>
        <v>141565.25</v>
      </c>
      <c r="G61">
        <f t="shared" si="0"/>
        <v>141.56524999999999</v>
      </c>
    </row>
    <row r="62" spans="1:7">
      <c r="A62" t="s">
        <v>21</v>
      </c>
      <c r="B62" t="s">
        <v>23</v>
      </c>
      <c r="C62">
        <v>38.99</v>
      </c>
      <c r="F62">
        <f>MIN(Table3722[[#This Row],[GWh/d '[capacity map']]:[GWh/d '[transparency map']]])*365</f>
        <v>14231.35</v>
      </c>
      <c r="G62">
        <f t="shared" si="0"/>
        <v>14.231350000000001</v>
      </c>
    </row>
    <row r="63" spans="1:7">
      <c r="A63" t="s">
        <v>34</v>
      </c>
      <c r="B63" t="s">
        <v>35</v>
      </c>
      <c r="C63">
        <v>90</v>
      </c>
      <c r="F63">
        <f>MIN(Table3722[[#This Row],[GWh/d '[capacity map']]:[GWh/d '[transparency map']]])*365</f>
        <v>32850</v>
      </c>
      <c r="G63">
        <f t="shared" si="0"/>
        <v>32.85</v>
      </c>
    </row>
    <row r="64" spans="1:7">
      <c r="A64" t="s">
        <v>34</v>
      </c>
      <c r="B64" t="s">
        <v>27</v>
      </c>
      <c r="C64">
        <v>58.069200000000002</v>
      </c>
      <c r="F64">
        <f>MIN(Table3722[[#This Row],[GWh/d '[capacity map']]:[GWh/d '[transparency map']]])*365</f>
        <v>21195.258000000002</v>
      </c>
      <c r="G64">
        <f t="shared" si="0"/>
        <v>21.195258000000003</v>
      </c>
    </row>
    <row r="65" spans="1:8">
      <c r="A65" t="s">
        <v>34</v>
      </c>
      <c r="B65" t="s">
        <v>40</v>
      </c>
      <c r="C65">
        <v>0</v>
      </c>
      <c r="F65">
        <f>MIN(Table3722[[#This Row],[GWh/d '[capacity map']]:[GWh/d '[transparency map']]])*365</f>
        <v>0</v>
      </c>
      <c r="G65">
        <f t="shared" si="0"/>
        <v>0</v>
      </c>
      <c r="H65" t="s">
        <v>148</v>
      </c>
    </row>
    <row r="66" spans="1:8">
      <c r="A66" t="s">
        <v>42</v>
      </c>
      <c r="B66" t="s">
        <v>17</v>
      </c>
      <c r="E66">
        <v>41.973541999999995</v>
      </c>
      <c r="F66">
        <f>MIN(Table3722[[#This Row],[GWh/d '[capacity map']]:[GWh/d '[transparency map']]])*365</f>
        <v>15320.342829999998</v>
      </c>
      <c r="G66">
        <f t="shared" ref="G66:G116" si="1">F66/1000</f>
        <v>15.320342829999998</v>
      </c>
    </row>
    <row r="67" spans="1:8">
      <c r="A67" t="s">
        <v>35</v>
      </c>
      <c r="B67" t="s">
        <v>53</v>
      </c>
      <c r="E67">
        <v>67.7</v>
      </c>
      <c r="F67">
        <f>MIN(Table3722[[#This Row],[GWh/d '[capacity map']]:[GWh/d '[transparency map']]])*365</f>
        <v>24710.5</v>
      </c>
      <c r="G67">
        <f t="shared" si="1"/>
        <v>24.7105</v>
      </c>
    </row>
    <row r="68" spans="1:8">
      <c r="A68" t="s">
        <v>35</v>
      </c>
      <c r="B68" t="s">
        <v>34</v>
      </c>
      <c r="C68">
        <v>82</v>
      </c>
      <c r="F68">
        <f>MIN(Table3722[[#This Row],[GWh/d '[capacity map']]:[GWh/d '[transparency map']]])*365</f>
        <v>29930</v>
      </c>
      <c r="G68">
        <f t="shared" si="1"/>
        <v>29.93</v>
      </c>
    </row>
    <row r="69" spans="1:8">
      <c r="A69" t="s">
        <v>35</v>
      </c>
      <c r="B69" t="s">
        <v>40</v>
      </c>
      <c r="D69">
        <v>0</v>
      </c>
      <c r="F69">
        <f>MIN(Table3722[[#This Row],[GWh/d '[capacity map']]:[GWh/d '[transparency map']]])*365</f>
        <v>0</v>
      </c>
      <c r="G69">
        <f t="shared" si="1"/>
        <v>0</v>
      </c>
    </row>
    <row r="70" spans="1:8">
      <c r="A70" t="s">
        <v>51</v>
      </c>
      <c r="B70" t="s">
        <v>21</v>
      </c>
      <c r="D70">
        <v>493.7</v>
      </c>
      <c r="F70">
        <f>MIN(Table3722[[#This Row],[GWh/d '[capacity map']]:[GWh/d '[transparency map']]])*365</f>
        <v>180200.5</v>
      </c>
      <c r="G70">
        <f t="shared" si="1"/>
        <v>180.20050000000001</v>
      </c>
      <c r="H70" t="s">
        <v>148</v>
      </c>
    </row>
    <row r="71" spans="1:8">
      <c r="A71" t="s">
        <v>96</v>
      </c>
      <c r="B71" t="s">
        <v>36</v>
      </c>
      <c r="D71">
        <v>31.92</v>
      </c>
      <c r="F71">
        <f>MIN(Table3722[[#This Row],[GWh/d '[capacity map']]:[GWh/d '[transparency map']]])*365</f>
        <v>11650.800000000001</v>
      </c>
      <c r="G71">
        <f t="shared" si="1"/>
        <v>11.6508</v>
      </c>
    </row>
    <row r="72" spans="1:8">
      <c r="A72" t="s">
        <v>39</v>
      </c>
      <c r="B72" t="s">
        <v>33</v>
      </c>
      <c r="C72">
        <v>2.2000000000000002</v>
      </c>
      <c r="F72">
        <f>MIN(Table3722[[#This Row],[GWh/d '[capacity map']]:[GWh/d '[transparency map']]])*365</f>
        <v>803.00000000000011</v>
      </c>
      <c r="G72">
        <f t="shared" si="1"/>
        <v>0.80300000000000016</v>
      </c>
    </row>
    <row r="73" spans="1:8">
      <c r="A73" t="s">
        <v>39</v>
      </c>
      <c r="B73" t="s">
        <v>38</v>
      </c>
      <c r="E73">
        <v>80.846503979999994</v>
      </c>
      <c r="F73">
        <f>MIN(Table3722[[#This Row],[GWh/d '[capacity map']]:[GWh/d '[transparency map']]])*365</f>
        <v>29508.973952699998</v>
      </c>
      <c r="G73">
        <f t="shared" si="1"/>
        <v>29.5089739527</v>
      </c>
    </row>
    <row r="74" spans="1:8">
      <c r="A74" t="s">
        <v>18</v>
      </c>
      <c r="B74" t="s">
        <v>17</v>
      </c>
      <c r="C74">
        <v>1387.5634559999999</v>
      </c>
      <c r="F74">
        <f>MIN(Table3722[[#This Row],[GWh/d '[capacity map']]:[GWh/d '[transparency map']]])*365</f>
        <v>506460.66143999994</v>
      </c>
      <c r="G74">
        <f t="shared" si="1"/>
        <v>506.46066143999991</v>
      </c>
    </row>
    <row r="75" spans="1:8">
      <c r="A75" t="s">
        <v>18</v>
      </c>
      <c r="B75" t="s">
        <v>19</v>
      </c>
      <c r="C75">
        <v>1849.1500000000003</v>
      </c>
      <c r="F75">
        <f>MIN(Table3722[[#This Row],[GWh/d '[capacity map']]:[GWh/d '[transparency map']]])*365</f>
        <v>674939.75000000012</v>
      </c>
      <c r="G75">
        <f t="shared" si="1"/>
        <v>674.93975000000012</v>
      </c>
    </row>
    <row r="76" spans="1:8">
      <c r="A76" t="s">
        <v>18</v>
      </c>
      <c r="B76" t="s">
        <v>11</v>
      </c>
      <c r="C76">
        <v>494.4</v>
      </c>
      <c r="F76">
        <f>MIN(Table3722[[#This Row],[GWh/d '[capacity map']]:[GWh/d '[transparency map']]])*365</f>
        <v>180456</v>
      </c>
      <c r="G76">
        <f t="shared" si="1"/>
        <v>180.45599999999999</v>
      </c>
    </row>
    <row r="77" spans="1:8">
      <c r="A77" t="s">
        <v>48</v>
      </c>
      <c r="B77" t="s">
        <v>17</v>
      </c>
      <c r="C77">
        <v>488.4</v>
      </c>
      <c r="D77">
        <v>453.2</v>
      </c>
      <c r="F77">
        <f>MIN(Table3722[[#This Row],[GWh/d '[capacity map']]:[GWh/d '[transparency map']]])*365</f>
        <v>165418</v>
      </c>
      <c r="G77">
        <f t="shared" si="1"/>
        <v>165.41800000000001</v>
      </c>
    </row>
    <row r="78" spans="1:8">
      <c r="A78" t="s">
        <v>48</v>
      </c>
      <c r="B78" t="s">
        <v>19</v>
      </c>
      <c r="C78">
        <v>2195.9271199999998</v>
      </c>
      <c r="D78">
        <v>1226</v>
      </c>
      <c r="F78">
        <f>MIN(Table3722[[#This Row],[GWh/d '[capacity map']]:[GWh/d '[transparency map']]])*365</f>
        <v>447490</v>
      </c>
      <c r="G78">
        <f t="shared" si="1"/>
        <v>447.49</v>
      </c>
    </row>
    <row r="79" spans="1:8">
      <c r="A79" t="s">
        <v>48</v>
      </c>
      <c r="B79" t="s">
        <v>25</v>
      </c>
      <c r="C79">
        <v>575</v>
      </c>
      <c r="D79">
        <v>568.5</v>
      </c>
      <c r="F79">
        <f>MIN(Table3722[[#This Row],[GWh/d '[capacity map']]:[GWh/d '[transparency map']]])*365</f>
        <v>207502.5</v>
      </c>
      <c r="G79">
        <f t="shared" si="1"/>
        <v>207.5025</v>
      </c>
    </row>
    <row r="80" spans="1:8">
      <c r="A80" t="s">
        <v>48</v>
      </c>
      <c r="B80" t="s">
        <v>18</v>
      </c>
      <c r="D80">
        <v>963.6</v>
      </c>
      <c r="F80">
        <f>MIN(Table3722[[#This Row],[GWh/d '[capacity map']]:[GWh/d '[transparency map']]])*365</f>
        <v>351714</v>
      </c>
      <c r="G80">
        <f t="shared" si="1"/>
        <v>351.714</v>
      </c>
    </row>
    <row r="81" spans="1:7">
      <c r="A81" t="s">
        <v>48</v>
      </c>
      <c r="B81" t="s">
        <v>11</v>
      </c>
      <c r="C81">
        <v>1499.1</v>
      </c>
      <c r="D81">
        <v>1406</v>
      </c>
      <c r="F81">
        <f>MIN(Table3722[[#This Row],[GWh/d '[capacity map']]:[GWh/d '[transparency map']]])*365</f>
        <v>513190</v>
      </c>
      <c r="G81">
        <f t="shared" si="1"/>
        <v>513.19000000000005</v>
      </c>
    </row>
    <row r="82" spans="1:7">
      <c r="A82" t="s">
        <v>27</v>
      </c>
      <c r="B82" t="s">
        <v>19</v>
      </c>
      <c r="C82">
        <v>0.09</v>
      </c>
      <c r="F82">
        <f>MIN(Table3722[[#This Row],[GWh/d '[capacity map']]:[GWh/d '[transparency map']]])*365</f>
        <v>32.85</v>
      </c>
      <c r="G82">
        <f t="shared" si="1"/>
        <v>3.2850000000000004E-2</v>
      </c>
    </row>
    <row r="83" spans="1:7">
      <c r="A83" t="s">
        <v>27</v>
      </c>
      <c r="B83" t="s">
        <v>26</v>
      </c>
      <c r="C83">
        <v>91.2</v>
      </c>
      <c r="F83">
        <f>MIN(Table3722[[#This Row],[GWh/d '[capacity map']]:[GWh/d '[transparency map']]])*365</f>
        <v>33288</v>
      </c>
      <c r="G83">
        <f t="shared" si="1"/>
        <v>33.287999999999997</v>
      </c>
    </row>
    <row r="84" spans="1:7">
      <c r="A84" t="s">
        <v>27</v>
      </c>
      <c r="B84" t="s">
        <v>29</v>
      </c>
      <c r="C84">
        <v>173.94</v>
      </c>
      <c r="F84">
        <f>MIN(Table3722[[#This Row],[GWh/d '[capacity map']]:[GWh/d '[transparency map']]])*365</f>
        <v>63488.1</v>
      </c>
      <c r="G84">
        <f t="shared" si="1"/>
        <v>63.488099999999996</v>
      </c>
    </row>
    <row r="85" spans="1:7">
      <c r="A85" t="s">
        <v>37</v>
      </c>
      <c r="B85" t="s">
        <v>36</v>
      </c>
      <c r="C85">
        <v>80</v>
      </c>
      <c r="F85">
        <f>MIN(Table3722[[#This Row],[GWh/d '[capacity map']]:[GWh/d '[transparency map']]])*365</f>
        <v>29200</v>
      </c>
      <c r="G85">
        <f t="shared" si="1"/>
        <v>29.2</v>
      </c>
    </row>
    <row r="86" spans="1:7">
      <c r="A86" t="s">
        <v>33</v>
      </c>
      <c r="B86" t="s">
        <v>32</v>
      </c>
      <c r="C86">
        <v>231.417</v>
      </c>
      <c r="F86">
        <f>MIN(Table3722[[#This Row],[GWh/d '[capacity map']]:[GWh/d '[transparency map']]])*365</f>
        <v>84467.205000000002</v>
      </c>
      <c r="G86">
        <f t="shared" si="1"/>
        <v>84.467205000000007</v>
      </c>
    </row>
    <row r="87" spans="1:7">
      <c r="A87" t="s">
        <v>33</v>
      </c>
      <c r="B87" t="s">
        <v>30</v>
      </c>
      <c r="C87">
        <v>73.37</v>
      </c>
      <c r="F87">
        <f>MIN(Table3722[[#This Row],[GWh/d '[capacity map']]:[GWh/d '[transparency map']]])*365</f>
        <v>26780.050000000003</v>
      </c>
      <c r="G87">
        <f t="shared" si="1"/>
        <v>26.780050000000003</v>
      </c>
    </row>
    <row r="88" spans="1:7">
      <c r="A88" t="s">
        <v>33</v>
      </c>
      <c r="B88" t="s">
        <v>39</v>
      </c>
      <c r="C88">
        <v>55.7</v>
      </c>
      <c r="E88">
        <v>55.7</v>
      </c>
      <c r="F88">
        <f>MIN(Table3722[[#This Row],[GWh/d '[capacity map']]:[GWh/d '[transparency map']]])*365</f>
        <v>20330.5</v>
      </c>
      <c r="G88">
        <f t="shared" si="1"/>
        <v>20.330500000000001</v>
      </c>
    </row>
    <row r="89" spans="1:7">
      <c r="A89" t="s">
        <v>33</v>
      </c>
      <c r="B89" t="s">
        <v>38</v>
      </c>
      <c r="C89">
        <v>122.2</v>
      </c>
      <c r="F89">
        <f>MIN(Table3722[[#This Row],[GWh/d '[capacity map']]:[GWh/d '[transparency map']]])*365</f>
        <v>44603</v>
      </c>
      <c r="G89">
        <f t="shared" si="1"/>
        <v>44.603000000000002</v>
      </c>
    </row>
    <row r="90" spans="1:7">
      <c r="A90" t="s">
        <v>31</v>
      </c>
      <c r="B90" t="s">
        <v>44</v>
      </c>
      <c r="C90">
        <v>14</v>
      </c>
      <c r="F90">
        <f>MIN(Table3722[[#This Row],[GWh/d '[capacity map']]:[GWh/d '[transparency map']]])*365</f>
        <v>5110</v>
      </c>
      <c r="G90">
        <f t="shared" si="1"/>
        <v>5.1100000000000003</v>
      </c>
    </row>
    <row r="91" spans="1:7">
      <c r="A91" t="s">
        <v>31</v>
      </c>
      <c r="B91" t="s">
        <v>32</v>
      </c>
      <c r="C91">
        <v>350.11200000000002</v>
      </c>
      <c r="F91">
        <f>MIN(Table3722[[#This Row],[GWh/d '[capacity map']]:[GWh/d '[transparency map']]])*365</f>
        <v>127790.88</v>
      </c>
      <c r="G91">
        <f t="shared" si="1"/>
        <v>127.79088</v>
      </c>
    </row>
    <row r="92" spans="1:7">
      <c r="A92" t="s">
        <v>31</v>
      </c>
      <c r="B92" t="s">
        <v>30</v>
      </c>
      <c r="D92">
        <v>245.8</v>
      </c>
      <c r="F92">
        <f>MIN(Table3722[[#This Row],[GWh/d '[capacity map']]:[GWh/d '[transparency map']]])*365</f>
        <v>89717</v>
      </c>
      <c r="G92">
        <f t="shared" si="1"/>
        <v>89.716999999999999</v>
      </c>
    </row>
    <row r="93" spans="1:7">
      <c r="A93" t="s">
        <v>40</v>
      </c>
      <c r="B93" t="s">
        <v>52</v>
      </c>
      <c r="C93">
        <v>1203.4999999999998</v>
      </c>
      <c r="F93">
        <f>MIN(Table3722[[#This Row],[GWh/d '[capacity map']]:[GWh/d '[transparency map']]])*365</f>
        <v>439277.49999999994</v>
      </c>
      <c r="G93">
        <f t="shared" si="1"/>
        <v>439.27749999999992</v>
      </c>
    </row>
    <row r="94" spans="1:7">
      <c r="A94" t="s">
        <v>40</v>
      </c>
      <c r="B94" t="s">
        <v>19</v>
      </c>
      <c r="D94">
        <v>0</v>
      </c>
      <c r="F94">
        <f>MIN(Table3722[[#This Row],[GWh/d '[capacity map']]:[GWh/d '[transparency map']]])*365</f>
        <v>0</v>
      </c>
      <c r="G94">
        <f t="shared" si="1"/>
        <v>0</v>
      </c>
    </row>
    <row r="95" spans="1:7">
      <c r="A95" t="s">
        <v>40</v>
      </c>
      <c r="B95" t="s">
        <v>54</v>
      </c>
      <c r="D95">
        <v>0</v>
      </c>
      <c r="F95">
        <f>MIN(Table3722[[#This Row],[GWh/d '[capacity map']]:[GWh/d '[transparency map']]])*365</f>
        <v>0</v>
      </c>
      <c r="G95">
        <f t="shared" si="1"/>
        <v>0</v>
      </c>
    </row>
    <row r="96" spans="1:7">
      <c r="A96" t="s">
        <v>40</v>
      </c>
      <c r="B96" t="s">
        <v>35</v>
      </c>
      <c r="D96">
        <v>0</v>
      </c>
      <c r="F96">
        <f>MIN(Table3722[[#This Row],[GWh/d '[capacity map']]:[GWh/d '[transparency map']]])*365</f>
        <v>0</v>
      </c>
      <c r="G96">
        <f t="shared" si="1"/>
        <v>0</v>
      </c>
    </row>
    <row r="97" spans="1:8">
      <c r="A97" t="s">
        <v>40</v>
      </c>
      <c r="B97" t="s">
        <v>46</v>
      </c>
      <c r="E97">
        <v>958.9</v>
      </c>
      <c r="F97">
        <f>MIN(Table3722[[#This Row],[GWh/d '[capacity map']]:[GWh/d '[transparency map']]])*365</f>
        <v>349998.5</v>
      </c>
      <c r="G97">
        <f t="shared" si="1"/>
        <v>349.99849999999998</v>
      </c>
      <c r="H97" t="s">
        <v>141</v>
      </c>
    </row>
    <row r="98" spans="1:8">
      <c r="A98" t="s">
        <v>40</v>
      </c>
      <c r="B98" t="s">
        <v>38</v>
      </c>
      <c r="E98">
        <v>5459.5088498999994</v>
      </c>
      <c r="F98">
        <f>MIN(Table3722[[#This Row],[GWh/d '[capacity map']]:[GWh/d '[transparency map']]])*365</f>
        <v>1992720.7302134999</v>
      </c>
      <c r="G98">
        <f t="shared" si="1"/>
        <v>1992.7207302134998</v>
      </c>
    </row>
    <row r="99" spans="1:8">
      <c r="A99" t="s">
        <v>23</v>
      </c>
      <c r="B99" t="s">
        <v>24</v>
      </c>
      <c r="C99">
        <v>53.7</v>
      </c>
      <c r="F99">
        <f>MIN(Table3722[[#This Row],[GWh/d '[capacity map']]:[GWh/d '[transparency map']]])*365</f>
        <v>19600.5</v>
      </c>
      <c r="G99">
        <f t="shared" si="1"/>
        <v>19.6005</v>
      </c>
    </row>
    <row r="100" spans="1:8">
      <c r="A100" t="s">
        <v>23</v>
      </c>
      <c r="B100" t="s">
        <v>21</v>
      </c>
      <c r="C100">
        <v>25.77</v>
      </c>
      <c r="F100">
        <f>MIN(Table3722[[#This Row],[GWh/d '[capacity map']]:[GWh/d '[transparency map']]])*365</f>
        <v>9406.0499999999993</v>
      </c>
      <c r="G100">
        <f t="shared" si="1"/>
        <v>9.4060499999999987</v>
      </c>
    </row>
    <row r="101" spans="1:8">
      <c r="A101" t="s">
        <v>29</v>
      </c>
      <c r="B101" t="s">
        <v>20</v>
      </c>
      <c r="C101">
        <v>1708.7</v>
      </c>
      <c r="F101">
        <f>MIN(Table3722[[#This Row],[GWh/d '[capacity map']]:[GWh/d '[transparency map']]])*365</f>
        <v>623675.5</v>
      </c>
      <c r="G101">
        <f t="shared" si="1"/>
        <v>623.67550000000006</v>
      </c>
    </row>
    <row r="102" spans="1:8">
      <c r="A102" t="s">
        <v>29</v>
      </c>
      <c r="B102" t="s">
        <v>28</v>
      </c>
      <c r="C102">
        <v>395.2</v>
      </c>
      <c r="F102">
        <f>MIN(Table3722[[#This Row],[GWh/d '[capacity map']]:[GWh/d '[transparency map']]])*365</f>
        <v>144248</v>
      </c>
      <c r="G102">
        <f t="shared" si="1"/>
        <v>144.24799999999999</v>
      </c>
    </row>
    <row r="103" spans="1:8">
      <c r="A103" t="s">
        <v>29</v>
      </c>
      <c r="B103" t="s">
        <v>30</v>
      </c>
      <c r="C103">
        <v>128.97</v>
      </c>
      <c r="F103">
        <f>MIN(Table3722[[#This Row],[GWh/d '[capacity map']]:[GWh/d '[transparency map']]])*365</f>
        <v>47074.05</v>
      </c>
      <c r="G103">
        <f t="shared" si="1"/>
        <v>47.07405</v>
      </c>
    </row>
    <row r="104" spans="1:8">
      <c r="A104" t="s">
        <v>29</v>
      </c>
      <c r="B104" t="s">
        <v>27</v>
      </c>
      <c r="C104">
        <v>144.50399999999999</v>
      </c>
      <c r="F104">
        <f>MIN(Table3722[[#This Row],[GWh/d '[capacity map']]:[GWh/d '[transparency map']]])*365</f>
        <v>52743.96</v>
      </c>
      <c r="G104">
        <f t="shared" si="1"/>
        <v>52.743960000000001</v>
      </c>
    </row>
    <row r="105" spans="1:8">
      <c r="A105" t="s">
        <v>29</v>
      </c>
      <c r="B105" t="s">
        <v>38</v>
      </c>
      <c r="C105">
        <v>436.8</v>
      </c>
      <c r="D105">
        <v>280.8</v>
      </c>
      <c r="F105">
        <f>MIN(Table3722[[#This Row],[GWh/d '[capacity map']]:[GWh/d '[transparency map']]])*365</f>
        <v>102492</v>
      </c>
      <c r="G105">
        <f t="shared" si="1"/>
        <v>102.492</v>
      </c>
    </row>
    <row r="106" spans="1:8">
      <c r="A106" t="s">
        <v>50</v>
      </c>
      <c r="B106" t="s">
        <v>21</v>
      </c>
      <c r="C106">
        <v>1154.47</v>
      </c>
      <c r="D106">
        <v>1154</v>
      </c>
      <c r="F106">
        <f>MIN(Table3722[[#This Row],[GWh/d '[capacity map']]:[GWh/d '[transparency map']]])*365</f>
        <v>421210</v>
      </c>
      <c r="G106">
        <f t="shared" si="1"/>
        <v>421.21</v>
      </c>
      <c r="H106" t="s">
        <v>147</v>
      </c>
    </row>
    <row r="107" spans="1:8">
      <c r="A107" t="s">
        <v>46</v>
      </c>
      <c r="B107" t="s">
        <v>32</v>
      </c>
      <c r="C107">
        <v>576.03</v>
      </c>
      <c r="F107">
        <f>MIN(Table3722[[#This Row],[GWh/d '[capacity map']]:[GWh/d '[transparency map']]])*365</f>
        <v>210250.94999999998</v>
      </c>
      <c r="G107">
        <f t="shared" si="1"/>
        <v>210.25094999999999</v>
      </c>
    </row>
    <row r="108" spans="1:8">
      <c r="A108" t="s">
        <v>46</v>
      </c>
      <c r="B108" t="s">
        <v>264</v>
      </c>
      <c r="C108">
        <v>398.6</v>
      </c>
      <c r="F108">
        <f>MIN(Table3722[[#This Row],[GWh/d '[capacity map']]:[GWh/d '[transparency map']]])*365</f>
        <v>145489</v>
      </c>
      <c r="G108">
        <f t="shared" si="1"/>
        <v>145.489</v>
      </c>
    </row>
    <row r="109" spans="1:8">
      <c r="A109" t="s">
        <v>38</v>
      </c>
      <c r="B109" t="s">
        <v>30</v>
      </c>
      <c r="D109">
        <v>84.77</v>
      </c>
      <c r="F109">
        <f>MIN(Table3722[[#This Row],[GWh/d '[capacity map']]:[GWh/d '[transparency map']]])*365</f>
        <v>30941.05</v>
      </c>
      <c r="G109">
        <f t="shared" si="1"/>
        <v>30.941050000000001</v>
      </c>
    </row>
    <row r="110" spans="1:8">
      <c r="A110" t="s">
        <v>38</v>
      </c>
      <c r="B110" t="s">
        <v>39</v>
      </c>
      <c r="E110">
        <v>255.46047452000005</v>
      </c>
      <c r="F110">
        <f>MIN(Table3722[[#This Row],[GWh/d '[capacity map']]:[GWh/d '[transparency map']]])*365</f>
        <v>93243.073199800012</v>
      </c>
      <c r="G110">
        <f t="shared" si="1"/>
        <v>93.243073199800008</v>
      </c>
    </row>
    <row r="111" spans="1:8">
      <c r="A111" t="s">
        <v>38</v>
      </c>
      <c r="B111" t="s">
        <v>27</v>
      </c>
      <c r="D111">
        <v>135.6</v>
      </c>
      <c r="F111">
        <f>MIN(Table3722[[#This Row],[GWh/d '[capacity map']]:[GWh/d '[transparency map']]])*365</f>
        <v>49494</v>
      </c>
      <c r="G111">
        <f t="shared" si="1"/>
        <v>49.494</v>
      </c>
      <c r="H111" t="s">
        <v>148</v>
      </c>
    </row>
    <row r="112" spans="1:8">
      <c r="A112" t="s">
        <v>38</v>
      </c>
      <c r="B112" t="s">
        <v>33</v>
      </c>
      <c r="C112">
        <v>0</v>
      </c>
      <c r="D112">
        <v>0</v>
      </c>
      <c r="F112">
        <f>MIN(Table3722[[#This Row],[GWh/d '[capacity map']]:[GWh/d '[transparency map']]])*365</f>
        <v>0</v>
      </c>
      <c r="G112">
        <f t="shared" si="1"/>
        <v>0</v>
      </c>
      <c r="H112" t="s">
        <v>148</v>
      </c>
    </row>
    <row r="113" spans="1:7">
      <c r="A113" t="s">
        <v>38</v>
      </c>
      <c r="B113" t="s">
        <v>29</v>
      </c>
      <c r="C113">
        <v>249.6</v>
      </c>
      <c r="D113">
        <v>1799</v>
      </c>
      <c r="F113">
        <f>MIN(Table3722[[#This Row],[GWh/d '[capacity map']]:[GWh/d '[transparency map']]])*365</f>
        <v>91104</v>
      </c>
      <c r="G113">
        <f t="shared" si="1"/>
        <v>91.103999999999999</v>
      </c>
    </row>
    <row r="114" spans="1:7">
      <c r="A114" t="s">
        <v>11</v>
      </c>
      <c r="B114" t="s">
        <v>17</v>
      </c>
      <c r="C114">
        <v>651.70000000000005</v>
      </c>
      <c r="D114">
        <v>205.9</v>
      </c>
      <c r="F114">
        <f>MIN(Table3722[[#This Row],[GWh/d '[capacity map']]:[GWh/d '[transparency map']]])*365</f>
        <v>75153.5</v>
      </c>
      <c r="G114">
        <f t="shared" si="1"/>
        <v>75.153499999999994</v>
      </c>
    </row>
    <row r="115" spans="1:7">
      <c r="A115" t="s">
        <v>11</v>
      </c>
      <c r="B115" t="s">
        <v>43</v>
      </c>
      <c r="C115">
        <v>386.58</v>
      </c>
      <c r="D115">
        <v>385</v>
      </c>
      <c r="F115">
        <f>MIN(Table3722[[#This Row],[GWh/d '[capacity map']]:[GWh/d '[transparency map']]])*365</f>
        <v>140525</v>
      </c>
      <c r="G115">
        <f t="shared" si="1"/>
        <v>140.52500000000001</v>
      </c>
    </row>
    <row r="116" spans="1:7">
      <c r="A116" t="s">
        <v>11</v>
      </c>
      <c r="B116" t="s">
        <v>18</v>
      </c>
      <c r="C116">
        <v>168</v>
      </c>
      <c r="F116">
        <f>MIN(Table3722[[#This Row],[GWh/d '[capacity map']]:[GWh/d '[transparency map']]])*365</f>
        <v>61320</v>
      </c>
      <c r="G116">
        <f t="shared" si="1"/>
        <v>61.32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213A-E4EC-469C-967C-1084709D3A56}">
  <dimension ref="A1:L13"/>
  <sheetViews>
    <sheetView workbookViewId="0">
      <selection activeCell="L1" sqref="L1"/>
    </sheetView>
  </sheetViews>
  <sheetFormatPr defaultRowHeight="14.5"/>
  <cols>
    <col min="3" max="3" width="17.453125" customWidth="1"/>
    <col min="4" max="4" width="8.81640625" customWidth="1"/>
    <col min="6" max="6" width="16.08984375" customWidth="1"/>
    <col min="7" max="7" width="14.36328125" customWidth="1"/>
  </cols>
  <sheetData>
    <row r="1" spans="1:12">
      <c r="A1" t="s">
        <v>92</v>
      </c>
      <c r="B1" t="s">
        <v>93</v>
      </c>
      <c r="C1" t="s">
        <v>253</v>
      </c>
      <c r="D1" t="s">
        <v>105</v>
      </c>
      <c r="E1" t="s">
        <v>106</v>
      </c>
      <c r="F1" t="s">
        <v>271</v>
      </c>
      <c r="G1" t="s">
        <v>270</v>
      </c>
      <c r="H1" t="s">
        <v>252</v>
      </c>
      <c r="I1" t="s">
        <v>256</v>
      </c>
      <c r="L1" t="s">
        <v>254</v>
      </c>
    </row>
    <row r="2" spans="1:12">
      <c r="A2" t="s">
        <v>40</v>
      </c>
      <c r="B2" t="s">
        <v>156</v>
      </c>
      <c r="C2">
        <v>38</v>
      </c>
      <c r="D2">
        <f t="shared" ref="D2:D13" si="0">C2*9.77*1000</f>
        <v>371260</v>
      </c>
      <c r="E2" s="6">
        <f t="shared" ref="E2:E13" si="1">D2/1000</f>
        <v>371.26</v>
      </c>
      <c r="G2">
        <v>5000</v>
      </c>
      <c r="I2" t="s">
        <v>262</v>
      </c>
    </row>
    <row r="3" spans="1:12">
      <c r="A3" t="s">
        <v>40</v>
      </c>
      <c r="B3" t="s">
        <v>52</v>
      </c>
      <c r="C3">
        <f>40+22</f>
        <v>62</v>
      </c>
      <c r="D3">
        <f t="shared" si="0"/>
        <v>605740</v>
      </c>
      <c r="E3">
        <f t="shared" si="1"/>
        <v>605.74</v>
      </c>
      <c r="G3">
        <v>850</v>
      </c>
      <c r="I3" t="s">
        <v>269</v>
      </c>
    </row>
    <row r="4" spans="1:12">
      <c r="A4" t="s">
        <v>40</v>
      </c>
      <c r="B4" t="s">
        <v>172</v>
      </c>
      <c r="C4">
        <f>60.2+21</f>
        <v>81.2</v>
      </c>
      <c r="D4">
        <f t="shared" si="0"/>
        <v>793324</v>
      </c>
      <c r="E4" s="11">
        <f t="shared" si="1"/>
        <v>793.32399999999996</v>
      </c>
      <c r="G4">
        <v>2400</v>
      </c>
      <c r="I4" t="s">
        <v>260</v>
      </c>
    </row>
    <row r="5" spans="1:12">
      <c r="A5" t="s">
        <v>149</v>
      </c>
      <c r="B5" t="s">
        <v>196</v>
      </c>
      <c r="C5">
        <v>500</v>
      </c>
      <c r="D5">
        <f t="shared" si="0"/>
        <v>4885000</v>
      </c>
      <c r="E5">
        <f t="shared" si="1"/>
        <v>4885</v>
      </c>
      <c r="F5">
        <v>3000</v>
      </c>
      <c r="G5">
        <f t="shared" ref="G5:G12" si="2">F5*1.60934449789256</f>
        <v>4828.0334936776799</v>
      </c>
      <c r="I5" t="s">
        <v>261</v>
      </c>
    </row>
    <row r="6" spans="1:12">
      <c r="A6" t="s">
        <v>196</v>
      </c>
      <c r="B6" t="s">
        <v>149</v>
      </c>
      <c r="C6">
        <v>500</v>
      </c>
      <c r="D6">
        <f t="shared" si="0"/>
        <v>4885000</v>
      </c>
      <c r="E6" s="11">
        <f t="shared" si="1"/>
        <v>4885</v>
      </c>
      <c r="F6">
        <v>3000</v>
      </c>
      <c r="G6">
        <f t="shared" si="2"/>
        <v>4828.0334936776799</v>
      </c>
      <c r="I6" t="s">
        <v>261</v>
      </c>
    </row>
    <row r="7" spans="1:12">
      <c r="A7" t="s">
        <v>172</v>
      </c>
      <c r="B7" t="s">
        <v>156</v>
      </c>
      <c r="C7">
        <v>36</v>
      </c>
      <c r="D7">
        <f t="shared" si="0"/>
        <v>351719.99999999994</v>
      </c>
      <c r="E7">
        <f t="shared" si="1"/>
        <v>351.71999999999991</v>
      </c>
      <c r="G7">
        <v>7378</v>
      </c>
      <c r="I7" t="s">
        <v>259</v>
      </c>
    </row>
    <row r="8" spans="1:12">
      <c r="A8" t="s">
        <v>172</v>
      </c>
      <c r="B8" t="s">
        <v>46</v>
      </c>
      <c r="C8">
        <f>16+14</f>
        <v>30</v>
      </c>
      <c r="D8">
        <f t="shared" si="0"/>
        <v>293099.99999999994</v>
      </c>
      <c r="E8" s="6">
        <f t="shared" si="1"/>
        <v>293.09999999999997</v>
      </c>
      <c r="G8">
        <v>1000</v>
      </c>
      <c r="I8" t="s">
        <v>268</v>
      </c>
    </row>
    <row r="9" spans="1:12">
      <c r="A9" t="s">
        <v>152</v>
      </c>
      <c r="B9" t="s">
        <v>154</v>
      </c>
      <c r="C9">
        <v>10</v>
      </c>
      <c r="D9">
        <f t="shared" si="0"/>
        <v>97699.999999999985</v>
      </c>
      <c r="E9">
        <f t="shared" si="1"/>
        <v>97.699999999999989</v>
      </c>
      <c r="G9">
        <v>1200</v>
      </c>
      <c r="I9" t="s">
        <v>258</v>
      </c>
    </row>
    <row r="10" spans="1:12">
      <c r="A10" t="s">
        <v>152</v>
      </c>
      <c r="B10" t="s">
        <v>172</v>
      </c>
      <c r="C10">
        <f>8</f>
        <v>8</v>
      </c>
      <c r="D10">
        <f t="shared" si="0"/>
        <v>78160</v>
      </c>
      <c r="E10">
        <f t="shared" si="1"/>
        <v>78.16</v>
      </c>
      <c r="G10">
        <v>200</v>
      </c>
      <c r="I10" t="s">
        <v>263</v>
      </c>
    </row>
    <row r="11" spans="1:12">
      <c r="A11" t="s">
        <v>153</v>
      </c>
      <c r="B11" t="s">
        <v>152</v>
      </c>
      <c r="C11">
        <v>33.1</v>
      </c>
      <c r="D11">
        <f t="shared" si="0"/>
        <v>323387</v>
      </c>
      <c r="E11">
        <f t="shared" si="1"/>
        <v>323.387</v>
      </c>
      <c r="F11">
        <v>230</v>
      </c>
      <c r="G11">
        <f t="shared" si="2"/>
        <v>370.14923451528881</v>
      </c>
      <c r="I11" t="s">
        <v>257</v>
      </c>
    </row>
    <row r="12" spans="1:12">
      <c r="A12" t="s">
        <v>152</v>
      </c>
      <c r="B12" t="s">
        <v>153</v>
      </c>
      <c r="C12">
        <v>33.1</v>
      </c>
      <c r="D12">
        <f t="shared" si="0"/>
        <v>323387</v>
      </c>
      <c r="E12">
        <f t="shared" si="1"/>
        <v>323.387</v>
      </c>
      <c r="F12">
        <v>230</v>
      </c>
      <c r="G12">
        <f t="shared" si="2"/>
        <v>370.14923451528881</v>
      </c>
      <c r="I12" t="s">
        <v>257</v>
      </c>
    </row>
    <row r="13" spans="1:12">
      <c r="A13" t="s">
        <v>159</v>
      </c>
      <c r="B13" t="s">
        <v>156</v>
      </c>
      <c r="C13">
        <v>13</v>
      </c>
      <c r="D13">
        <f t="shared" si="0"/>
        <v>127009.99999999999</v>
      </c>
      <c r="E13">
        <f t="shared" si="1"/>
        <v>127.00999999999999</v>
      </c>
      <c r="G13">
        <v>2520</v>
      </c>
      <c r="I13" t="s">
        <v>255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62E1-49DF-4BF1-8271-A810EC1D90D2}">
  <sheetPr codeName="Sheet1"/>
  <dimension ref="A1:M170"/>
  <sheetViews>
    <sheetView workbookViewId="0">
      <selection activeCell="C78" sqref="C78"/>
    </sheetView>
  </sheetViews>
  <sheetFormatPr defaultRowHeight="14.5"/>
  <cols>
    <col min="3" max="3" width="21.81640625" customWidth="1"/>
    <col min="4" max="4" width="9" customWidth="1"/>
    <col min="6" max="6" width="16.453125" customWidth="1"/>
    <col min="7" max="7" width="15.54296875" customWidth="1"/>
  </cols>
  <sheetData>
    <row r="1" spans="1:13">
      <c r="A1" s="9" t="s">
        <v>92</v>
      </c>
      <c r="B1" s="9" t="s">
        <v>93</v>
      </c>
      <c r="C1" s="9" t="s">
        <v>180</v>
      </c>
      <c r="D1" s="9" t="s">
        <v>105</v>
      </c>
      <c r="E1" s="9" t="s">
        <v>106</v>
      </c>
      <c r="F1" s="9" t="s">
        <v>198</v>
      </c>
      <c r="G1" s="9" t="s">
        <v>197</v>
      </c>
      <c r="H1" s="9" t="s">
        <v>211</v>
      </c>
      <c r="I1" s="9" t="s">
        <v>142</v>
      </c>
      <c r="M1" t="s">
        <v>199</v>
      </c>
    </row>
    <row r="2" spans="1:13">
      <c r="A2" t="s">
        <v>179</v>
      </c>
      <c r="B2" t="s">
        <v>186</v>
      </c>
      <c r="E2">
        <f t="shared" ref="E2:E23" si="0">D2/1000</f>
        <v>0</v>
      </c>
      <c r="F2">
        <v>5323</v>
      </c>
      <c r="G2">
        <f>LNG_global[[#This Row],[Distance '[miles']]]*1.60934449789256</f>
        <v>8566.5407622820967</v>
      </c>
      <c r="I2" t="s">
        <v>238</v>
      </c>
      <c r="M2" t="s">
        <v>234</v>
      </c>
    </row>
    <row r="3" spans="1:13">
      <c r="A3" t="s">
        <v>179</v>
      </c>
      <c r="B3" t="s">
        <v>184</v>
      </c>
      <c r="E3">
        <f t="shared" si="0"/>
        <v>0</v>
      </c>
      <c r="F3">
        <v>6194</v>
      </c>
      <c r="G3">
        <f>LNG_global[[#This Row],[Distance '[miles']]]*1.60934449789256</f>
        <v>9968.279819946516</v>
      </c>
      <c r="I3" t="s">
        <v>239</v>
      </c>
      <c r="M3" t="s">
        <v>235</v>
      </c>
    </row>
    <row r="4" spans="1:13">
      <c r="A4" t="s">
        <v>179</v>
      </c>
      <c r="B4" t="s">
        <v>187</v>
      </c>
      <c r="E4">
        <f t="shared" si="0"/>
        <v>0</v>
      </c>
      <c r="F4">
        <v>10339</v>
      </c>
      <c r="G4">
        <f>LNG_global[[#This Row],[Distance '[miles']]]*1.60934449789256</f>
        <v>16639.012763711176</v>
      </c>
      <c r="H4" t="s">
        <v>240</v>
      </c>
      <c r="I4" t="s">
        <v>274</v>
      </c>
      <c r="M4" t="s">
        <v>245</v>
      </c>
    </row>
    <row r="5" spans="1:13">
      <c r="A5" t="s">
        <v>179</v>
      </c>
      <c r="B5" t="s">
        <v>188</v>
      </c>
      <c r="E5">
        <f t="shared" si="0"/>
        <v>0</v>
      </c>
      <c r="F5">
        <v>9266</v>
      </c>
      <c r="G5">
        <f>LNG_global[[#This Row],[Distance '[miles']]]*1.60934449789256</f>
        <v>14912.18611747246</v>
      </c>
      <c r="H5" t="s">
        <v>240</v>
      </c>
      <c r="I5" t="s">
        <v>242</v>
      </c>
      <c r="M5" t="s">
        <v>246</v>
      </c>
    </row>
    <row r="6" spans="1:13">
      <c r="A6" t="s">
        <v>179</v>
      </c>
      <c r="B6" t="s">
        <v>189</v>
      </c>
      <c r="E6">
        <f t="shared" si="0"/>
        <v>0</v>
      </c>
      <c r="F6">
        <v>9568</v>
      </c>
      <c r="G6">
        <f>LNG_global[[#This Row],[Distance '[miles']]]*1.60934449789256</f>
        <v>15398.208155836013</v>
      </c>
      <c r="H6" t="s">
        <v>212</v>
      </c>
      <c r="I6" t="s">
        <v>243</v>
      </c>
      <c r="M6" t="s">
        <v>281</v>
      </c>
    </row>
    <row r="7" spans="1:13">
      <c r="A7" t="s">
        <v>179</v>
      </c>
      <c r="B7" t="s">
        <v>190</v>
      </c>
      <c r="E7">
        <f t="shared" si="0"/>
        <v>0</v>
      </c>
      <c r="F7">
        <v>12151</v>
      </c>
      <c r="G7">
        <f>LNG_global[[#This Row],[Distance '[miles']]]*1.60934449789256</f>
        <v>19555.144993892496</v>
      </c>
      <c r="H7" t="s">
        <v>240</v>
      </c>
      <c r="I7" t="s">
        <v>244</v>
      </c>
      <c r="M7" t="s">
        <v>248</v>
      </c>
    </row>
    <row r="8" spans="1:13">
      <c r="A8" t="s">
        <v>179</v>
      </c>
      <c r="B8" t="s">
        <v>191</v>
      </c>
      <c r="E8">
        <f t="shared" si="0"/>
        <v>0</v>
      </c>
      <c r="F8">
        <v>6850</v>
      </c>
      <c r="G8">
        <f>LNG_global[[#This Row],[Distance '[miles']]]*1.60934449789256</f>
        <v>11024.009810564035</v>
      </c>
      <c r="H8" t="s">
        <v>212</v>
      </c>
      <c r="I8" t="s">
        <v>277</v>
      </c>
      <c r="M8" t="s">
        <v>283</v>
      </c>
    </row>
    <row r="9" spans="1:13">
      <c r="A9" t="s">
        <v>181</v>
      </c>
      <c r="B9" t="s">
        <v>186</v>
      </c>
      <c r="E9">
        <f t="shared" si="0"/>
        <v>0</v>
      </c>
      <c r="F9">
        <v>3136</v>
      </c>
      <c r="G9">
        <f>LNG_global[[#This Row],[Distance '[miles']]]*1.60934449789256</f>
        <v>5046.9043453910681</v>
      </c>
      <c r="I9" t="s">
        <v>238</v>
      </c>
      <c r="M9" t="s">
        <v>250</v>
      </c>
    </row>
    <row r="10" spans="1:13">
      <c r="A10" t="s">
        <v>181</v>
      </c>
      <c r="B10" t="s">
        <v>184</v>
      </c>
      <c r="E10">
        <f t="shared" si="0"/>
        <v>0</v>
      </c>
      <c r="F10">
        <v>4174</v>
      </c>
      <c r="G10">
        <f>LNG_global[[#This Row],[Distance '[miles']]]*1.60934449789256</f>
        <v>6717.4039342035448</v>
      </c>
      <c r="I10" t="s">
        <v>239</v>
      </c>
      <c r="M10" t="s">
        <v>287</v>
      </c>
    </row>
    <row r="11" spans="1:13">
      <c r="A11" t="s">
        <v>181</v>
      </c>
      <c r="B11" t="s">
        <v>187</v>
      </c>
      <c r="E11">
        <f t="shared" si="0"/>
        <v>0</v>
      </c>
      <c r="F11">
        <v>9750</v>
      </c>
      <c r="G11">
        <f>LNG_global[[#This Row],[Distance '[miles']]]*1.60934449789256</f>
        <v>15691.108854452459</v>
      </c>
      <c r="H11" t="s">
        <v>240</v>
      </c>
      <c r="I11" t="s">
        <v>284</v>
      </c>
    </row>
    <row r="12" spans="1:13">
      <c r="A12" t="s">
        <v>181</v>
      </c>
      <c r="B12" t="s">
        <v>188</v>
      </c>
      <c r="E12">
        <f t="shared" si="0"/>
        <v>0</v>
      </c>
      <c r="F12">
        <v>8878</v>
      </c>
      <c r="G12">
        <f>LNG_global[[#This Row],[Distance '[miles']]]*1.60934449789256</f>
        <v>14287.760452290147</v>
      </c>
      <c r="H12" t="s">
        <v>240</v>
      </c>
      <c r="I12" t="s">
        <v>242</v>
      </c>
    </row>
    <row r="13" spans="1:13">
      <c r="A13" t="s">
        <v>181</v>
      </c>
      <c r="B13" t="s">
        <v>189</v>
      </c>
      <c r="E13">
        <f t="shared" si="0"/>
        <v>0</v>
      </c>
      <c r="F13">
        <v>8211</v>
      </c>
      <c r="G13">
        <f>LNG_global[[#This Row],[Distance '[miles']]]*1.60934449789256</f>
        <v>13214.32767219581</v>
      </c>
      <c r="H13" t="s">
        <v>212</v>
      </c>
      <c r="I13" t="s">
        <v>243</v>
      </c>
    </row>
    <row r="14" spans="1:13">
      <c r="A14" t="s">
        <v>181</v>
      </c>
      <c r="B14" t="s">
        <v>190</v>
      </c>
      <c r="E14">
        <f t="shared" si="0"/>
        <v>0</v>
      </c>
      <c r="F14">
        <v>11169</v>
      </c>
      <c r="G14">
        <f>LNG_global[[#This Row],[Distance '[miles']]]*1.60934449789256</f>
        <v>17974.768696962001</v>
      </c>
      <c r="H14" t="s">
        <v>212</v>
      </c>
      <c r="I14" t="s">
        <v>244</v>
      </c>
    </row>
    <row r="15" spans="1:13">
      <c r="A15" t="s">
        <v>181</v>
      </c>
      <c r="B15" t="s">
        <v>191</v>
      </c>
      <c r="E15">
        <f t="shared" si="0"/>
        <v>0</v>
      </c>
      <c r="F15">
        <v>5493</v>
      </c>
      <c r="G15">
        <f>LNG_global[[#This Row],[Distance '[miles']]]*1.60934449789256</f>
        <v>8840.1293269238322</v>
      </c>
      <c r="H15" t="s">
        <v>212</v>
      </c>
      <c r="I15" t="s">
        <v>277</v>
      </c>
    </row>
    <row r="16" spans="1:13">
      <c r="A16" t="s">
        <v>182</v>
      </c>
      <c r="B16" t="s">
        <v>186</v>
      </c>
      <c r="E16">
        <f t="shared" si="0"/>
        <v>0</v>
      </c>
      <c r="F16">
        <v>8091</v>
      </c>
      <c r="G16">
        <f>LNG_global[[#This Row],[Distance '[miles']]]*1.60934449789256</f>
        <v>13021.206332448703</v>
      </c>
      <c r="I16" t="s">
        <v>238</v>
      </c>
    </row>
    <row r="17" spans="1:9">
      <c r="A17" t="s">
        <v>182</v>
      </c>
      <c r="B17" t="s">
        <v>184</v>
      </c>
      <c r="E17">
        <f t="shared" si="0"/>
        <v>0</v>
      </c>
      <c r="F17">
        <v>7282</v>
      </c>
      <c r="G17">
        <f>LNG_global[[#This Row],[Distance '[miles']]]*1.60934449789256</f>
        <v>11719.246633653622</v>
      </c>
      <c r="I17" t="s">
        <v>239</v>
      </c>
    </row>
    <row r="18" spans="1:9">
      <c r="A18" t="s">
        <v>182</v>
      </c>
      <c r="B18" t="s">
        <v>187</v>
      </c>
      <c r="E18">
        <f t="shared" si="0"/>
        <v>0</v>
      </c>
      <c r="F18">
        <v>5001</v>
      </c>
      <c r="G18">
        <f>LNG_global[[#This Row],[Distance '[miles']]]*1.60934449789256</f>
        <v>8048.3318339606922</v>
      </c>
      <c r="I18" t="s">
        <v>241</v>
      </c>
    </row>
    <row r="19" spans="1:9">
      <c r="A19" t="s">
        <v>182</v>
      </c>
      <c r="B19" t="s">
        <v>188</v>
      </c>
      <c r="E19">
        <f t="shared" si="0"/>
        <v>0</v>
      </c>
      <c r="F19">
        <v>6445</v>
      </c>
      <c r="G19">
        <f>LNG_global[[#This Row],[Distance '[miles']]]*1.60934449789256</f>
        <v>10372.225288917549</v>
      </c>
      <c r="I19" t="s">
        <v>242</v>
      </c>
    </row>
    <row r="20" spans="1:9">
      <c r="A20" t="s">
        <v>182</v>
      </c>
      <c r="B20" t="s">
        <v>189</v>
      </c>
      <c r="E20">
        <f t="shared" si="0"/>
        <v>0</v>
      </c>
      <c r="F20">
        <v>951</v>
      </c>
      <c r="G20">
        <f>LNG_global[[#This Row],[Distance '[miles']]]*1.60934449789256</f>
        <v>1530.4866174958245</v>
      </c>
      <c r="I20" t="s">
        <v>243</v>
      </c>
    </row>
    <row r="21" spans="1:9">
      <c r="A21" t="s">
        <v>182</v>
      </c>
      <c r="B21" t="s">
        <v>190</v>
      </c>
      <c r="E21">
        <f t="shared" si="0"/>
        <v>0</v>
      </c>
      <c r="F21">
        <v>4372</v>
      </c>
      <c r="G21">
        <f>LNG_global[[#This Row],[Distance '[miles']]]*1.60934449789256</f>
        <v>7036.0541447862724</v>
      </c>
      <c r="I21" t="s">
        <v>244</v>
      </c>
    </row>
    <row r="22" spans="1:9">
      <c r="A22" t="s">
        <v>182</v>
      </c>
      <c r="B22" t="s">
        <v>191</v>
      </c>
      <c r="E22">
        <f t="shared" si="0"/>
        <v>0</v>
      </c>
      <c r="F22">
        <v>2915</v>
      </c>
      <c r="G22">
        <f>LNG_global[[#This Row],[Distance '[miles']]]*1.60934449789256</f>
        <v>4691.2392113568121</v>
      </c>
      <c r="I22" t="s">
        <v>212</v>
      </c>
    </row>
    <row r="23" spans="1:9">
      <c r="A23" t="s">
        <v>183</v>
      </c>
      <c r="B23" t="s">
        <v>186</v>
      </c>
      <c r="E23">
        <f t="shared" si="0"/>
        <v>0</v>
      </c>
      <c r="F23">
        <v>8158</v>
      </c>
      <c r="G23">
        <f>LNG_global[[#This Row],[Distance '[miles']]]*1.60934449789256</f>
        <v>13129.032413807505</v>
      </c>
      <c r="I23" t="s">
        <v>238</v>
      </c>
    </row>
    <row r="24" spans="1:9">
      <c r="A24" t="s">
        <v>183</v>
      </c>
      <c r="B24" t="s">
        <v>184</v>
      </c>
      <c r="E24">
        <f t="shared" ref="E24:E29" si="1">D24/1000</f>
        <v>0</v>
      </c>
      <c r="F24">
        <v>7349</v>
      </c>
      <c r="G24">
        <f>LNG_global[[#This Row],[Distance '[miles']]]*1.60934449789256</f>
        <v>11827.072715012424</v>
      </c>
      <c r="I24" t="s">
        <v>239</v>
      </c>
    </row>
    <row r="25" spans="1:9">
      <c r="A25" t="s">
        <v>183</v>
      </c>
      <c r="B25" t="s">
        <v>187</v>
      </c>
      <c r="E25">
        <f t="shared" si="1"/>
        <v>0</v>
      </c>
      <c r="F25">
        <v>5845</v>
      </c>
      <c r="G25">
        <f>LNG_global[[#This Row],[Distance '[miles']]]*1.60934449789256</f>
        <v>9406.6185901820136</v>
      </c>
      <c r="I25" t="s">
        <v>241</v>
      </c>
    </row>
    <row r="26" spans="1:9">
      <c r="A26" t="s">
        <v>183</v>
      </c>
      <c r="B26" t="s">
        <v>188</v>
      </c>
      <c r="E26">
        <f t="shared" si="1"/>
        <v>0</v>
      </c>
      <c r="F26">
        <v>6512</v>
      </c>
      <c r="G26">
        <f>LNG_global[[#This Row],[Distance '[miles']]]*1.60934449789256</f>
        <v>10480.051370276351</v>
      </c>
      <c r="I26" t="s">
        <v>242</v>
      </c>
    </row>
    <row r="27" spans="1:9">
      <c r="A27" t="s">
        <v>183</v>
      </c>
      <c r="B27" t="s">
        <v>189</v>
      </c>
      <c r="E27">
        <f t="shared" si="1"/>
        <v>0</v>
      </c>
      <c r="F27">
        <v>1018</v>
      </c>
      <c r="G27">
        <f>LNG_global[[#This Row],[Distance '[miles']]]*1.60934449789256</f>
        <v>1638.312698854626</v>
      </c>
      <c r="I27" t="s">
        <v>243</v>
      </c>
    </row>
    <row r="28" spans="1:9">
      <c r="A28" t="s">
        <v>183</v>
      </c>
      <c r="B28" t="s">
        <v>190</v>
      </c>
      <c r="E28">
        <f t="shared" si="1"/>
        <v>0</v>
      </c>
      <c r="F28">
        <v>4439</v>
      </c>
      <c r="G28">
        <f>LNG_global[[#This Row],[Distance '[miles']]]*1.60934449789256</f>
        <v>7143.8802261450737</v>
      </c>
      <c r="I28" t="s">
        <v>244</v>
      </c>
    </row>
    <row r="29" spans="1:9">
      <c r="A29" t="s">
        <v>183</v>
      </c>
      <c r="B29" t="s">
        <v>191</v>
      </c>
      <c r="E29">
        <f t="shared" si="1"/>
        <v>0</v>
      </c>
      <c r="F29">
        <v>2906</v>
      </c>
      <c r="G29">
        <f>LNG_global[[#This Row],[Distance '[miles']]]*1.60934449789256</f>
        <v>4676.7551108757789</v>
      </c>
      <c r="I29" t="s">
        <v>212</v>
      </c>
    </row>
    <row r="30" spans="1:9">
      <c r="A30" t="s">
        <v>184</v>
      </c>
      <c r="B30" t="s">
        <v>186</v>
      </c>
      <c r="E30">
        <f>D30/1000</f>
        <v>0</v>
      </c>
      <c r="F30">
        <v>3392</v>
      </c>
      <c r="G30">
        <f>LNG_global[[#This Row],[Distance '[miles']]]*1.60934449789256</f>
        <v>5458.8965368515637</v>
      </c>
      <c r="I30" t="s">
        <v>238</v>
      </c>
    </row>
    <row r="31" spans="1:9">
      <c r="A31" t="s">
        <v>184</v>
      </c>
      <c r="B31" t="s">
        <v>187</v>
      </c>
      <c r="E31">
        <f t="shared" ref="E31:E35" si="2">D31/1000</f>
        <v>0</v>
      </c>
      <c r="F31">
        <v>9306</v>
      </c>
      <c r="G31">
        <f>LNG_global[[#This Row],[Distance '[miles']]]*1.60934449789256</f>
        <v>14976.559897388162</v>
      </c>
      <c r="I31" t="s">
        <v>241</v>
      </c>
    </row>
    <row r="32" spans="1:9">
      <c r="A32" t="s">
        <v>184</v>
      </c>
      <c r="B32" t="s">
        <v>188</v>
      </c>
      <c r="E32">
        <f t="shared" si="2"/>
        <v>0</v>
      </c>
      <c r="F32">
        <v>10752</v>
      </c>
      <c r="G32">
        <f>LNG_global[[#This Row],[Distance '[miles']]]*1.60934449789256</f>
        <v>17303.672041340804</v>
      </c>
      <c r="I32" t="s">
        <v>242</v>
      </c>
    </row>
    <row r="33" spans="1:9">
      <c r="A33" t="s">
        <v>184</v>
      </c>
      <c r="B33" t="s">
        <v>189</v>
      </c>
      <c r="E33">
        <f t="shared" si="2"/>
        <v>0</v>
      </c>
      <c r="F33">
        <v>7030</v>
      </c>
      <c r="G33">
        <f>LNG_global[[#This Row],[Distance '[miles']]]*1.60934449789256</f>
        <v>11313.691820184697</v>
      </c>
      <c r="I33" t="s">
        <v>243</v>
      </c>
    </row>
    <row r="34" spans="1:9">
      <c r="A34" t="s">
        <v>184</v>
      </c>
      <c r="B34" t="s">
        <v>190</v>
      </c>
      <c r="E34">
        <f t="shared" si="2"/>
        <v>0</v>
      </c>
      <c r="F34">
        <v>8808</v>
      </c>
      <c r="G34">
        <f>LNG_global[[#This Row],[Distance '[miles']]]*1.60934449789256</f>
        <v>14175.106337437668</v>
      </c>
      <c r="I34" t="s">
        <v>244</v>
      </c>
    </row>
    <row r="35" spans="1:9">
      <c r="A35" t="s">
        <v>184</v>
      </c>
      <c r="B35" t="s">
        <v>191</v>
      </c>
      <c r="E35">
        <f t="shared" si="2"/>
        <v>0</v>
      </c>
      <c r="F35">
        <v>5391</v>
      </c>
      <c r="G35">
        <f>LNG_global[[#This Row],[Distance '[miles']]]*1.60934449789256</f>
        <v>8675.9761881387913</v>
      </c>
      <c r="H35" t="s">
        <v>212</v>
      </c>
      <c r="I35" t="s">
        <v>277</v>
      </c>
    </row>
    <row r="36" spans="1:9">
      <c r="A36" t="s">
        <v>185</v>
      </c>
      <c r="B36" t="s">
        <v>186</v>
      </c>
      <c r="E36">
        <f>D36/1000</f>
        <v>0</v>
      </c>
      <c r="F36">
        <v>8575</v>
      </c>
      <c r="G36">
        <f>LNG_global[[#This Row],[Distance '[miles']]]*1.60934449789256</f>
        <v>13800.129069428702</v>
      </c>
      <c r="I36" t="s">
        <v>249</v>
      </c>
    </row>
    <row r="37" spans="1:9">
      <c r="A37" t="s">
        <v>185</v>
      </c>
      <c r="B37" t="s">
        <v>184</v>
      </c>
      <c r="E37">
        <f t="shared" ref="E37:E42" si="3">D37/1000</f>
        <v>0</v>
      </c>
      <c r="F37">
        <v>8554</v>
      </c>
      <c r="G37">
        <f>LNG_global[[#This Row],[Distance '[miles']]]*1.60934449789256</f>
        <v>13766.332834972958</v>
      </c>
      <c r="I37" t="s">
        <v>239</v>
      </c>
    </row>
    <row r="38" spans="1:9">
      <c r="A38" t="s">
        <v>185</v>
      </c>
      <c r="B38" t="s">
        <v>187</v>
      </c>
      <c r="E38">
        <f t="shared" si="3"/>
        <v>0</v>
      </c>
      <c r="F38">
        <v>2353</v>
      </c>
      <c r="G38">
        <f>LNG_global[[#This Row],[Distance '[miles']]]*1.60934449789256</f>
        <v>3786.7876035411937</v>
      </c>
      <c r="I38" t="s">
        <v>276</v>
      </c>
    </row>
    <row r="39" spans="1:9">
      <c r="A39" t="s">
        <v>185</v>
      </c>
      <c r="B39" t="s">
        <v>188</v>
      </c>
      <c r="E39">
        <f t="shared" si="3"/>
        <v>0</v>
      </c>
      <c r="F39">
        <v>3033</v>
      </c>
      <c r="G39">
        <f>LNG_global[[#This Row],[Distance '[miles']]]*1.60934449789256</f>
        <v>4881.1418621081348</v>
      </c>
      <c r="I39" t="s">
        <v>242</v>
      </c>
    </row>
    <row r="40" spans="1:9">
      <c r="A40" t="s">
        <v>185</v>
      </c>
      <c r="B40" t="s">
        <v>189</v>
      </c>
      <c r="E40">
        <f t="shared" si="3"/>
        <v>0</v>
      </c>
      <c r="F40">
        <v>4477</v>
      </c>
      <c r="G40">
        <f>LNG_global[[#This Row],[Distance '[miles']]]*1.60934449789256</f>
        <v>7205.0353170649905</v>
      </c>
      <c r="I40" t="s">
        <v>243</v>
      </c>
    </row>
    <row r="41" spans="1:9">
      <c r="A41" t="s">
        <v>185</v>
      </c>
      <c r="B41" t="s">
        <v>190</v>
      </c>
      <c r="E41">
        <f t="shared" si="3"/>
        <v>0</v>
      </c>
      <c r="F41">
        <v>2612</v>
      </c>
      <c r="G41">
        <f>LNG_global[[#This Row],[Distance '[miles']]]*1.60934449789256</f>
        <v>4203.6078284953664</v>
      </c>
      <c r="I41" t="s">
        <v>244</v>
      </c>
    </row>
    <row r="42" spans="1:9">
      <c r="A42" t="s">
        <v>185</v>
      </c>
      <c r="B42" t="s">
        <v>191</v>
      </c>
      <c r="E42">
        <f t="shared" si="3"/>
        <v>0</v>
      </c>
      <c r="F42">
        <v>6579</v>
      </c>
      <c r="G42">
        <f>LNG_global[[#This Row],[Distance '[miles']]]*1.60934449789256</f>
        <v>10587.877451635151</v>
      </c>
      <c r="I42" t="s">
        <v>277</v>
      </c>
    </row>
    <row r="43" spans="1:9">
      <c r="A43" t="s">
        <v>193</v>
      </c>
      <c r="B43" t="s">
        <v>186</v>
      </c>
      <c r="E43">
        <f>D43/1000</f>
        <v>0</v>
      </c>
      <c r="F43">
        <v>7893</v>
      </c>
      <c r="G43">
        <f>LNG_global[[#This Row],[Distance '[miles']]]*1.60934449789256</f>
        <v>12702.556121865975</v>
      </c>
      <c r="I43" t="s">
        <v>238</v>
      </c>
    </row>
    <row r="44" spans="1:9">
      <c r="A44" t="s">
        <v>193</v>
      </c>
      <c r="B44" t="s">
        <v>184</v>
      </c>
      <c r="E44">
        <f t="shared" ref="E44:E49" si="4">D44/1000</f>
        <v>0</v>
      </c>
      <c r="F44">
        <v>7122</v>
      </c>
      <c r="G44">
        <f>LNG_global[[#This Row],[Distance '[miles']]]*1.60934449789256</f>
        <v>11461.751513990812</v>
      </c>
      <c r="I44" t="s">
        <v>239</v>
      </c>
    </row>
    <row r="45" spans="1:9">
      <c r="A45" t="s">
        <v>193</v>
      </c>
      <c r="B45" t="s">
        <v>187</v>
      </c>
      <c r="E45">
        <f t="shared" si="4"/>
        <v>0</v>
      </c>
      <c r="F45">
        <v>13259</v>
      </c>
      <c r="G45">
        <f>LNG_global[[#This Row],[Distance '[miles']]]*1.60934449789256</f>
        <v>21338.298697557453</v>
      </c>
      <c r="H45" t="s">
        <v>212</v>
      </c>
      <c r="I45" t="s">
        <v>284</v>
      </c>
    </row>
    <row r="46" spans="1:9">
      <c r="A46" t="s">
        <v>193</v>
      </c>
      <c r="B46" t="s">
        <v>188</v>
      </c>
      <c r="E46">
        <f t="shared" si="4"/>
        <v>0</v>
      </c>
      <c r="F46">
        <v>949</v>
      </c>
      <c r="G46">
        <f>LNG_global[[#This Row],[Distance '[miles']]]*1.60934449789256</f>
        <v>1527.2679285000395</v>
      </c>
      <c r="I46" t="s">
        <v>242</v>
      </c>
    </row>
    <row r="47" spans="1:9">
      <c r="A47" t="s">
        <v>193</v>
      </c>
      <c r="B47" t="s">
        <v>189</v>
      </c>
      <c r="E47">
        <f t="shared" si="4"/>
        <v>0</v>
      </c>
      <c r="F47">
        <v>8895</v>
      </c>
      <c r="G47">
        <f>LNG_global[[#This Row],[Distance '[miles']]]*1.60934449789256</f>
        <v>14315.119308754322</v>
      </c>
      <c r="H47" t="s">
        <v>212</v>
      </c>
      <c r="I47" t="s">
        <v>243</v>
      </c>
    </row>
    <row r="48" spans="1:9">
      <c r="A48" t="s">
        <v>193</v>
      </c>
      <c r="B48" t="s">
        <v>190</v>
      </c>
      <c r="E48">
        <f t="shared" si="4"/>
        <v>0</v>
      </c>
      <c r="F48">
        <v>11853</v>
      </c>
      <c r="G48">
        <f>LNG_global[[#This Row],[Distance '[miles']]]*1.60934449789256</f>
        <v>19075.560333520512</v>
      </c>
      <c r="H48" t="s">
        <v>212</v>
      </c>
      <c r="I48" t="s">
        <v>244</v>
      </c>
    </row>
    <row r="49" spans="1:9">
      <c r="A49" t="s">
        <v>193</v>
      </c>
      <c r="B49" t="s">
        <v>191</v>
      </c>
      <c r="E49">
        <f t="shared" si="4"/>
        <v>0</v>
      </c>
      <c r="F49">
        <v>6177</v>
      </c>
      <c r="G49">
        <f>LNG_global[[#This Row],[Distance '[miles']]]*1.60934449789256</f>
        <v>9940.9209634823437</v>
      </c>
      <c r="H49" t="s">
        <v>212</v>
      </c>
      <c r="I49" t="s">
        <v>277</v>
      </c>
    </row>
    <row r="50" spans="1:9">
      <c r="A50" t="s">
        <v>191</v>
      </c>
      <c r="B50" t="s">
        <v>186</v>
      </c>
      <c r="E50">
        <f>D50/1000</f>
        <v>0</v>
      </c>
      <c r="F50">
        <v>5988</v>
      </c>
      <c r="G50">
        <f>LNG_global[[#This Row],[Distance '[miles']]]*1.60934449789256</f>
        <v>9636.7548533806494</v>
      </c>
      <c r="I50" t="s">
        <v>238</v>
      </c>
    </row>
    <row r="51" spans="1:9">
      <c r="A51" t="s">
        <v>191</v>
      </c>
      <c r="B51" t="s">
        <v>184</v>
      </c>
      <c r="E51">
        <f t="shared" ref="E51:E56" si="5">D51/1000</f>
        <v>0</v>
      </c>
      <c r="F51">
        <v>5135</v>
      </c>
      <c r="G51">
        <f>LNG_global[[#This Row],[Distance '[miles']]]*1.60934449789256</f>
        <v>8263.9839966782947</v>
      </c>
      <c r="I51" t="s">
        <v>239</v>
      </c>
    </row>
    <row r="52" spans="1:9">
      <c r="A52" t="s">
        <v>191</v>
      </c>
      <c r="B52" t="s">
        <v>187</v>
      </c>
      <c r="E52">
        <f t="shared" si="5"/>
        <v>0</v>
      </c>
      <c r="F52">
        <v>7934</v>
      </c>
      <c r="G52">
        <f>LNG_global[[#This Row],[Distance '[miles']]]*1.60934449789256</f>
        <v>12768.53924627957</v>
      </c>
      <c r="H52" t="s">
        <v>212</v>
      </c>
      <c r="I52" t="s">
        <v>274</v>
      </c>
    </row>
    <row r="53" spans="1:9">
      <c r="A53" t="s">
        <v>191</v>
      </c>
      <c r="B53" t="s">
        <v>188</v>
      </c>
      <c r="E53">
        <f t="shared" si="5"/>
        <v>0</v>
      </c>
      <c r="F53">
        <v>8074</v>
      </c>
      <c r="G53">
        <f>LNG_global[[#This Row],[Distance '[miles']]]*1.60934449789256</f>
        <v>12993.847475984529</v>
      </c>
      <c r="H53" t="s">
        <v>212</v>
      </c>
      <c r="I53" t="s">
        <v>242</v>
      </c>
    </row>
    <row r="54" spans="1:9">
      <c r="A54" t="s">
        <v>191</v>
      </c>
      <c r="B54" t="s">
        <v>189</v>
      </c>
      <c r="E54">
        <f t="shared" si="5"/>
        <v>0</v>
      </c>
      <c r="F54">
        <v>3043</v>
      </c>
      <c r="G54">
        <f>LNG_global[[#This Row],[Distance '[miles']]]*1.60934449789256</f>
        <v>4897.2353070870604</v>
      </c>
      <c r="H54" t="s">
        <v>212</v>
      </c>
      <c r="I54" t="s">
        <v>243</v>
      </c>
    </row>
    <row r="55" spans="1:9">
      <c r="A55" t="s">
        <v>191</v>
      </c>
      <c r="B55" t="s">
        <v>190</v>
      </c>
      <c r="E55">
        <f t="shared" si="5"/>
        <v>0</v>
      </c>
      <c r="F55">
        <v>6001</v>
      </c>
      <c r="G55">
        <f>LNG_global[[#This Row],[Distance '[miles']]]*1.60934449789256</f>
        <v>9657.6763318532521</v>
      </c>
      <c r="H55" t="s">
        <v>212</v>
      </c>
      <c r="I55" t="s">
        <v>244</v>
      </c>
    </row>
    <row r="56" spans="1:9">
      <c r="A56" t="s">
        <v>194</v>
      </c>
      <c r="B56" t="s">
        <v>186</v>
      </c>
      <c r="E56">
        <f t="shared" si="5"/>
        <v>0</v>
      </c>
      <c r="F56">
        <v>9163</v>
      </c>
      <c r="G56">
        <f>LNG_global[[#This Row],[Distance '[miles']]]*1.60934449789256</f>
        <v>14746.423634189527</v>
      </c>
      <c r="I56" t="s">
        <v>238</v>
      </c>
    </row>
    <row r="57" spans="1:9">
      <c r="A57" t="s">
        <v>194</v>
      </c>
      <c r="B57" t="s">
        <v>184</v>
      </c>
      <c r="E57">
        <f t="shared" ref="E57:E62" si="6">D57/1000</f>
        <v>0</v>
      </c>
      <c r="F57">
        <v>8354</v>
      </c>
      <c r="G57">
        <f>LNG_global[[#This Row],[Distance '[miles']]]*1.60934449789256</f>
        <v>13444.463935394446</v>
      </c>
      <c r="I57" t="s">
        <v>239</v>
      </c>
    </row>
    <row r="58" spans="1:9">
      <c r="A58" t="s">
        <v>194</v>
      </c>
      <c r="B58" t="s">
        <v>187</v>
      </c>
      <c r="E58">
        <f t="shared" si="6"/>
        <v>0</v>
      </c>
      <c r="F58">
        <v>2186</v>
      </c>
      <c r="G58">
        <f>LNG_global[[#This Row],[Distance '[miles']]]*1.60934449789256</f>
        <v>3518.0270723931362</v>
      </c>
      <c r="I58" t="s">
        <v>284</v>
      </c>
    </row>
    <row r="59" spans="1:9">
      <c r="A59" t="s">
        <v>194</v>
      </c>
      <c r="B59" t="s">
        <v>188</v>
      </c>
      <c r="E59">
        <f t="shared" si="6"/>
        <v>0</v>
      </c>
      <c r="F59">
        <v>2657</v>
      </c>
      <c r="G59">
        <f>LNG_global[[#This Row],[Distance '[miles']]]*1.60934449789256</f>
        <v>4276.0283309005317</v>
      </c>
      <c r="I59" t="s">
        <v>242</v>
      </c>
    </row>
    <row r="60" spans="1:9">
      <c r="A60" t="s">
        <v>194</v>
      </c>
      <c r="B60" t="s">
        <v>189</v>
      </c>
      <c r="E60">
        <f t="shared" si="6"/>
        <v>0</v>
      </c>
      <c r="F60">
        <v>3760</v>
      </c>
      <c r="G60">
        <f>LNG_global[[#This Row],[Distance '[miles']]]*1.60934449789256</f>
        <v>6051.135312076025</v>
      </c>
      <c r="I60" t="s">
        <v>243</v>
      </c>
    </row>
    <row r="61" spans="1:9">
      <c r="A61" t="s">
        <v>194</v>
      </c>
      <c r="B61" t="s">
        <v>190</v>
      </c>
      <c r="E61">
        <f t="shared" si="6"/>
        <v>0</v>
      </c>
      <c r="F61">
        <v>1775</v>
      </c>
      <c r="G61">
        <f>LNG_global[[#This Row],[Distance '[miles']]]*1.60934449789256</f>
        <v>2856.586483759294</v>
      </c>
      <c r="I61" t="s">
        <v>244</v>
      </c>
    </row>
    <row r="62" spans="1:9">
      <c r="A62" t="s">
        <v>194</v>
      </c>
      <c r="B62" t="s">
        <v>191</v>
      </c>
      <c r="E62">
        <f t="shared" si="6"/>
        <v>0</v>
      </c>
      <c r="F62">
        <v>5866</v>
      </c>
      <c r="G62">
        <f>LNG_global[[#This Row],[Distance '[miles']]]*1.60934449789256</f>
        <v>9440.4148246377572</v>
      </c>
      <c r="I62" t="s">
        <v>277</v>
      </c>
    </row>
    <row r="63" spans="1:9">
      <c r="A63" t="s">
        <v>183</v>
      </c>
      <c r="B63" t="s">
        <v>200</v>
      </c>
      <c r="E63">
        <f>D63/1000</f>
        <v>0</v>
      </c>
      <c r="F63">
        <v>6277</v>
      </c>
      <c r="G63">
        <f>LNG_global[[#This Row],[Distance '[miles']]]*1.60934449789256</f>
        <v>10101.855413271598</v>
      </c>
      <c r="H63" t="s">
        <v>212</v>
      </c>
      <c r="I63" t="s">
        <v>233</v>
      </c>
    </row>
    <row r="64" spans="1:9">
      <c r="A64" t="s">
        <v>183</v>
      </c>
      <c r="B64" t="s">
        <v>201</v>
      </c>
      <c r="E64">
        <f t="shared" ref="E64:E74" si="7">D64/1000</f>
        <v>0</v>
      </c>
      <c r="F64">
        <v>4581</v>
      </c>
      <c r="G64">
        <f>LNG_global[[#This Row],[Distance '[miles']]]*1.60934449789256</f>
        <v>7372.4071448458171</v>
      </c>
      <c r="H64" t="s">
        <v>212</v>
      </c>
      <c r="I64" t="s">
        <v>213</v>
      </c>
    </row>
    <row r="65" spans="1:9">
      <c r="A65" t="s">
        <v>183</v>
      </c>
      <c r="B65" t="s">
        <v>267</v>
      </c>
      <c r="E65">
        <f t="shared" si="7"/>
        <v>0</v>
      </c>
      <c r="F65">
        <v>3668</v>
      </c>
      <c r="G65">
        <f>LNG_global[[#This Row],[Distance '[miles']]]*1.60934449789256</f>
        <v>5903.0756182699097</v>
      </c>
      <c r="H65" t="s">
        <v>212</v>
      </c>
      <c r="I65" t="s">
        <v>214</v>
      </c>
    </row>
    <row r="66" spans="1:9">
      <c r="A66" t="s">
        <v>183</v>
      </c>
      <c r="B66" t="s">
        <v>202</v>
      </c>
      <c r="E66">
        <f t="shared" si="7"/>
        <v>0</v>
      </c>
      <c r="F66">
        <v>4380</v>
      </c>
      <c r="G66">
        <f>LNG_global[[#This Row],[Distance '[miles']]]*1.60934449789256</f>
        <v>7048.9289007694124</v>
      </c>
      <c r="H66" t="s">
        <v>212</v>
      </c>
      <c r="I66" t="s">
        <v>286</v>
      </c>
    </row>
    <row r="67" spans="1:9">
      <c r="A67" t="s">
        <v>183</v>
      </c>
      <c r="B67" t="s">
        <v>203</v>
      </c>
      <c r="E67">
        <f t="shared" si="7"/>
        <v>0</v>
      </c>
      <c r="F67">
        <v>4327</v>
      </c>
      <c r="G67">
        <f>LNG_global[[#This Row],[Distance '[miles']]]*1.60934449789256</f>
        <v>6963.6336423811072</v>
      </c>
      <c r="H67" t="s">
        <v>212</v>
      </c>
      <c r="I67" t="s">
        <v>216</v>
      </c>
    </row>
    <row r="68" spans="1:9">
      <c r="A68" t="s">
        <v>183</v>
      </c>
      <c r="B68" t="s">
        <v>204</v>
      </c>
      <c r="E68">
        <f t="shared" si="7"/>
        <v>0</v>
      </c>
      <c r="F68">
        <v>7211</v>
      </c>
      <c r="G68">
        <f>LNG_global[[#This Row],[Distance '[miles']]]*1.60934449789256</f>
        <v>11604.98317430325</v>
      </c>
      <c r="H68" t="s">
        <v>212</v>
      </c>
      <c r="I68" t="s">
        <v>217</v>
      </c>
    </row>
    <row r="69" spans="1:9">
      <c r="A69" t="s">
        <v>183</v>
      </c>
      <c r="B69" t="s">
        <v>205</v>
      </c>
      <c r="E69">
        <f t="shared" si="7"/>
        <v>0</v>
      </c>
      <c r="F69">
        <v>6346</v>
      </c>
      <c r="G69">
        <f>LNG_global[[#This Row],[Distance '[miles']]]*1.60934449789256</f>
        <v>10212.900183626185</v>
      </c>
      <c r="H69" t="s">
        <v>212</v>
      </c>
      <c r="I69" t="s">
        <v>218</v>
      </c>
    </row>
    <row r="70" spans="1:9">
      <c r="A70" t="s">
        <v>183</v>
      </c>
      <c r="B70" t="s">
        <v>206</v>
      </c>
      <c r="E70">
        <f t="shared" si="7"/>
        <v>0</v>
      </c>
      <c r="F70">
        <v>7020</v>
      </c>
      <c r="G70">
        <f>LNG_global[[#This Row],[Distance '[miles']]]*1.60934449789256</f>
        <v>11297.598375205771</v>
      </c>
      <c r="H70" t="s">
        <v>212</v>
      </c>
      <c r="I70" t="s">
        <v>219</v>
      </c>
    </row>
    <row r="71" spans="1:9">
      <c r="A71" t="s">
        <v>183</v>
      </c>
      <c r="B71" t="s">
        <v>207</v>
      </c>
      <c r="E71">
        <f t="shared" si="7"/>
        <v>0</v>
      </c>
      <c r="F71">
        <v>5266</v>
      </c>
      <c r="G71">
        <f>LNG_global[[#This Row],[Distance '[miles']]]*1.60934449789256</f>
        <v>8474.8081259022201</v>
      </c>
      <c r="H71" t="s">
        <v>212</v>
      </c>
      <c r="I71" t="s">
        <v>220</v>
      </c>
    </row>
    <row r="72" spans="1:9">
      <c r="A72" t="s">
        <v>183</v>
      </c>
      <c r="B72" t="s">
        <v>208</v>
      </c>
      <c r="E72">
        <f t="shared" si="7"/>
        <v>0</v>
      </c>
      <c r="F72">
        <v>4657</v>
      </c>
      <c r="G72">
        <f>LNG_global[[#This Row],[Distance '[miles']]]*1.60934449789256</f>
        <v>7494.7173266856516</v>
      </c>
      <c r="H72" t="s">
        <v>212</v>
      </c>
      <c r="I72" t="s">
        <v>221</v>
      </c>
    </row>
    <row r="73" spans="1:9">
      <c r="A73" t="s">
        <v>183</v>
      </c>
      <c r="B73" t="s">
        <v>209</v>
      </c>
      <c r="E73">
        <f t="shared" si="7"/>
        <v>0</v>
      </c>
      <c r="F73">
        <v>3667</v>
      </c>
      <c r="G73">
        <f>LNG_global[[#This Row],[Distance '[miles']]]*1.60934449789256</f>
        <v>5901.4662737720173</v>
      </c>
      <c r="H73" t="s">
        <v>212</v>
      </c>
      <c r="I73" t="s">
        <v>222</v>
      </c>
    </row>
    <row r="74" spans="1:9">
      <c r="A74" t="s">
        <v>183</v>
      </c>
      <c r="B74" t="s">
        <v>210</v>
      </c>
      <c r="E74">
        <f t="shared" si="7"/>
        <v>0</v>
      </c>
      <c r="F74">
        <v>6091</v>
      </c>
      <c r="G74">
        <f>LNG_global[[#This Row],[Distance '[miles']]]*1.60934449789256</f>
        <v>9802.5173366635827</v>
      </c>
      <c r="H74" t="s">
        <v>212</v>
      </c>
      <c r="I74" t="s">
        <v>237</v>
      </c>
    </row>
    <row r="75" spans="1:9">
      <c r="A75" t="s">
        <v>179</v>
      </c>
      <c r="B75" t="s">
        <v>200</v>
      </c>
      <c r="E75">
        <f>D75/1000</f>
        <v>0</v>
      </c>
      <c r="F75">
        <v>4986</v>
      </c>
      <c r="G75">
        <f>LNG_global[[#This Row],[Distance '[miles']]]*1.60934449789256</f>
        <v>8024.1916664923037</v>
      </c>
      <c r="I75" t="s">
        <v>233</v>
      </c>
    </row>
    <row r="76" spans="1:9">
      <c r="A76" t="s">
        <v>179</v>
      </c>
      <c r="B76" t="s">
        <v>201</v>
      </c>
      <c r="E76">
        <f t="shared" ref="E76:E86" si="8">D76/1000</f>
        <v>0</v>
      </c>
      <c r="F76">
        <v>4958</v>
      </c>
      <c r="G76">
        <f>LNG_global[[#This Row],[Distance '[miles']]]*1.60934449789256</f>
        <v>7979.1300205513126</v>
      </c>
      <c r="I76" t="s">
        <v>251</v>
      </c>
    </row>
    <row r="77" spans="1:9">
      <c r="A77" t="s">
        <v>179</v>
      </c>
      <c r="B77" t="s">
        <v>267</v>
      </c>
      <c r="E77">
        <f t="shared" si="8"/>
        <v>0</v>
      </c>
      <c r="F77">
        <v>6255</v>
      </c>
      <c r="G77">
        <f>LNG_global[[#This Row],[Distance '[miles']]]*1.60934449789256</f>
        <v>10066.449834317962</v>
      </c>
      <c r="I77" t="s">
        <v>214</v>
      </c>
    </row>
    <row r="78" spans="1:9">
      <c r="A78" t="s">
        <v>179</v>
      </c>
      <c r="B78" t="s">
        <v>202</v>
      </c>
      <c r="E78">
        <f t="shared" si="8"/>
        <v>0</v>
      </c>
      <c r="F78">
        <v>5631</v>
      </c>
      <c r="G78">
        <f>LNG_global[[#This Row],[Distance '[miles']]]*1.60934449789256</f>
        <v>9062.2188676330043</v>
      </c>
      <c r="I78" t="s">
        <v>275</v>
      </c>
    </row>
    <row r="79" spans="1:9">
      <c r="A79" t="s">
        <v>179</v>
      </c>
      <c r="B79" t="s">
        <v>203</v>
      </c>
      <c r="E79">
        <f t="shared" si="8"/>
        <v>0</v>
      </c>
      <c r="F79">
        <v>6380</v>
      </c>
      <c r="G79">
        <f>LNG_global[[#This Row],[Distance '[miles']]]*1.60934449789256</f>
        <v>10267.617896554533</v>
      </c>
      <c r="I79" t="s">
        <v>216</v>
      </c>
    </row>
    <row r="80" spans="1:9">
      <c r="A80" t="s">
        <v>179</v>
      </c>
      <c r="B80" t="s">
        <v>204</v>
      </c>
      <c r="E80">
        <f t="shared" si="8"/>
        <v>0</v>
      </c>
      <c r="F80">
        <v>5634</v>
      </c>
      <c r="G80">
        <f>LNG_global[[#This Row],[Distance '[miles']]]*1.60934449789256</f>
        <v>9067.0469011266832</v>
      </c>
      <c r="I80" t="s">
        <v>217</v>
      </c>
    </row>
    <row r="81" spans="1:9">
      <c r="A81" t="s">
        <v>179</v>
      </c>
      <c r="B81" t="s">
        <v>205</v>
      </c>
      <c r="E81">
        <f t="shared" si="8"/>
        <v>0</v>
      </c>
      <c r="F81">
        <v>5052</v>
      </c>
      <c r="G81">
        <f>LNG_global[[#This Row],[Distance '[miles']]]*1.60934449789256</f>
        <v>8130.4084033532126</v>
      </c>
      <c r="I81" t="s">
        <v>218</v>
      </c>
    </row>
    <row r="82" spans="1:9">
      <c r="A82" t="s">
        <v>179</v>
      </c>
      <c r="B82" t="s">
        <v>206</v>
      </c>
      <c r="E82">
        <f t="shared" si="8"/>
        <v>0</v>
      </c>
      <c r="F82">
        <v>5443</v>
      </c>
      <c r="G82">
        <f>LNG_global[[#This Row],[Distance '[miles']]]*1.60934449789256</f>
        <v>8759.6621020292041</v>
      </c>
      <c r="I82" t="s">
        <v>219</v>
      </c>
    </row>
    <row r="83" spans="1:9">
      <c r="A83" t="s">
        <v>179</v>
      </c>
      <c r="B83" t="s">
        <v>207</v>
      </c>
      <c r="E83">
        <f t="shared" si="8"/>
        <v>0</v>
      </c>
      <c r="F83">
        <v>4565</v>
      </c>
      <c r="G83">
        <f>LNG_global[[#This Row],[Distance '[miles']]]*1.60934449789256</f>
        <v>7346.6576328795363</v>
      </c>
      <c r="I83" t="s">
        <v>220</v>
      </c>
    </row>
    <row r="84" spans="1:9">
      <c r="A84" t="s">
        <v>179</v>
      </c>
      <c r="B84" t="s">
        <v>208</v>
      </c>
      <c r="E84">
        <f t="shared" si="8"/>
        <v>0</v>
      </c>
      <c r="F84">
        <v>4697</v>
      </c>
      <c r="G84">
        <f>LNG_global[[#This Row],[Distance '[miles']]]*1.60934449789256</f>
        <v>7559.0911066013541</v>
      </c>
      <c r="I84" t="s">
        <v>247</v>
      </c>
    </row>
    <row r="85" spans="1:9">
      <c r="A85" t="s">
        <v>179</v>
      </c>
      <c r="B85" t="s">
        <v>209</v>
      </c>
      <c r="E85">
        <f t="shared" si="8"/>
        <v>0</v>
      </c>
      <c r="F85">
        <v>6409</v>
      </c>
      <c r="G85">
        <f>LNG_global[[#This Row],[Distance '[miles']]]*1.60934449789256</f>
        <v>10314.288886993416</v>
      </c>
      <c r="I85" t="s">
        <v>222</v>
      </c>
    </row>
    <row r="86" spans="1:9">
      <c r="A86" t="s">
        <v>179</v>
      </c>
      <c r="B86" t="s">
        <v>210</v>
      </c>
      <c r="E86">
        <f t="shared" si="8"/>
        <v>0</v>
      </c>
      <c r="F86">
        <v>4666</v>
      </c>
      <c r="G86">
        <f>LNG_global[[#This Row],[Distance '[miles']]]*1.60934449789256</f>
        <v>7509.2014271666849</v>
      </c>
      <c r="I86" t="s">
        <v>237</v>
      </c>
    </row>
    <row r="87" spans="1:9">
      <c r="A87" t="s">
        <v>181</v>
      </c>
      <c r="B87" t="s">
        <v>200</v>
      </c>
      <c r="E87">
        <f>D87/1000</f>
        <v>0</v>
      </c>
      <c r="F87">
        <v>3985</v>
      </c>
      <c r="G87">
        <f>LNG_global[[#This Row],[Distance '[miles']]]*1.60934449789256</f>
        <v>6413.2378241018514</v>
      </c>
      <c r="I87" t="s">
        <v>233</v>
      </c>
    </row>
    <row r="88" spans="1:9">
      <c r="A88" t="s">
        <v>181</v>
      </c>
      <c r="B88" t="s">
        <v>201</v>
      </c>
      <c r="E88">
        <f t="shared" ref="E88:E98" si="9">D88/1000</f>
        <v>0</v>
      </c>
      <c r="F88">
        <v>3952</v>
      </c>
      <c r="G88">
        <f>LNG_global[[#This Row],[Distance '[miles']]]*1.60934449789256</f>
        <v>6360.1294556713965</v>
      </c>
      <c r="I88" t="s">
        <v>251</v>
      </c>
    </row>
    <row r="89" spans="1:9">
      <c r="A89" t="s">
        <v>181</v>
      </c>
      <c r="B89" t="s">
        <v>267</v>
      </c>
      <c r="E89">
        <f t="shared" si="9"/>
        <v>0</v>
      </c>
      <c r="F89">
        <v>4898</v>
      </c>
      <c r="G89">
        <f>LNG_global[[#This Row],[Distance '[miles']]]*1.60934449789256</f>
        <v>7882.5693506777588</v>
      </c>
      <c r="I89" t="s">
        <v>214</v>
      </c>
    </row>
    <row r="90" spans="1:9">
      <c r="A90" t="s">
        <v>181</v>
      </c>
      <c r="B90" t="s">
        <v>202</v>
      </c>
      <c r="E90">
        <f t="shared" si="9"/>
        <v>0</v>
      </c>
      <c r="F90">
        <v>5075</v>
      </c>
      <c r="G90">
        <f>LNG_global[[#This Row],[Distance '[miles']]]*1.60934449789256</f>
        <v>8167.4233268047419</v>
      </c>
      <c r="I90" t="s">
        <v>286</v>
      </c>
    </row>
    <row r="91" spans="1:9">
      <c r="A91" t="s">
        <v>181</v>
      </c>
      <c r="B91" t="s">
        <v>203</v>
      </c>
      <c r="E91">
        <f t="shared" si="9"/>
        <v>0</v>
      </c>
      <c r="F91">
        <v>5023</v>
      </c>
      <c r="G91">
        <f>LNG_global[[#This Row],[Distance '[miles']]]*1.60934449789256</f>
        <v>8083.7374129143291</v>
      </c>
      <c r="I91" t="s">
        <v>216</v>
      </c>
    </row>
    <row r="92" spans="1:9">
      <c r="A92" t="s">
        <v>181</v>
      </c>
      <c r="B92" t="s">
        <v>204</v>
      </c>
      <c r="E92">
        <f t="shared" si="9"/>
        <v>0</v>
      </c>
      <c r="F92">
        <v>4823</v>
      </c>
      <c r="G92">
        <f>LNG_global[[#This Row],[Distance '[miles']]]*1.60934449789256</f>
        <v>7761.8685133358167</v>
      </c>
      <c r="I92" t="s">
        <v>217</v>
      </c>
    </row>
    <row r="93" spans="1:9">
      <c r="A93" t="s">
        <v>181</v>
      </c>
      <c r="B93" t="s">
        <v>205</v>
      </c>
      <c r="E93">
        <f t="shared" si="9"/>
        <v>0</v>
      </c>
      <c r="F93">
        <v>4051</v>
      </c>
      <c r="G93">
        <f>LNG_global[[#This Row],[Distance '[miles']]]*1.60934449789256</f>
        <v>6519.4545609627603</v>
      </c>
      <c r="I93" t="s">
        <v>218</v>
      </c>
    </row>
    <row r="94" spans="1:9">
      <c r="A94" t="s">
        <v>181</v>
      </c>
      <c r="B94" t="s">
        <v>206</v>
      </c>
      <c r="E94">
        <f t="shared" si="9"/>
        <v>0</v>
      </c>
      <c r="F94">
        <v>4632</v>
      </c>
      <c r="G94">
        <f>LNG_global[[#This Row],[Distance '[miles']]]*1.60934449789256</f>
        <v>7454.4837142383376</v>
      </c>
      <c r="I94" t="s">
        <v>219</v>
      </c>
    </row>
    <row r="95" spans="1:9">
      <c r="A95" t="s">
        <v>181</v>
      </c>
      <c r="B95" t="s">
        <v>207</v>
      </c>
      <c r="E95">
        <f t="shared" si="9"/>
        <v>0</v>
      </c>
      <c r="F95">
        <v>3299</v>
      </c>
      <c r="G95">
        <f>LNG_global[[#This Row],[Distance '[miles']]]*1.60934449789256</f>
        <v>5309.2274985475551</v>
      </c>
      <c r="I95" t="s">
        <v>220</v>
      </c>
    </row>
    <row r="96" spans="1:9">
      <c r="A96" t="s">
        <v>181</v>
      </c>
      <c r="B96" t="s">
        <v>208</v>
      </c>
      <c r="E96">
        <f t="shared" si="9"/>
        <v>0</v>
      </c>
      <c r="F96">
        <v>3645</v>
      </c>
      <c r="G96">
        <f>LNG_global[[#This Row],[Distance '[miles']]]*1.60934449789256</f>
        <v>5866.0606948183813</v>
      </c>
      <c r="I96" t="s">
        <v>236</v>
      </c>
    </row>
    <row r="97" spans="1:9">
      <c r="A97" t="s">
        <v>181</v>
      </c>
      <c r="B97" t="s">
        <v>209</v>
      </c>
      <c r="E97">
        <f t="shared" si="9"/>
        <v>0</v>
      </c>
      <c r="F97">
        <v>5052</v>
      </c>
      <c r="G97">
        <f>LNG_global[[#This Row],[Distance '[miles']]]*1.60934449789256</f>
        <v>8130.4084033532126</v>
      </c>
      <c r="I97" t="s">
        <v>222</v>
      </c>
    </row>
    <row r="98" spans="1:9">
      <c r="A98" t="s">
        <v>181</v>
      </c>
      <c r="B98" t="s">
        <v>210</v>
      </c>
      <c r="E98">
        <f t="shared" si="9"/>
        <v>0</v>
      </c>
      <c r="F98">
        <v>3974</v>
      </c>
      <c r="G98">
        <f>LNG_global[[#This Row],[Distance '[miles']]]*1.60934449789256</f>
        <v>6395.5350346250334</v>
      </c>
      <c r="I98" t="s">
        <v>280</v>
      </c>
    </row>
    <row r="99" spans="1:9">
      <c r="A99" t="s">
        <v>182</v>
      </c>
      <c r="B99" t="s">
        <v>200</v>
      </c>
      <c r="E99">
        <f>D99/1000</f>
        <v>0</v>
      </c>
      <c r="F99">
        <v>6210</v>
      </c>
      <c r="G99">
        <f>LNG_global[[#This Row],[Distance '[miles']]]*1.60934449789256</f>
        <v>9994.0293319127977</v>
      </c>
      <c r="H99" t="s">
        <v>212</v>
      </c>
      <c r="I99" t="s">
        <v>233</v>
      </c>
    </row>
    <row r="100" spans="1:9">
      <c r="A100" t="s">
        <v>182</v>
      </c>
      <c r="B100" t="s">
        <v>201</v>
      </c>
      <c r="E100">
        <f t="shared" ref="E100:E110" si="10">D100/1000</f>
        <v>0</v>
      </c>
      <c r="F100">
        <v>6177</v>
      </c>
      <c r="G100">
        <f>LNG_global[[#This Row],[Distance '[miles']]]*1.60934449789256</f>
        <v>9940.9209634823437</v>
      </c>
      <c r="H100" t="s">
        <v>212</v>
      </c>
      <c r="I100" t="s">
        <v>251</v>
      </c>
    </row>
    <row r="101" spans="1:9">
      <c r="A101" t="s">
        <v>182</v>
      </c>
      <c r="B101" t="s">
        <v>267</v>
      </c>
      <c r="E101">
        <f t="shared" si="10"/>
        <v>0</v>
      </c>
      <c r="F101">
        <v>3601</v>
      </c>
      <c r="G101">
        <f>LNG_global[[#This Row],[Distance '[miles']]]*1.60934449789256</f>
        <v>5795.2495369111084</v>
      </c>
      <c r="H101" t="s">
        <v>212</v>
      </c>
      <c r="I101" t="s">
        <v>214</v>
      </c>
    </row>
    <row r="102" spans="1:9">
      <c r="A102" t="s">
        <v>182</v>
      </c>
      <c r="B102" t="s">
        <v>202</v>
      </c>
      <c r="E102">
        <f t="shared" si="10"/>
        <v>0</v>
      </c>
      <c r="F102">
        <v>4385</v>
      </c>
      <c r="G102">
        <f>LNG_global[[#This Row],[Distance '[miles']]]*1.60934449789256</f>
        <v>7056.9756232588752</v>
      </c>
      <c r="H102" t="s">
        <v>212</v>
      </c>
      <c r="I102" t="s">
        <v>215</v>
      </c>
    </row>
    <row r="103" spans="1:9">
      <c r="A103" t="s">
        <v>182</v>
      </c>
      <c r="B103" t="s">
        <v>203</v>
      </c>
      <c r="E103">
        <f t="shared" si="10"/>
        <v>0</v>
      </c>
      <c r="F103">
        <v>4260</v>
      </c>
      <c r="G103">
        <f>LNG_global[[#This Row],[Distance '[miles']]]*1.60934449789256</f>
        <v>6855.807561022305</v>
      </c>
      <c r="H103" t="s">
        <v>212</v>
      </c>
      <c r="I103" t="s">
        <v>216</v>
      </c>
    </row>
    <row r="104" spans="1:9">
      <c r="A104" t="s">
        <v>182</v>
      </c>
      <c r="B104" t="s">
        <v>204</v>
      </c>
      <c r="E104">
        <f t="shared" si="10"/>
        <v>0</v>
      </c>
      <c r="F104">
        <v>7144</v>
      </c>
      <c r="G104">
        <f>LNG_global[[#This Row],[Distance '[miles']]]*1.60934449789256</f>
        <v>11497.157092944448</v>
      </c>
      <c r="H104" t="s">
        <v>212</v>
      </c>
      <c r="I104" t="s">
        <v>217</v>
      </c>
    </row>
    <row r="105" spans="1:9">
      <c r="A105" t="s">
        <v>182</v>
      </c>
      <c r="B105" t="s">
        <v>205</v>
      </c>
      <c r="E105">
        <f t="shared" si="10"/>
        <v>0</v>
      </c>
      <c r="F105">
        <v>6276</v>
      </c>
      <c r="G105">
        <f>LNG_global[[#This Row],[Distance '[miles']]]*1.60934449789256</f>
        <v>10100.246068773706</v>
      </c>
      <c r="H105" t="s">
        <v>212</v>
      </c>
      <c r="I105" t="s">
        <v>218</v>
      </c>
    </row>
    <row r="106" spans="1:9">
      <c r="A106" t="s">
        <v>182</v>
      </c>
      <c r="B106" t="s">
        <v>206</v>
      </c>
      <c r="E106">
        <f t="shared" si="10"/>
        <v>0</v>
      </c>
      <c r="F106">
        <v>6953</v>
      </c>
      <c r="G106">
        <f>LNG_global[[#This Row],[Distance '[miles']]]*1.60934449789256</f>
        <v>11189.772293846969</v>
      </c>
      <c r="H106" t="s">
        <v>212</v>
      </c>
      <c r="I106" t="s">
        <v>219</v>
      </c>
    </row>
    <row r="107" spans="1:9">
      <c r="A107" t="s">
        <v>182</v>
      </c>
      <c r="B107" t="s">
        <v>207</v>
      </c>
      <c r="E107">
        <f t="shared" si="10"/>
        <v>0</v>
      </c>
      <c r="F107">
        <v>5199</v>
      </c>
      <c r="G107">
        <f>LNG_global[[#This Row],[Distance '[miles']]]*1.60934449789256</f>
        <v>8366.9820445434198</v>
      </c>
      <c r="H107" t="s">
        <v>212</v>
      </c>
      <c r="I107" t="s">
        <v>220</v>
      </c>
    </row>
    <row r="108" spans="1:9">
      <c r="A108" t="s">
        <v>182</v>
      </c>
      <c r="B108" t="s">
        <v>208</v>
      </c>
      <c r="E108">
        <f t="shared" si="10"/>
        <v>0</v>
      </c>
      <c r="F108">
        <v>4590</v>
      </c>
      <c r="G108">
        <f>LNG_global[[#This Row],[Distance '[miles']]]*1.60934449789256</f>
        <v>7386.8912453268504</v>
      </c>
      <c r="H108" t="s">
        <v>212</v>
      </c>
      <c r="I108" t="s">
        <v>221</v>
      </c>
    </row>
    <row r="109" spans="1:9">
      <c r="A109" t="s">
        <v>182</v>
      </c>
      <c r="B109" t="s">
        <v>209</v>
      </c>
      <c r="E109">
        <f t="shared" si="10"/>
        <v>0</v>
      </c>
      <c r="F109">
        <v>3600</v>
      </c>
      <c r="G109">
        <f>LNG_global[[#This Row],[Distance '[miles']]]*1.60934449789256</f>
        <v>5793.640192413216</v>
      </c>
      <c r="H109" t="s">
        <v>212</v>
      </c>
      <c r="I109" t="s">
        <v>222</v>
      </c>
    </row>
    <row r="110" spans="1:9">
      <c r="A110" t="s">
        <v>182</v>
      </c>
      <c r="B110" t="s">
        <v>210</v>
      </c>
      <c r="E110">
        <f t="shared" si="10"/>
        <v>0</v>
      </c>
      <c r="F110">
        <v>6024</v>
      </c>
      <c r="G110">
        <f>LNG_global[[#This Row],[Distance '[miles']]]*1.60934449789256</f>
        <v>9694.6912553047805</v>
      </c>
      <c r="H110" t="s">
        <v>212</v>
      </c>
      <c r="I110" t="s">
        <v>237</v>
      </c>
    </row>
    <row r="111" spans="1:9">
      <c r="A111" t="s">
        <v>184</v>
      </c>
      <c r="B111" t="s">
        <v>200</v>
      </c>
      <c r="E111">
        <f t="shared" ref="E111:E122" si="11">D111/1000</f>
        <v>0</v>
      </c>
      <c r="F111">
        <v>4348</v>
      </c>
      <c r="G111">
        <f>LNG_global[[#This Row],[Distance '[miles']]]*1.60934449789256</f>
        <v>6997.4298768368508</v>
      </c>
      <c r="I111" t="s">
        <v>233</v>
      </c>
    </row>
    <row r="112" spans="1:9">
      <c r="A112" t="s">
        <v>184</v>
      </c>
      <c r="B112" t="s">
        <v>201</v>
      </c>
      <c r="E112">
        <f t="shared" si="11"/>
        <v>0</v>
      </c>
      <c r="F112">
        <v>3980</v>
      </c>
      <c r="G112">
        <f>LNG_global[[#This Row],[Distance '[miles']]]*1.60934449789256</f>
        <v>6405.1911016123886</v>
      </c>
      <c r="I112" t="s">
        <v>278</v>
      </c>
    </row>
    <row r="113" spans="1:9">
      <c r="A113" t="s">
        <v>184</v>
      </c>
      <c r="B113" t="s">
        <v>267</v>
      </c>
      <c r="E113">
        <f t="shared" si="11"/>
        <v>0</v>
      </c>
      <c r="F113">
        <v>4824</v>
      </c>
      <c r="G113">
        <f>LNG_global[[#This Row],[Distance '[miles']]]*1.60934449789256</f>
        <v>7763.4778578337091</v>
      </c>
      <c r="I113" t="s">
        <v>214</v>
      </c>
    </row>
    <row r="114" spans="1:9">
      <c r="A114" t="s">
        <v>184</v>
      </c>
      <c r="B114" t="s">
        <v>202</v>
      </c>
      <c r="E114">
        <f t="shared" si="11"/>
        <v>0</v>
      </c>
      <c r="F114">
        <v>4172</v>
      </c>
      <c r="G114">
        <f>LNG_global[[#This Row],[Distance '[miles']]]*1.60934449789256</f>
        <v>6714.1852452077601</v>
      </c>
      <c r="I114" t="s">
        <v>275</v>
      </c>
    </row>
    <row r="115" spans="1:9">
      <c r="A115" t="s">
        <v>184</v>
      </c>
      <c r="B115" t="s">
        <v>203</v>
      </c>
      <c r="E115">
        <f t="shared" si="11"/>
        <v>0</v>
      </c>
      <c r="F115">
        <v>4949</v>
      </c>
      <c r="G115">
        <f>LNG_global[[#This Row],[Distance '[miles']]]*1.60934449789256</f>
        <v>7964.6459200702793</v>
      </c>
      <c r="I115" t="s">
        <v>216</v>
      </c>
    </row>
    <row r="116" spans="1:9">
      <c r="A116" t="s">
        <v>184</v>
      </c>
      <c r="B116" t="s">
        <v>204</v>
      </c>
      <c r="E116">
        <f t="shared" si="11"/>
        <v>0</v>
      </c>
      <c r="F116">
        <v>5282</v>
      </c>
      <c r="G116">
        <f>LNG_global[[#This Row],[Distance '[miles']]]*1.60934449789256</f>
        <v>8500.5576378685018</v>
      </c>
      <c r="I116" t="s">
        <v>217</v>
      </c>
    </row>
    <row r="117" spans="1:9">
      <c r="A117" t="s">
        <v>184</v>
      </c>
      <c r="B117" t="s">
        <v>205</v>
      </c>
      <c r="E117">
        <f t="shared" si="11"/>
        <v>0</v>
      </c>
      <c r="F117">
        <v>4414</v>
      </c>
      <c r="G117">
        <f>LNG_global[[#This Row],[Distance '[miles']]]*1.60934449789256</f>
        <v>7103.6466136977597</v>
      </c>
      <c r="I117" t="s">
        <v>218</v>
      </c>
    </row>
    <row r="118" spans="1:9">
      <c r="A118" t="s">
        <v>184</v>
      </c>
      <c r="B118" t="s">
        <v>206</v>
      </c>
      <c r="E118">
        <f t="shared" si="11"/>
        <v>0</v>
      </c>
      <c r="F118">
        <v>5091</v>
      </c>
      <c r="G118">
        <f>LNG_global[[#This Row],[Distance '[miles']]]*1.60934449789256</f>
        <v>8193.1728387710227</v>
      </c>
      <c r="I118" t="s">
        <v>219</v>
      </c>
    </row>
    <row r="119" spans="1:9">
      <c r="A119" t="s">
        <v>184</v>
      </c>
      <c r="B119" t="s">
        <v>207</v>
      </c>
      <c r="E119">
        <f t="shared" si="11"/>
        <v>0</v>
      </c>
      <c r="F119">
        <v>3389</v>
      </c>
      <c r="G119">
        <f>LNG_global[[#This Row],[Distance '[miles']]]*1.60934449789256</f>
        <v>5454.0685033578857</v>
      </c>
      <c r="I119" t="s">
        <v>220</v>
      </c>
    </row>
    <row r="120" spans="1:9">
      <c r="A120" t="s">
        <v>184</v>
      </c>
      <c r="B120" t="s">
        <v>208</v>
      </c>
      <c r="E120">
        <f t="shared" si="11"/>
        <v>0</v>
      </c>
      <c r="F120">
        <v>3359</v>
      </c>
      <c r="G120">
        <f>LNG_global[[#This Row],[Distance '[miles']]]*1.60934449789256</f>
        <v>5405.7881684211088</v>
      </c>
      <c r="I120" t="s">
        <v>247</v>
      </c>
    </row>
    <row r="121" spans="1:9">
      <c r="A121" t="s">
        <v>184</v>
      </c>
      <c r="B121" t="s">
        <v>209</v>
      </c>
      <c r="E121">
        <f t="shared" si="11"/>
        <v>0</v>
      </c>
      <c r="F121">
        <v>5109</v>
      </c>
      <c r="G121">
        <f>LNG_global[[#This Row],[Distance '[miles']]]*1.60934449789256</f>
        <v>8222.1410397330892</v>
      </c>
      <c r="I121" t="s">
        <v>279</v>
      </c>
    </row>
    <row r="122" spans="1:9">
      <c r="A122" t="s">
        <v>184</v>
      </c>
      <c r="B122" t="s">
        <v>210</v>
      </c>
      <c r="E122">
        <f t="shared" si="11"/>
        <v>0</v>
      </c>
      <c r="F122">
        <v>4309</v>
      </c>
      <c r="G122">
        <f>LNG_global[[#This Row],[Distance '[miles']]]*1.60934449789256</f>
        <v>6934.6654414190407</v>
      </c>
      <c r="I122" t="s">
        <v>280</v>
      </c>
    </row>
    <row r="123" spans="1:9">
      <c r="A123" t="s">
        <v>185</v>
      </c>
      <c r="B123" t="s">
        <v>200</v>
      </c>
      <c r="E123">
        <f>D123/1000</f>
        <v>0</v>
      </c>
      <c r="F123">
        <v>9950</v>
      </c>
      <c r="G123">
        <f>LNG_global[[#This Row],[Distance '[miles']]]*1.60934449789256</f>
        <v>16012.977754030971</v>
      </c>
      <c r="H123" t="s">
        <v>212</v>
      </c>
      <c r="I123" t="s">
        <v>233</v>
      </c>
    </row>
    <row r="124" spans="1:9">
      <c r="A124" t="s">
        <v>185</v>
      </c>
      <c r="B124" t="s">
        <v>201</v>
      </c>
      <c r="E124">
        <f t="shared" ref="E124:E134" si="12">D124/1000</f>
        <v>0</v>
      </c>
      <c r="F124">
        <v>8254</v>
      </c>
      <c r="G124">
        <f>LNG_global[[#This Row],[Distance '[miles']]]*1.60934449789256</f>
        <v>13283.52948560519</v>
      </c>
      <c r="H124" t="s">
        <v>212</v>
      </c>
      <c r="I124" t="s">
        <v>213</v>
      </c>
    </row>
    <row r="125" spans="1:9">
      <c r="A125" t="s">
        <v>185</v>
      </c>
      <c r="B125" t="s">
        <v>267</v>
      </c>
      <c r="E125">
        <f t="shared" si="12"/>
        <v>0</v>
      </c>
      <c r="F125">
        <v>7341</v>
      </c>
      <c r="G125">
        <f>LNG_global[[#This Row],[Distance '[miles']]]*1.60934449789256</f>
        <v>11814.197959029283</v>
      </c>
      <c r="H125" t="s">
        <v>212</v>
      </c>
      <c r="I125" t="s">
        <v>214</v>
      </c>
    </row>
    <row r="126" spans="1:9">
      <c r="A126" t="s">
        <v>185</v>
      </c>
      <c r="B126" t="s">
        <v>202</v>
      </c>
      <c r="E126">
        <f t="shared" si="12"/>
        <v>0</v>
      </c>
      <c r="F126">
        <v>8125</v>
      </c>
      <c r="G126">
        <f>LNG_global[[#This Row],[Distance '[miles']]]*1.60934449789256</f>
        <v>13075.924045377049</v>
      </c>
      <c r="H126" t="s">
        <v>212</v>
      </c>
      <c r="I126" t="s">
        <v>215</v>
      </c>
    </row>
    <row r="127" spans="1:9">
      <c r="A127" t="s">
        <v>185</v>
      </c>
      <c r="B127" t="s">
        <v>203</v>
      </c>
      <c r="E127">
        <f t="shared" si="12"/>
        <v>0</v>
      </c>
      <c r="F127">
        <v>8000</v>
      </c>
      <c r="G127">
        <f>LNG_global[[#This Row],[Distance '[miles']]]*1.60934449789256</f>
        <v>12874.75598314048</v>
      </c>
      <c r="H127" t="s">
        <v>212</v>
      </c>
      <c r="I127" t="s">
        <v>216</v>
      </c>
    </row>
    <row r="128" spans="1:9">
      <c r="A128" t="s">
        <v>185</v>
      </c>
      <c r="B128" t="s">
        <v>204</v>
      </c>
      <c r="E128">
        <f t="shared" si="12"/>
        <v>0</v>
      </c>
      <c r="F128">
        <v>10884</v>
      </c>
      <c r="G128">
        <f>LNG_global[[#This Row],[Distance '[miles']]]*1.60934449789256</f>
        <v>17516.105515062623</v>
      </c>
      <c r="H128" t="s">
        <v>212</v>
      </c>
      <c r="I128" t="s">
        <v>217</v>
      </c>
    </row>
    <row r="129" spans="1:9">
      <c r="A129" t="s">
        <v>185</v>
      </c>
      <c r="B129" t="s">
        <v>205</v>
      </c>
      <c r="E129">
        <f t="shared" si="12"/>
        <v>0</v>
      </c>
      <c r="F129">
        <v>10016</v>
      </c>
      <c r="G129">
        <f>LNG_global[[#This Row],[Distance '[miles']]]*1.60934449789256</f>
        <v>16119.194490891881</v>
      </c>
      <c r="H129" t="s">
        <v>212</v>
      </c>
      <c r="I129" t="s">
        <v>218</v>
      </c>
    </row>
    <row r="130" spans="1:9">
      <c r="A130" t="s">
        <v>185</v>
      </c>
      <c r="B130" t="s">
        <v>206</v>
      </c>
      <c r="E130">
        <f t="shared" si="12"/>
        <v>0</v>
      </c>
      <c r="F130">
        <v>10693</v>
      </c>
      <c r="G130">
        <f>LNG_global[[#This Row],[Distance '[miles']]]*1.60934449789256</f>
        <v>17208.720715965144</v>
      </c>
      <c r="H130" t="s">
        <v>212</v>
      </c>
      <c r="I130" t="s">
        <v>219</v>
      </c>
    </row>
    <row r="131" spans="1:9">
      <c r="A131" t="s">
        <v>185</v>
      </c>
      <c r="B131" t="s">
        <v>207</v>
      </c>
      <c r="E131">
        <f t="shared" si="12"/>
        <v>0</v>
      </c>
      <c r="F131">
        <v>8939</v>
      </c>
      <c r="G131">
        <f>LNG_global[[#This Row],[Distance '[miles']]]*1.60934449789256</f>
        <v>14385.930466661594</v>
      </c>
      <c r="H131" t="s">
        <v>212</v>
      </c>
      <c r="I131" t="s">
        <v>220</v>
      </c>
    </row>
    <row r="132" spans="1:9">
      <c r="A132" t="s">
        <v>185</v>
      </c>
      <c r="B132" t="s">
        <v>208</v>
      </c>
      <c r="E132">
        <f t="shared" si="12"/>
        <v>0</v>
      </c>
      <c r="F132">
        <v>8330</v>
      </c>
      <c r="G132">
        <f>LNG_global[[#This Row],[Distance '[miles']]]*1.60934449789256</f>
        <v>13405.839667445025</v>
      </c>
      <c r="H132" t="s">
        <v>212</v>
      </c>
      <c r="I132" t="s">
        <v>221</v>
      </c>
    </row>
    <row r="133" spans="1:9">
      <c r="A133" t="s">
        <v>185</v>
      </c>
      <c r="B133" t="s">
        <v>209</v>
      </c>
      <c r="E133">
        <f t="shared" si="12"/>
        <v>0</v>
      </c>
      <c r="F133">
        <v>7340</v>
      </c>
      <c r="G133">
        <f>LNG_global[[#This Row],[Distance '[miles']]]*1.60934449789256</f>
        <v>11812.588614531391</v>
      </c>
      <c r="H133" t="s">
        <v>212</v>
      </c>
      <c r="I133" t="s">
        <v>222</v>
      </c>
    </row>
    <row r="134" spans="1:9">
      <c r="A134" t="s">
        <v>185</v>
      </c>
      <c r="B134" t="s">
        <v>210</v>
      </c>
      <c r="E134">
        <f t="shared" si="12"/>
        <v>0</v>
      </c>
      <c r="F134">
        <v>9764</v>
      </c>
      <c r="G134">
        <f>LNG_global[[#This Row],[Distance '[miles']]]*1.60934449789256</f>
        <v>15713.639677422956</v>
      </c>
      <c r="H134" t="s">
        <v>212</v>
      </c>
      <c r="I134" t="s">
        <v>237</v>
      </c>
    </row>
    <row r="135" spans="1:9">
      <c r="A135" t="s">
        <v>191</v>
      </c>
      <c r="B135" t="s">
        <v>200</v>
      </c>
      <c r="E135">
        <f>D135/1000</f>
        <v>0</v>
      </c>
      <c r="F135">
        <v>3208</v>
      </c>
      <c r="G135">
        <f>LNG_global[[#This Row],[Distance '[miles']]]*1.60934449789256</f>
        <v>5162.7771492393322</v>
      </c>
      <c r="I135" t="s">
        <v>233</v>
      </c>
    </row>
    <row r="136" spans="1:9">
      <c r="A136" t="s">
        <v>191</v>
      </c>
      <c r="B136" t="s">
        <v>201</v>
      </c>
      <c r="E136">
        <f t="shared" ref="E136:E146" si="13">D136/1000</f>
        <v>0</v>
      </c>
      <c r="F136">
        <v>1405</v>
      </c>
      <c r="G136">
        <f>LNG_global[[#This Row],[Distance '[miles']]]*1.60934449789256</f>
        <v>2261.1290195390466</v>
      </c>
      <c r="I136" t="s">
        <v>213</v>
      </c>
    </row>
    <row r="137" spans="1:9">
      <c r="A137" t="s">
        <v>191</v>
      </c>
      <c r="B137" t="s">
        <v>267</v>
      </c>
      <c r="E137">
        <f t="shared" si="13"/>
        <v>0</v>
      </c>
      <c r="F137">
        <v>518</v>
      </c>
      <c r="G137">
        <f>LNG_global[[#This Row],[Distance '[miles']]]*1.60934449789256</f>
        <v>833.64044990834611</v>
      </c>
      <c r="I137" t="s">
        <v>214</v>
      </c>
    </row>
    <row r="138" spans="1:9">
      <c r="A138" t="s">
        <v>191</v>
      </c>
      <c r="B138" t="s">
        <v>202</v>
      </c>
      <c r="E138">
        <f t="shared" si="13"/>
        <v>0</v>
      </c>
      <c r="F138">
        <v>1239</v>
      </c>
      <c r="G138">
        <f>LNG_global[[#This Row],[Distance '[miles']]]*1.60934449789256</f>
        <v>1993.9778328888817</v>
      </c>
      <c r="I138" t="s">
        <v>275</v>
      </c>
    </row>
    <row r="139" spans="1:9">
      <c r="A139" t="s">
        <v>191</v>
      </c>
      <c r="B139" t="s">
        <v>203</v>
      </c>
      <c r="E139">
        <f t="shared" si="13"/>
        <v>0</v>
      </c>
      <c r="F139">
        <v>1258</v>
      </c>
      <c r="G139">
        <f>LNG_global[[#This Row],[Distance '[miles']]]*1.60934449789256</f>
        <v>2024.5553783488403</v>
      </c>
      <c r="I139" t="s">
        <v>216</v>
      </c>
    </row>
    <row r="140" spans="1:9">
      <c r="A140" t="s">
        <v>191</v>
      </c>
      <c r="B140" t="s">
        <v>204</v>
      </c>
      <c r="E140">
        <f t="shared" si="13"/>
        <v>0</v>
      </c>
      <c r="F140">
        <v>4142</v>
      </c>
      <c r="G140">
        <f>LNG_global[[#This Row],[Distance '[miles']]]*1.60934449789256</f>
        <v>6665.9049102709832</v>
      </c>
      <c r="I140" t="s">
        <v>217</v>
      </c>
    </row>
    <row r="141" spans="1:9">
      <c r="A141" t="s">
        <v>191</v>
      </c>
      <c r="B141" t="s">
        <v>205</v>
      </c>
      <c r="E141">
        <f t="shared" si="13"/>
        <v>0</v>
      </c>
      <c r="F141">
        <v>3274</v>
      </c>
      <c r="G141">
        <f>LNG_global[[#This Row],[Distance '[miles']]]*1.60934449789256</f>
        <v>5268.9938861002411</v>
      </c>
      <c r="I141" t="s">
        <v>218</v>
      </c>
    </row>
    <row r="142" spans="1:9">
      <c r="A142" t="s">
        <v>191</v>
      </c>
      <c r="B142" t="s">
        <v>206</v>
      </c>
      <c r="E142">
        <f t="shared" si="13"/>
        <v>0</v>
      </c>
      <c r="F142">
        <v>3836</v>
      </c>
      <c r="G142">
        <f>LNG_global[[#This Row],[Distance '[miles']]]*1.60934449789256</f>
        <v>6173.4454939158604</v>
      </c>
      <c r="I142" t="s">
        <v>219</v>
      </c>
    </row>
    <row r="143" spans="1:9">
      <c r="A143" t="s">
        <v>191</v>
      </c>
      <c r="B143" t="s">
        <v>207</v>
      </c>
      <c r="E143">
        <f t="shared" si="13"/>
        <v>0</v>
      </c>
      <c r="F143">
        <v>2082</v>
      </c>
      <c r="G143">
        <f>LNG_global[[#This Row],[Distance '[miles']]]*1.60934449789256</f>
        <v>3350.6552446123096</v>
      </c>
      <c r="I143" t="s">
        <v>220</v>
      </c>
    </row>
    <row r="144" spans="1:9">
      <c r="A144" t="s">
        <v>191</v>
      </c>
      <c r="B144" t="s">
        <v>208</v>
      </c>
      <c r="E144">
        <f t="shared" si="13"/>
        <v>0</v>
      </c>
      <c r="F144">
        <v>1696</v>
      </c>
      <c r="G144">
        <f>LNG_global[[#This Row],[Distance '[miles']]]*1.60934449789256</f>
        <v>2729.4482684257819</v>
      </c>
      <c r="I144" t="s">
        <v>282</v>
      </c>
    </row>
    <row r="145" spans="1:9">
      <c r="A145" t="s">
        <v>191</v>
      </c>
      <c r="B145" t="s">
        <v>209</v>
      </c>
      <c r="E145">
        <f t="shared" si="13"/>
        <v>0</v>
      </c>
      <c r="F145">
        <v>722</v>
      </c>
      <c r="G145">
        <f>LNG_global[[#This Row],[Distance '[miles']]]*1.60934449789256</f>
        <v>1161.9467274784283</v>
      </c>
      <c r="I145" t="s">
        <v>279</v>
      </c>
    </row>
    <row r="146" spans="1:9">
      <c r="A146" t="s">
        <v>191</v>
      </c>
      <c r="B146" t="s">
        <v>210</v>
      </c>
      <c r="E146">
        <f t="shared" si="13"/>
        <v>0</v>
      </c>
      <c r="F146">
        <v>2907</v>
      </c>
      <c r="G146">
        <f>LNG_global[[#This Row],[Distance '[miles']]]*1.60934449789256</f>
        <v>4678.3644553736722</v>
      </c>
      <c r="I146" t="s">
        <v>237</v>
      </c>
    </row>
    <row r="147" spans="1:9">
      <c r="A147" t="s">
        <v>194</v>
      </c>
      <c r="B147" t="s">
        <v>200</v>
      </c>
      <c r="E147">
        <f>D147/1000</f>
        <v>0</v>
      </c>
      <c r="F147">
        <v>9237</v>
      </c>
      <c r="G147">
        <f>LNG_global[[#This Row],[Distance '[miles']]]*1.60934449789256</f>
        <v>14865.515127033575</v>
      </c>
      <c r="H147" t="s">
        <v>212</v>
      </c>
      <c r="I147" t="s">
        <v>233</v>
      </c>
    </row>
    <row r="148" spans="1:9">
      <c r="A148" t="s">
        <v>194</v>
      </c>
      <c r="B148" t="s">
        <v>201</v>
      </c>
      <c r="E148">
        <f t="shared" ref="E148:E158" si="14">D148/1000</f>
        <v>0</v>
      </c>
      <c r="F148">
        <v>8897</v>
      </c>
      <c r="G148">
        <f>LNG_global[[#This Row],[Distance '[miles']]]*1.60934449789256</f>
        <v>14318.337997750106</v>
      </c>
      <c r="H148" t="s">
        <v>212</v>
      </c>
      <c r="I148" t="s">
        <v>278</v>
      </c>
    </row>
    <row r="149" spans="1:9">
      <c r="A149" t="s">
        <v>194</v>
      </c>
      <c r="B149" t="s">
        <v>267</v>
      </c>
      <c r="E149">
        <f t="shared" si="14"/>
        <v>0</v>
      </c>
      <c r="F149">
        <v>6737</v>
      </c>
      <c r="G149">
        <f>LNG_global[[#This Row],[Distance '[miles']]]*1.60934449789256</f>
        <v>10842.153882302176</v>
      </c>
      <c r="H149" t="s">
        <v>212</v>
      </c>
      <c r="I149" t="s">
        <v>285</v>
      </c>
    </row>
    <row r="150" spans="1:9">
      <c r="A150" t="s">
        <v>194</v>
      </c>
      <c r="B150" t="s">
        <v>202</v>
      </c>
      <c r="E150">
        <f t="shared" si="14"/>
        <v>0</v>
      </c>
      <c r="F150">
        <v>7412</v>
      </c>
      <c r="G150">
        <f>LNG_global[[#This Row],[Distance '[miles']]]*1.60934449789256</f>
        <v>11928.461418379655</v>
      </c>
      <c r="H150" t="s">
        <v>212</v>
      </c>
      <c r="I150" t="s">
        <v>215</v>
      </c>
    </row>
    <row r="151" spans="1:9">
      <c r="A151" t="s">
        <v>194</v>
      </c>
      <c r="B151" t="s">
        <v>203</v>
      </c>
      <c r="E151">
        <f t="shared" si="14"/>
        <v>0</v>
      </c>
      <c r="F151">
        <v>7287</v>
      </c>
      <c r="G151">
        <f>LNG_global[[#This Row],[Distance '[miles']]]*1.60934449789256</f>
        <v>11727.293356143084</v>
      </c>
      <c r="H151" t="s">
        <v>212</v>
      </c>
      <c r="I151" t="s">
        <v>216</v>
      </c>
    </row>
    <row r="152" spans="1:9">
      <c r="A152" t="s">
        <v>194</v>
      </c>
      <c r="B152" t="s">
        <v>204</v>
      </c>
      <c r="E152">
        <f t="shared" si="14"/>
        <v>0</v>
      </c>
      <c r="F152">
        <v>10171</v>
      </c>
      <c r="G152">
        <f>LNG_global[[#This Row],[Distance '[miles']]]*1.60934449789256</f>
        <v>16368.642888065227</v>
      </c>
      <c r="H152" t="s">
        <v>212</v>
      </c>
      <c r="I152" t="s">
        <v>217</v>
      </c>
    </row>
    <row r="153" spans="1:9">
      <c r="A153" t="s">
        <v>194</v>
      </c>
      <c r="B153" t="s">
        <v>205</v>
      </c>
      <c r="E153">
        <f t="shared" si="14"/>
        <v>0</v>
      </c>
      <c r="F153">
        <v>9303</v>
      </c>
      <c r="G153">
        <f>LNG_global[[#This Row],[Distance '[miles']]]*1.60934449789256</f>
        <v>14971.731863894485</v>
      </c>
      <c r="H153" t="s">
        <v>212</v>
      </c>
      <c r="I153" t="s">
        <v>218</v>
      </c>
    </row>
    <row r="154" spans="1:9">
      <c r="A154" t="s">
        <v>194</v>
      </c>
      <c r="B154" t="s">
        <v>206</v>
      </c>
      <c r="E154">
        <f t="shared" si="14"/>
        <v>0</v>
      </c>
      <c r="F154">
        <v>9980</v>
      </c>
      <c r="G154">
        <f>LNG_global[[#This Row],[Distance '[miles']]]*1.60934449789256</f>
        <v>16061.258088967748</v>
      </c>
      <c r="H154" t="s">
        <v>212</v>
      </c>
      <c r="I154" t="s">
        <v>219</v>
      </c>
    </row>
    <row r="155" spans="1:9">
      <c r="A155" t="s">
        <v>194</v>
      </c>
      <c r="B155" t="s">
        <v>207</v>
      </c>
      <c r="E155">
        <f t="shared" si="14"/>
        <v>0</v>
      </c>
      <c r="F155">
        <v>8226</v>
      </c>
      <c r="G155">
        <f>LNG_global[[#This Row],[Distance '[miles']]]*1.60934449789256</f>
        <v>13238.467839664198</v>
      </c>
      <c r="H155" t="s">
        <v>212</v>
      </c>
      <c r="I155" t="s">
        <v>220</v>
      </c>
    </row>
    <row r="156" spans="1:9">
      <c r="A156" t="s">
        <v>194</v>
      </c>
      <c r="B156" t="s">
        <v>208</v>
      </c>
      <c r="E156">
        <f t="shared" si="14"/>
        <v>0</v>
      </c>
      <c r="F156">
        <v>7617</v>
      </c>
      <c r="G156">
        <f>LNG_global[[#This Row],[Distance '[miles']]]*1.60934449789256</f>
        <v>12258.377040447629</v>
      </c>
      <c r="H156" t="s">
        <v>212</v>
      </c>
      <c r="I156" t="s">
        <v>221</v>
      </c>
    </row>
    <row r="157" spans="1:9">
      <c r="A157" t="s">
        <v>194</v>
      </c>
      <c r="B157" t="s">
        <v>209</v>
      </c>
      <c r="E157">
        <f t="shared" si="14"/>
        <v>0</v>
      </c>
      <c r="F157">
        <v>6627</v>
      </c>
      <c r="G157">
        <f>LNG_global[[#This Row],[Distance '[miles']]]*1.60934449789256</f>
        <v>10665.125987533995</v>
      </c>
      <c r="H157" t="s">
        <v>212</v>
      </c>
      <c r="I157" t="s">
        <v>222</v>
      </c>
    </row>
    <row r="158" spans="1:9">
      <c r="A158" t="s">
        <v>194</v>
      </c>
      <c r="B158" t="s">
        <v>210</v>
      </c>
      <c r="E158">
        <f t="shared" si="14"/>
        <v>0</v>
      </c>
      <c r="F158">
        <v>9051</v>
      </c>
      <c r="G158">
        <f>LNG_global[[#This Row],[Distance '[miles']]]*1.60934449789256</f>
        <v>14566.17705042556</v>
      </c>
      <c r="H158" t="s">
        <v>212</v>
      </c>
      <c r="I158" t="s">
        <v>237</v>
      </c>
    </row>
    <row r="159" spans="1:9">
      <c r="A159" t="s">
        <v>193</v>
      </c>
      <c r="B159" t="s">
        <v>200</v>
      </c>
      <c r="E159">
        <f>D159/1000</f>
        <v>0</v>
      </c>
      <c r="F159">
        <v>2843</v>
      </c>
      <c r="G159">
        <f>LNG_global[[#This Row],[Distance '[miles']]]*1.60934449789256</f>
        <v>4575.366407508548</v>
      </c>
      <c r="I159" t="s">
        <v>233</v>
      </c>
    </row>
    <row r="160" spans="1:9">
      <c r="A160" t="s">
        <v>193</v>
      </c>
      <c r="B160" t="s">
        <v>201</v>
      </c>
      <c r="E160">
        <f t="shared" ref="E160:E170" si="15">D160/1000</f>
        <v>0</v>
      </c>
      <c r="F160">
        <v>3331</v>
      </c>
      <c r="G160">
        <f>LNG_global[[#This Row],[Distance '[miles']]]*1.60934449789256</f>
        <v>5360.7265224801176</v>
      </c>
      <c r="I160" t="s">
        <v>278</v>
      </c>
    </row>
    <row r="161" spans="1:9">
      <c r="A161" t="s">
        <v>193</v>
      </c>
      <c r="B161" t="s">
        <v>267</v>
      </c>
      <c r="E161">
        <f t="shared" si="15"/>
        <v>0</v>
      </c>
      <c r="F161">
        <v>5582</v>
      </c>
      <c r="G161">
        <f>LNG_global[[#This Row],[Distance '[miles']]]*1.60934449789256</f>
        <v>8983.3609872362704</v>
      </c>
      <c r="I161" t="s">
        <v>214</v>
      </c>
    </row>
    <row r="162" spans="1:9">
      <c r="A162" t="s">
        <v>193</v>
      </c>
      <c r="B162" t="s">
        <v>202</v>
      </c>
      <c r="E162">
        <f t="shared" si="15"/>
        <v>0</v>
      </c>
      <c r="F162">
        <v>5759</v>
      </c>
      <c r="G162">
        <f>LNG_global[[#This Row],[Distance '[miles']]]*1.60934449789256</f>
        <v>9268.2149633632525</v>
      </c>
      <c r="I162" t="s">
        <v>286</v>
      </c>
    </row>
    <row r="163" spans="1:9">
      <c r="A163" t="s">
        <v>193</v>
      </c>
      <c r="B163" t="s">
        <v>203</v>
      </c>
      <c r="E163">
        <f t="shared" si="15"/>
        <v>0</v>
      </c>
      <c r="F163">
        <v>5707</v>
      </c>
      <c r="G163">
        <f>LNG_global[[#This Row],[Distance '[miles']]]*1.60934449789256</f>
        <v>9184.5290494728397</v>
      </c>
      <c r="I163" t="s">
        <v>216</v>
      </c>
    </row>
    <row r="164" spans="1:9">
      <c r="A164" t="s">
        <v>193</v>
      </c>
      <c r="B164" t="s">
        <v>204</v>
      </c>
      <c r="E164">
        <f t="shared" si="15"/>
        <v>0</v>
      </c>
      <c r="F164">
        <v>3047</v>
      </c>
      <c r="G164">
        <f>LNG_global[[#This Row],[Distance '[miles']]]*1.60934449789256</f>
        <v>4903.6726850786299</v>
      </c>
      <c r="I164" t="s">
        <v>217</v>
      </c>
    </row>
    <row r="165" spans="1:9">
      <c r="A165" t="s">
        <v>193</v>
      </c>
      <c r="B165" t="s">
        <v>205</v>
      </c>
      <c r="E165">
        <f t="shared" si="15"/>
        <v>0</v>
      </c>
      <c r="F165">
        <v>2827</v>
      </c>
      <c r="G165">
        <f>LNG_global[[#This Row],[Distance '[miles']]]*1.60934449789256</f>
        <v>4549.6168955422672</v>
      </c>
      <c r="I165" t="s">
        <v>218</v>
      </c>
    </row>
    <row r="166" spans="1:9">
      <c r="A166" t="s">
        <v>193</v>
      </c>
      <c r="B166" t="s">
        <v>206</v>
      </c>
      <c r="E166">
        <f t="shared" si="15"/>
        <v>0</v>
      </c>
      <c r="F166">
        <v>2856</v>
      </c>
      <c r="G166">
        <f>LNG_global[[#This Row],[Distance '[miles']]]*1.60934449789256</f>
        <v>4596.2878859811508</v>
      </c>
      <c r="I166" t="s">
        <v>219</v>
      </c>
    </row>
    <row r="167" spans="1:9">
      <c r="A167" t="s">
        <v>193</v>
      </c>
      <c r="B167" t="s">
        <v>207</v>
      </c>
      <c r="E167">
        <f t="shared" si="15"/>
        <v>0</v>
      </c>
      <c r="F167">
        <v>3840</v>
      </c>
      <c r="G167">
        <f>LNG_global[[#This Row],[Distance '[miles']]]*1.60934449789256</f>
        <v>6179.8828719074299</v>
      </c>
      <c r="I167" t="s">
        <v>220</v>
      </c>
    </row>
    <row r="168" spans="1:9">
      <c r="A168" t="s">
        <v>193</v>
      </c>
      <c r="B168" t="s">
        <v>208</v>
      </c>
      <c r="E168">
        <f t="shared" si="15"/>
        <v>0</v>
      </c>
      <c r="F168">
        <v>3499</v>
      </c>
      <c r="G168">
        <f>LNG_global[[#This Row],[Distance '[miles']]]*1.60934449789256</f>
        <v>5631.0963981260675</v>
      </c>
      <c r="I168" t="s">
        <v>236</v>
      </c>
    </row>
    <row r="169" spans="1:9">
      <c r="A169" t="s">
        <v>193</v>
      </c>
      <c r="B169" t="s">
        <v>209</v>
      </c>
      <c r="E169">
        <f t="shared" si="15"/>
        <v>0</v>
      </c>
      <c r="F169">
        <v>5736</v>
      </c>
      <c r="G169">
        <f>LNG_global[[#This Row],[Distance '[miles']]]*1.60934449789256</f>
        <v>9231.2000399117242</v>
      </c>
      <c r="I169" t="s">
        <v>222</v>
      </c>
    </row>
    <row r="170" spans="1:9">
      <c r="A170" t="s">
        <v>193</v>
      </c>
      <c r="B170" t="s">
        <v>210</v>
      </c>
      <c r="E170">
        <f t="shared" si="15"/>
        <v>0</v>
      </c>
      <c r="F170">
        <v>2866</v>
      </c>
      <c r="G170">
        <f>LNG_global[[#This Row],[Distance '[miles']]]*1.60934449789256</f>
        <v>4612.3813309600764</v>
      </c>
      <c r="I170" t="s">
        <v>280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A9-6514-42B6-BB9D-65D406982860}">
  <dimension ref="A1:M239"/>
  <sheetViews>
    <sheetView tabSelected="1" workbookViewId="0">
      <selection activeCell="M12" sqref="M12"/>
    </sheetView>
  </sheetViews>
  <sheetFormatPr defaultRowHeight="14.5"/>
  <cols>
    <col min="3" max="3" width="21.81640625" customWidth="1"/>
    <col min="4" max="4" width="9" customWidth="1"/>
    <col min="6" max="6" width="16.453125" customWidth="1"/>
    <col min="7" max="7" width="15.54296875" customWidth="1"/>
  </cols>
  <sheetData>
    <row r="1" spans="1:13">
      <c r="A1" s="9" t="s">
        <v>92</v>
      </c>
      <c r="B1" s="9" t="s">
        <v>93</v>
      </c>
      <c r="C1" s="9" t="s">
        <v>180</v>
      </c>
      <c r="D1" s="9" t="s">
        <v>105</v>
      </c>
      <c r="E1" s="9" t="s">
        <v>106</v>
      </c>
      <c r="F1" s="9" t="s">
        <v>198</v>
      </c>
      <c r="G1" s="9" t="s">
        <v>197</v>
      </c>
      <c r="H1" s="9" t="s">
        <v>211</v>
      </c>
      <c r="I1" s="9" t="s">
        <v>142</v>
      </c>
      <c r="M1" t="s">
        <v>199</v>
      </c>
    </row>
    <row r="2" spans="1:13">
      <c r="A2" t="s">
        <v>179</v>
      </c>
      <c r="B2" t="s">
        <v>186</v>
      </c>
      <c r="E2">
        <f t="shared" ref="E2:E29" si="0">D2/1000</f>
        <v>0</v>
      </c>
      <c r="F2">
        <v>5323</v>
      </c>
      <c r="G2">
        <f>LNG_global14[[#This Row],[Distance '[miles']]]*1.60934449789256</f>
        <v>8566.5407622820967</v>
      </c>
      <c r="I2" t="s">
        <v>238</v>
      </c>
      <c r="M2" t="s">
        <v>234</v>
      </c>
    </row>
    <row r="3" spans="1:13">
      <c r="A3" t="s">
        <v>179</v>
      </c>
      <c r="B3" t="s">
        <v>184</v>
      </c>
      <c r="E3">
        <f t="shared" si="0"/>
        <v>0</v>
      </c>
      <c r="F3">
        <v>6194</v>
      </c>
      <c r="G3">
        <f>LNG_global14[[#This Row],[Distance '[miles']]]*1.60934449789256</f>
        <v>9968.279819946516</v>
      </c>
      <c r="I3" t="s">
        <v>239</v>
      </c>
      <c r="M3" t="s">
        <v>235</v>
      </c>
    </row>
    <row r="4" spans="1:13">
      <c r="A4" t="s">
        <v>179</v>
      </c>
      <c r="B4" t="s">
        <v>187</v>
      </c>
      <c r="E4">
        <f t="shared" si="0"/>
        <v>0</v>
      </c>
      <c r="F4">
        <v>10339</v>
      </c>
      <c r="G4">
        <f>LNG_global14[[#This Row],[Distance '[miles']]]*1.60934449789256</f>
        <v>16639.012763711176</v>
      </c>
      <c r="H4" t="s">
        <v>240</v>
      </c>
      <c r="I4" t="s">
        <v>274</v>
      </c>
      <c r="M4" t="s">
        <v>245</v>
      </c>
    </row>
    <row r="5" spans="1:13">
      <c r="A5" t="s">
        <v>179</v>
      </c>
      <c r="B5" t="s">
        <v>188</v>
      </c>
      <c r="E5">
        <f t="shared" si="0"/>
        <v>0</v>
      </c>
      <c r="F5">
        <v>9266</v>
      </c>
      <c r="G5">
        <f>LNG_global14[[#This Row],[Distance '[miles']]]*1.60934449789256</f>
        <v>14912.18611747246</v>
      </c>
      <c r="H5" t="s">
        <v>240</v>
      </c>
      <c r="I5" t="s">
        <v>242</v>
      </c>
      <c r="M5" t="s">
        <v>246</v>
      </c>
    </row>
    <row r="6" spans="1:13">
      <c r="A6" t="s">
        <v>179</v>
      </c>
      <c r="B6" t="s">
        <v>189</v>
      </c>
      <c r="E6">
        <f t="shared" si="0"/>
        <v>0</v>
      </c>
      <c r="F6">
        <v>9568</v>
      </c>
      <c r="G6">
        <f>LNG_global14[[#This Row],[Distance '[miles']]]*1.60934449789256</f>
        <v>15398.208155836013</v>
      </c>
      <c r="H6" t="s">
        <v>212</v>
      </c>
      <c r="I6" t="s">
        <v>243</v>
      </c>
      <c r="M6" t="s">
        <v>281</v>
      </c>
    </row>
    <row r="7" spans="1:13">
      <c r="A7" t="s">
        <v>179</v>
      </c>
      <c r="B7" t="s">
        <v>190</v>
      </c>
      <c r="E7">
        <f t="shared" si="0"/>
        <v>0</v>
      </c>
      <c r="F7">
        <v>12151</v>
      </c>
      <c r="G7">
        <f>LNG_global14[[#This Row],[Distance '[miles']]]*1.60934449789256</f>
        <v>19555.144993892496</v>
      </c>
      <c r="H7" t="s">
        <v>240</v>
      </c>
      <c r="I7" t="s">
        <v>244</v>
      </c>
      <c r="M7" t="s">
        <v>248</v>
      </c>
    </row>
    <row r="8" spans="1:13">
      <c r="A8" t="s">
        <v>179</v>
      </c>
      <c r="B8" t="s">
        <v>191</v>
      </c>
      <c r="E8">
        <f t="shared" si="0"/>
        <v>0</v>
      </c>
      <c r="F8">
        <v>6850</v>
      </c>
      <c r="G8">
        <f>LNG_global14[[#This Row],[Distance '[miles']]]*1.60934449789256</f>
        <v>11024.009810564035</v>
      </c>
      <c r="H8" t="s">
        <v>212</v>
      </c>
      <c r="I8" t="s">
        <v>277</v>
      </c>
      <c r="M8" t="s">
        <v>283</v>
      </c>
    </row>
    <row r="9" spans="1:13">
      <c r="A9" t="s">
        <v>181</v>
      </c>
      <c r="B9" t="s">
        <v>186</v>
      </c>
      <c r="E9">
        <f t="shared" si="0"/>
        <v>0</v>
      </c>
      <c r="F9">
        <v>3136</v>
      </c>
      <c r="G9">
        <f>LNG_global14[[#This Row],[Distance '[miles']]]*1.60934449789256</f>
        <v>5046.9043453910681</v>
      </c>
      <c r="I9" t="s">
        <v>238</v>
      </c>
      <c r="M9" t="s">
        <v>250</v>
      </c>
    </row>
    <row r="10" spans="1:13">
      <c r="A10" t="s">
        <v>181</v>
      </c>
      <c r="B10" t="s">
        <v>184</v>
      </c>
      <c r="E10">
        <f t="shared" si="0"/>
        <v>0</v>
      </c>
      <c r="F10">
        <v>4174</v>
      </c>
      <c r="G10">
        <f>LNG_global14[[#This Row],[Distance '[miles']]]*1.60934449789256</f>
        <v>6717.4039342035448</v>
      </c>
      <c r="I10" t="s">
        <v>239</v>
      </c>
      <c r="M10" t="s">
        <v>287</v>
      </c>
    </row>
    <row r="11" spans="1:13">
      <c r="A11" t="s">
        <v>181</v>
      </c>
      <c r="B11" t="s">
        <v>187</v>
      </c>
      <c r="E11">
        <f t="shared" si="0"/>
        <v>0</v>
      </c>
      <c r="F11">
        <v>9750</v>
      </c>
      <c r="G11">
        <f>LNG_global14[[#This Row],[Distance '[miles']]]*1.60934449789256</f>
        <v>15691.108854452459</v>
      </c>
      <c r="H11" t="s">
        <v>240</v>
      </c>
      <c r="I11" t="s">
        <v>284</v>
      </c>
      <c r="M11" t="s">
        <v>310</v>
      </c>
    </row>
    <row r="12" spans="1:13">
      <c r="A12" t="s">
        <v>181</v>
      </c>
      <c r="B12" t="s">
        <v>188</v>
      </c>
      <c r="E12">
        <f t="shared" si="0"/>
        <v>0</v>
      </c>
      <c r="F12">
        <v>8878</v>
      </c>
      <c r="G12">
        <f>LNG_global14[[#This Row],[Distance '[miles']]]*1.60934449789256</f>
        <v>14287.760452290147</v>
      </c>
      <c r="H12" t="s">
        <v>240</v>
      </c>
      <c r="I12" t="s">
        <v>242</v>
      </c>
    </row>
    <row r="13" spans="1:13">
      <c r="A13" t="s">
        <v>181</v>
      </c>
      <c r="B13" t="s">
        <v>189</v>
      </c>
      <c r="E13">
        <f t="shared" si="0"/>
        <v>0</v>
      </c>
      <c r="F13">
        <v>8211</v>
      </c>
      <c r="G13">
        <f>LNG_global14[[#This Row],[Distance '[miles']]]*1.60934449789256</f>
        <v>13214.32767219581</v>
      </c>
      <c r="H13" t="s">
        <v>212</v>
      </c>
      <c r="I13" t="s">
        <v>243</v>
      </c>
    </row>
    <row r="14" spans="1:13">
      <c r="A14" t="s">
        <v>181</v>
      </c>
      <c r="B14" t="s">
        <v>190</v>
      </c>
      <c r="E14">
        <f t="shared" si="0"/>
        <v>0</v>
      </c>
      <c r="F14">
        <v>11169</v>
      </c>
      <c r="G14">
        <f>LNG_global14[[#This Row],[Distance '[miles']]]*1.60934449789256</f>
        <v>17974.768696962001</v>
      </c>
      <c r="H14" t="s">
        <v>212</v>
      </c>
      <c r="I14" t="s">
        <v>244</v>
      </c>
    </row>
    <row r="15" spans="1:13">
      <c r="A15" t="s">
        <v>181</v>
      </c>
      <c r="B15" t="s">
        <v>191</v>
      </c>
      <c r="E15">
        <f t="shared" si="0"/>
        <v>0</v>
      </c>
      <c r="F15">
        <v>5493</v>
      </c>
      <c r="G15">
        <f>LNG_global14[[#This Row],[Distance '[miles']]]*1.60934449789256</f>
        <v>8840.1293269238322</v>
      </c>
      <c r="H15" t="s">
        <v>212</v>
      </c>
      <c r="I15" t="s">
        <v>277</v>
      </c>
    </row>
    <row r="16" spans="1:13">
      <c r="A16" t="s">
        <v>182</v>
      </c>
      <c r="B16" t="s">
        <v>186</v>
      </c>
      <c r="E16">
        <f t="shared" si="0"/>
        <v>0</v>
      </c>
      <c r="F16">
        <v>8091</v>
      </c>
      <c r="G16">
        <f>LNG_global14[[#This Row],[Distance '[miles']]]*1.60934449789256</f>
        <v>13021.206332448703</v>
      </c>
      <c r="I16" t="s">
        <v>238</v>
      </c>
    </row>
    <row r="17" spans="1:9">
      <c r="A17" t="s">
        <v>182</v>
      </c>
      <c r="B17" t="s">
        <v>184</v>
      </c>
      <c r="E17">
        <f t="shared" si="0"/>
        <v>0</v>
      </c>
      <c r="F17">
        <v>7282</v>
      </c>
      <c r="G17">
        <f>LNG_global14[[#This Row],[Distance '[miles']]]*1.60934449789256</f>
        <v>11719.246633653622</v>
      </c>
      <c r="I17" t="s">
        <v>239</v>
      </c>
    </row>
    <row r="18" spans="1:9">
      <c r="A18" t="s">
        <v>182</v>
      </c>
      <c r="B18" t="s">
        <v>187</v>
      </c>
      <c r="E18">
        <f t="shared" si="0"/>
        <v>0</v>
      </c>
      <c r="F18">
        <v>5001</v>
      </c>
      <c r="G18">
        <f>LNG_global14[[#This Row],[Distance '[miles']]]*1.60934449789256</f>
        <v>8048.3318339606922</v>
      </c>
      <c r="I18" t="s">
        <v>241</v>
      </c>
    </row>
    <row r="19" spans="1:9">
      <c r="A19" t="s">
        <v>182</v>
      </c>
      <c r="B19" t="s">
        <v>188</v>
      </c>
      <c r="E19">
        <f t="shared" si="0"/>
        <v>0</v>
      </c>
      <c r="F19">
        <v>6445</v>
      </c>
      <c r="G19">
        <f>LNG_global14[[#This Row],[Distance '[miles']]]*1.60934449789256</f>
        <v>10372.225288917549</v>
      </c>
      <c r="I19" t="s">
        <v>242</v>
      </c>
    </row>
    <row r="20" spans="1:9">
      <c r="A20" t="s">
        <v>182</v>
      </c>
      <c r="B20" t="s">
        <v>189</v>
      </c>
      <c r="E20">
        <f t="shared" si="0"/>
        <v>0</v>
      </c>
      <c r="F20">
        <v>951</v>
      </c>
      <c r="G20">
        <f>LNG_global14[[#This Row],[Distance '[miles']]]*1.60934449789256</f>
        <v>1530.4866174958245</v>
      </c>
      <c r="I20" t="s">
        <v>243</v>
      </c>
    </row>
    <row r="21" spans="1:9">
      <c r="A21" t="s">
        <v>182</v>
      </c>
      <c r="B21" t="s">
        <v>190</v>
      </c>
      <c r="E21">
        <f t="shared" si="0"/>
        <v>0</v>
      </c>
      <c r="F21">
        <v>4372</v>
      </c>
      <c r="G21">
        <f>LNG_global14[[#This Row],[Distance '[miles']]]*1.60934449789256</f>
        <v>7036.0541447862724</v>
      </c>
      <c r="I21" t="s">
        <v>244</v>
      </c>
    </row>
    <row r="22" spans="1:9">
      <c r="A22" t="s">
        <v>182</v>
      </c>
      <c r="B22" t="s">
        <v>191</v>
      </c>
      <c r="E22">
        <f t="shared" si="0"/>
        <v>0</v>
      </c>
      <c r="F22">
        <v>2915</v>
      </c>
      <c r="G22">
        <f>LNG_global14[[#This Row],[Distance '[miles']]]*1.60934449789256</f>
        <v>4691.2392113568121</v>
      </c>
      <c r="I22" t="s">
        <v>212</v>
      </c>
    </row>
    <row r="23" spans="1:9">
      <c r="A23" t="s">
        <v>183</v>
      </c>
      <c r="B23" t="s">
        <v>186</v>
      </c>
      <c r="E23">
        <f t="shared" si="0"/>
        <v>0</v>
      </c>
      <c r="F23">
        <v>8158</v>
      </c>
      <c r="G23">
        <f>LNG_global14[[#This Row],[Distance '[miles']]]*1.60934449789256</f>
        <v>13129.032413807505</v>
      </c>
      <c r="I23" t="s">
        <v>238</v>
      </c>
    </row>
    <row r="24" spans="1:9">
      <c r="A24" t="s">
        <v>183</v>
      </c>
      <c r="B24" t="s">
        <v>184</v>
      </c>
      <c r="E24">
        <f t="shared" si="0"/>
        <v>0</v>
      </c>
      <c r="F24">
        <v>7349</v>
      </c>
      <c r="G24">
        <f>LNG_global14[[#This Row],[Distance '[miles']]]*1.60934449789256</f>
        <v>11827.072715012424</v>
      </c>
      <c r="I24" t="s">
        <v>239</v>
      </c>
    </row>
    <row r="25" spans="1:9">
      <c r="A25" t="s">
        <v>183</v>
      </c>
      <c r="B25" t="s">
        <v>187</v>
      </c>
      <c r="E25">
        <f t="shared" si="0"/>
        <v>0</v>
      </c>
      <c r="F25">
        <v>5845</v>
      </c>
      <c r="G25">
        <f>LNG_global14[[#This Row],[Distance '[miles']]]*1.60934449789256</f>
        <v>9406.6185901820136</v>
      </c>
      <c r="I25" t="s">
        <v>241</v>
      </c>
    </row>
    <row r="26" spans="1:9">
      <c r="A26" t="s">
        <v>183</v>
      </c>
      <c r="B26" t="s">
        <v>188</v>
      </c>
      <c r="E26">
        <f t="shared" si="0"/>
        <v>0</v>
      </c>
      <c r="F26">
        <v>6512</v>
      </c>
      <c r="G26">
        <f>LNG_global14[[#This Row],[Distance '[miles']]]*1.60934449789256</f>
        <v>10480.051370276351</v>
      </c>
      <c r="I26" t="s">
        <v>242</v>
      </c>
    </row>
    <row r="27" spans="1:9">
      <c r="A27" t="s">
        <v>183</v>
      </c>
      <c r="B27" t="s">
        <v>189</v>
      </c>
      <c r="E27">
        <f t="shared" si="0"/>
        <v>0</v>
      </c>
      <c r="F27">
        <v>1018</v>
      </c>
      <c r="G27">
        <f>LNG_global14[[#This Row],[Distance '[miles']]]*1.60934449789256</f>
        <v>1638.312698854626</v>
      </c>
      <c r="I27" t="s">
        <v>243</v>
      </c>
    </row>
    <row r="28" spans="1:9">
      <c r="A28" t="s">
        <v>183</v>
      </c>
      <c r="B28" t="s">
        <v>190</v>
      </c>
      <c r="E28">
        <f t="shared" si="0"/>
        <v>0</v>
      </c>
      <c r="F28">
        <v>4439</v>
      </c>
      <c r="G28">
        <f>LNG_global14[[#This Row],[Distance '[miles']]]*1.60934449789256</f>
        <v>7143.8802261450737</v>
      </c>
      <c r="I28" t="s">
        <v>244</v>
      </c>
    </row>
    <row r="29" spans="1:9">
      <c r="A29" t="s">
        <v>183</v>
      </c>
      <c r="B29" t="s">
        <v>191</v>
      </c>
      <c r="E29">
        <f t="shared" si="0"/>
        <v>0</v>
      </c>
      <c r="F29">
        <v>2906</v>
      </c>
      <c r="G29">
        <f>LNG_global14[[#This Row],[Distance '[miles']]]*1.60934449789256</f>
        <v>4676.7551108757789</v>
      </c>
      <c r="I29" t="s">
        <v>212</v>
      </c>
    </row>
    <row r="30" spans="1:9">
      <c r="A30" t="s">
        <v>184</v>
      </c>
      <c r="B30" t="s">
        <v>186</v>
      </c>
      <c r="E30">
        <f>D30/1000</f>
        <v>0</v>
      </c>
      <c r="F30">
        <v>3392</v>
      </c>
      <c r="G30">
        <f>LNG_global14[[#This Row],[Distance '[miles']]]*1.60934449789256</f>
        <v>5458.8965368515637</v>
      </c>
      <c r="I30" t="s">
        <v>238</v>
      </c>
    </row>
    <row r="31" spans="1:9">
      <c r="A31" t="s">
        <v>184</v>
      </c>
      <c r="B31" t="s">
        <v>187</v>
      </c>
      <c r="E31">
        <f t="shared" ref="E31:E35" si="1">D31/1000</f>
        <v>0</v>
      </c>
      <c r="F31">
        <v>9306</v>
      </c>
      <c r="G31">
        <f>LNG_global14[[#This Row],[Distance '[miles']]]*1.60934449789256</f>
        <v>14976.559897388162</v>
      </c>
      <c r="I31" t="s">
        <v>241</v>
      </c>
    </row>
    <row r="32" spans="1:9">
      <c r="A32" t="s">
        <v>184</v>
      </c>
      <c r="B32" t="s">
        <v>188</v>
      </c>
      <c r="E32">
        <f t="shared" si="1"/>
        <v>0</v>
      </c>
      <c r="F32">
        <v>10752</v>
      </c>
      <c r="G32">
        <f>LNG_global14[[#This Row],[Distance '[miles']]]*1.60934449789256</f>
        <v>17303.672041340804</v>
      </c>
      <c r="I32" t="s">
        <v>242</v>
      </c>
    </row>
    <row r="33" spans="1:9">
      <c r="A33" t="s">
        <v>184</v>
      </c>
      <c r="B33" t="s">
        <v>189</v>
      </c>
      <c r="E33">
        <f t="shared" si="1"/>
        <v>0</v>
      </c>
      <c r="F33">
        <v>7030</v>
      </c>
      <c r="G33">
        <f>LNG_global14[[#This Row],[Distance '[miles']]]*1.60934449789256</f>
        <v>11313.691820184697</v>
      </c>
      <c r="I33" t="s">
        <v>243</v>
      </c>
    </row>
    <row r="34" spans="1:9">
      <c r="A34" t="s">
        <v>184</v>
      </c>
      <c r="B34" t="s">
        <v>190</v>
      </c>
      <c r="E34">
        <f t="shared" si="1"/>
        <v>0</v>
      </c>
      <c r="F34">
        <v>8808</v>
      </c>
      <c r="G34">
        <f>LNG_global14[[#This Row],[Distance '[miles']]]*1.60934449789256</f>
        <v>14175.106337437668</v>
      </c>
      <c r="I34" t="s">
        <v>244</v>
      </c>
    </row>
    <row r="35" spans="1:9">
      <c r="A35" t="s">
        <v>184</v>
      </c>
      <c r="B35" t="s">
        <v>191</v>
      </c>
      <c r="E35">
        <f t="shared" si="1"/>
        <v>0</v>
      </c>
      <c r="F35">
        <v>5391</v>
      </c>
      <c r="G35">
        <f>LNG_global14[[#This Row],[Distance '[miles']]]*1.60934449789256</f>
        <v>8675.9761881387913</v>
      </c>
      <c r="H35" t="s">
        <v>212</v>
      </c>
      <c r="I35" t="s">
        <v>277</v>
      </c>
    </row>
    <row r="36" spans="1:9">
      <c r="A36" t="s">
        <v>185</v>
      </c>
      <c r="B36" t="s">
        <v>186</v>
      </c>
      <c r="E36">
        <f>D36/1000</f>
        <v>0</v>
      </c>
      <c r="F36">
        <v>8575</v>
      </c>
      <c r="G36">
        <f>LNG_global14[[#This Row],[Distance '[miles']]]*1.60934449789256</f>
        <v>13800.129069428702</v>
      </c>
      <c r="I36" t="s">
        <v>249</v>
      </c>
    </row>
    <row r="37" spans="1:9">
      <c r="A37" t="s">
        <v>185</v>
      </c>
      <c r="B37" t="s">
        <v>184</v>
      </c>
      <c r="E37">
        <f t="shared" ref="E37:E42" si="2">D37/1000</f>
        <v>0</v>
      </c>
      <c r="F37">
        <v>8554</v>
      </c>
      <c r="G37">
        <f>LNG_global14[[#This Row],[Distance '[miles']]]*1.60934449789256</f>
        <v>13766.332834972958</v>
      </c>
      <c r="I37" t="s">
        <v>239</v>
      </c>
    </row>
    <row r="38" spans="1:9">
      <c r="A38" t="s">
        <v>185</v>
      </c>
      <c r="B38" t="s">
        <v>187</v>
      </c>
      <c r="E38">
        <f t="shared" si="2"/>
        <v>0</v>
      </c>
      <c r="F38">
        <v>2353</v>
      </c>
      <c r="G38">
        <f>LNG_global14[[#This Row],[Distance '[miles']]]*1.60934449789256</f>
        <v>3786.7876035411937</v>
      </c>
      <c r="I38" t="s">
        <v>276</v>
      </c>
    </row>
    <row r="39" spans="1:9">
      <c r="A39" t="s">
        <v>185</v>
      </c>
      <c r="B39" t="s">
        <v>188</v>
      </c>
      <c r="E39">
        <f t="shared" si="2"/>
        <v>0</v>
      </c>
      <c r="F39">
        <v>3033</v>
      </c>
      <c r="G39">
        <f>LNG_global14[[#This Row],[Distance '[miles']]]*1.60934449789256</f>
        <v>4881.1418621081348</v>
      </c>
      <c r="I39" t="s">
        <v>242</v>
      </c>
    </row>
    <row r="40" spans="1:9">
      <c r="A40" t="s">
        <v>185</v>
      </c>
      <c r="B40" t="s">
        <v>189</v>
      </c>
      <c r="E40">
        <f t="shared" si="2"/>
        <v>0</v>
      </c>
      <c r="F40">
        <v>4477</v>
      </c>
      <c r="G40">
        <f>LNG_global14[[#This Row],[Distance '[miles']]]*1.60934449789256</f>
        <v>7205.0353170649905</v>
      </c>
      <c r="I40" t="s">
        <v>243</v>
      </c>
    </row>
    <row r="41" spans="1:9">
      <c r="A41" t="s">
        <v>185</v>
      </c>
      <c r="B41" t="s">
        <v>190</v>
      </c>
      <c r="E41">
        <f t="shared" si="2"/>
        <v>0</v>
      </c>
      <c r="F41">
        <v>2612</v>
      </c>
      <c r="G41">
        <f>LNG_global14[[#This Row],[Distance '[miles']]]*1.60934449789256</f>
        <v>4203.6078284953664</v>
      </c>
      <c r="I41" t="s">
        <v>244</v>
      </c>
    </row>
    <row r="42" spans="1:9">
      <c r="A42" t="s">
        <v>185</v>
      </c>
      <c r="B42" t="s">
        <v>191</v>
      </c>
      <c r="E42">
        <f t="shared" si="2"/>
        <v>0</v>
      </c>
      <c r="F42">
        <v>6579</v>
      </c>
      <c r="G42">
        <f>LNG_global14[[#This Row],[Distance '[miles']]]*1.60934449789256</f>
        <v>10587.877451635151</v>
      </c>
      <c r="I42" t="s">
        <v>277</v>
      </c>
    </row>
    <row r="43" spans="1:9">
      <c r="A43" t="s">
        <v>193</v>
      </c>
      <c r="B43" t="s">
        <v>186</v>
      </c>
      <c r="E43">
        <f>D43/1000</f>
        <v>0</v>
      </c>
      <c r="F43">
        <v>7893</v>
      </c>
      <c r="G43">
        <f>LNG_global14[[#This Row],[Distance '[miles']]]*1.60934449789256</f>
        <v>12702.556121865975</v>
      </c>
      <c r="I43" t="s">
        <v>238</v>
      </c>
    </row>
    <row r="44" spans="1:9">
      <c r="A44" t="s">
        <v>193</v>
      </c>
      <c r="B44" t="s">
        <v>184</v>
      </c>
      <c r="E44">
        <f t="shared" ref="E44:E49" si="3">D44/1000</f>
        <v>0</v>
      </c>
      <c r="F44">
        <v>7122</v>
      </c>
      <c r="G44">
        <f>LNG_global14[[#This Row],[Distance '[miles']]]*1.60934449789256</f>
        <v>11461.751513990812</v>
      </c>
      <c r="I44" t="s">
        <v>239</v>
      </c>
    </row>
    <row r="45" spans="1:9">
      <c r="A45" t="s">
        <v>193</v>
      </c>
      <c r="B45" t="s">
        <v>187</v>
      </c>
      <c r="E45">
        <f t="shared" si="3"/>
        <v>0</v>
      </c>
      <c r="F45">
        <v>13259</v>
      </c>
      <c r="G45">
        <f>LNG_global14[[#This Row],[Distance '[miles']]]*1.60934449789256</f>
        <v>21338.298697557453</v>
      </c>
      <c r="H45" t="s">
        <v>212</v>
      </c>
      <c r="I45" t="s">
        <v>284</v>
      </c>
    </row>
    <row r="46" spans="1:9">
      <c r="A46" t="s">
        <v>193</v>
      </c>
      <c r="B46" t="s">
        <v>188</v>
      </c>
      <c r="E46">
        <f t="shared" si="3"/>
        <v>0</v>
      </c>
      <c r="F46">
        <v>949</v>
      </c>
      <c r="G46">
        <f>LNG_global14[[#This Row],[Distance '[miles']]]*1.60934449789256</f>
        <v>1527.2679285000395</v>
      </c>
      <c r="I46" t="s">
        <v>242</v>
      </c>
    </row>
    <row r="47" spans="1:9">
      <c r="A47" t="s">
        <v>193</v>
      </c>
      <c r="B47" t="s">
        <v>189</v>
      </c>
      <c r="E47">
        <f t="shared" si="3"/>
        <v>0</v>
      </c>
      <c r="F47">
        <v>8895</v>
      </c>
      <c r="G47">
        <f>LNG_global14[[#This Row],[Distance '[miles']]]*1.60934449789256</f>
        <v>14315.119308754322</v>
      </c>
      <c r="H47" t="s">
        <v>212</v>
      </c>
      <c r="I47" t="s">
        <v>243</v>
      </c>
    </row>
    <row r="48" spans="1:9">
      <c r="A48" t="s">
        <v>193</v>
      </c>
      <c r="B48" t="s">
        <v>190</v>
      </c>
      <c r="E48">
        <f t="shared" si="3"/>
        <v>0</v>
      </c>
      <c r="F48">
        <v>11853</v>
      </c>
      <c r="G48">
        <f>LNG_global14[[#This Row],[Distance '[miles']]]*1.60934449789256</f>
        <v>19075.560333520512</v>
      </c>
      <c r="H48" t="s">
        <v>212</v>
      </c>
      <c r="I48" t="s">
        <v>244</v>
      </c>
    </row>
    <row r="49" spans="1:9">
      <c r="A49" t="s">
        <v>193</v>
      </c>
      <c r="B49" t="s">
        <v>191</v>
      </c>
      <c r="E49">
        <f t="shared" si="3"/>
        <v>0</v>
      </c>
      <c r="F49">
        <v>6177</v>
      </c>
      <c r="G49">
        <f>LNG_global14[[#This Row],[Distance '[miles']]]*1.60934449789256</f>
        <v>9940.9209634823437</v>
      </c>
      <c r="H49" t="s">
        <v>212</v>
      </c>
      <c r="I49" t="s">
        <v>277</v>
      </c>
    </row>
    <row r="50" spans="1:9">
      <c r="A50" t="s">
        <v>191</v>
      </c>
      <c r="B50" t="s">
        <v>186</v>
      </c>
      <c r="E50">
        <f>D50/1000</f>
        <v>0</v>
      </c>
      <c r="F50">
        <v>5988</v>
      </c>
      <c r="G50">
        <f>LNG_global14[[#This Row],[Distance '[miles']]]*1.60934449789256</f>
        <v>9636.7548533806494</v>
      </c>
      <c r="I50" t="s">
        <v>238</v>
      </c>
    </row>
    <row r="51" spans="1:9">
      <c r="A51" t="s">
        <v>191</v>
      </c>
      <c r="B51" t="s">
        <v>184</v>
      </c>
      <c r="E51">
        <f t="shared" ref="E51:E62" si="4">D51/1000</f>
        <v>0</v>
      </c>
      <c r="F51">
        <v>5135</v>
      </c>
      <c r="G51">
        <f>LNG_global14[[#This Row],[Distance '[miles']]]*1.60934449789256</f>
        <v>8263.9839966782947</v>
      </c>
      <c r="I51" t="s">
        <v>239</v>
      </c>
    </row>
    <row r="52" spans="1:9">
      <c r="A52" t="s">
        <v>191</v>
      </c>
      <c r="B52" t="s">
        <v>187</v>
      </c>
      <c r="E52">
        <f t="shared" si="4"/>
        <v>0</v>
      </c>
      <c r="F52">
        <v>7934</v>
      </c>
      <c r="G52">
        <f>LNG_global14[[#This Row],[Distance '[miles']]]*1.60934449789256</f>
        <v>12768.53924627957</v>
      </c>
      <c r="H52" t="s">
        <v>212</v>
      </c>
      <c r="I52" t="s">
        <v>274</v>
      </c>
    </row>
    <row r="53" spans="1:9">
      <c r="A53" t="s">
        <v>191</v>
      </c>
      <c r="B53" t="s">
        <v>188</v>
      </c>
      <c r="E53">
        <f t="shared" si="4"/>
        <v>0</v>
      </c>
      <c r="F53">
        <v>8074</v>
      </c>
      <c r="G53">
        <f>LNG_global14[[#This Row],[Distance '[miles']]]*1.60934449789256</f>
        <v>12993.847475984529</v>
      </c>
      <c r="H53" t="s">
        <v>212</v>
      </c>
      <c r="I53" t="s">
        <v>242</v>
      </c>
    </row>
    <row r="54" spans="1:9">
      <c r="A54" t="s">
        <v>191</v>
      </c>
      <c r="B54" t="s">
        <v>189</v>
      </c>
      <c r="E54">
        <f t="shared" si="4"/>
        <v>0</v>
      </c>
      <c r="F54">
        <v>3043</v>
      </c>
      <c r="G54">
        <f>LNG_global14[[#This Row],[Distance '[miles']]]*1.60934449789256</f>
        <v>4897.2353070870604</v>
      </c>
      <c r="H54" t="s">
        <v>212</v>
      </c>
      <c r="I54" t="s">
        <v>243</v>
      </c>
    </row>
    <row r="55" spans="1:9">
      <c r="A55" t="s">
        <v>191</v>
      </c>
      <c r="B55" t="s">
        <v>190</v>
      </c>
      <c r="E55">
        <f t="shared" si="4"/>
        <v>0</v>
      </c>
      <c r="F55">
        <v>6001</v>
      </c>
      <c r="G55">
        <f>LNG_global14[[#This Row],[Distance '[miles']]]*1.60934449789256</f>
        <v>9657.6763318532521</v>
      </c>
      <c r="H55" t="s">
        <v>212</v>
      </c>
      <c r="I55" t="s">
        <v>244</v>
      </c>
    </row>
    <row r="56" spans="1:9">
      <c r="A56" t="s">
        <v>194</v>
      </c>
      <c r="B56" t="s">
        <v>186</v>
      </c>
      <c r="E56">
        <f t="shared" si="4"/>
        <v>0</v>
      </c>
      <c r="F56">
        <v>9163</v>
      </c>
      <c r="G56">
        <f>LNG_global14[[#This Row],[Distance '[miles']]]*1.60934449789256</f>
        <v>14746.423634189527</v>
      </c>
      <c r="I56" t="s">
        <v>238</v>
      </c>
    </row>
    <row r="57" spans="1:9">
      <c r="A57" t="s">
        <v>194</v>
      </c>
      <c r="B57" t="s">
        <v>184</v>
      </c>
      <c r="E57">
        <f t="shared" si="4"/>
        <v>0</v>
      </c>
      <c r="F57">
        <v>8354</v>
      </c>
      <c r="G57">
        <f>LNG_global14[[#This Row],[Distance '[miles']]]*1.60934449789256</f>
        <v>13444.463935394446</v>
      </c>
      <c r="I57" t="s">
        <v>239</v>
      </c>
    </row>
    <row r="58" spans="1:9">
      <c r="A58" t="s">
        <v>194</v>
      </c>
      <c r="B58" t="s">
        <v>187</v>
      </c>
      <c r="E58">
        <f t="shared" si="4"/>
        <v>0</v>
      </c>
      <c r="F58">
        <v>2186</v>
      </c>
      <c r="G58">
        <f>LNG_global14[[#This Row],[Distance '[miles']]]*1.60934449789256</f>
        <v>3518.0270723931362</v>
      </c>
      <c r="I58" t="s">
        <v>284</v>
      </c>
    </row>
    <row r="59" spans="1:9">
      <c r="A59" t="s">
        <v>194</v>
      </c>
      <c r="B59" t="s">
        <v>188</v>
      </c>
      <c r="E59">
        <f t="shared" si="4"/>
        <v>0</v>
      </c>
      <c r="F59">
        <v>2657</v>
      </c>
      <c r="G59">
        <f>LNG_global14[[#This Row],[Distance '[miles']]]*1.60934449789256</f>
        <v>4276.0283309005317</v>
      </c>
      <c r="I59" t="s">
        <v>242</v>
      </c>
    </row>
    <row r="60" spans="1:9">
      <c r="A60" t="s">
        <v>194</v>
      </c>
      <c r="B60" t="s">
        <v>189</v>
      </c>
      <c r="E60">
        <f t="shared" si="4"/>
        <v>0</v>
      </c>
      <c r="F60">
        <v>3760</v>
      </c>
      <c r="G60">
        <f>LNG_global14[[#This Row],[Distance '[miles']]]*1.60934449789256</f>
        <v>6051.135312076025</v>
      </c>
      <c r="I60" t="s">
        <v>243</v>
      </c>
    </row>
    <row r="61" spans="1:9">
      <c r="A61" t="s">
        <v>194</v>
      </c>
      <c r="B61" t="s">
        <v>190</v>
      </c>
      <c r="E61">
        <f t="shared" si="4"/>
        <v>0</v>
      </c>
      <c r="F61">
        <v>1775</v>
      </c>
      <c r="G61">
        <f>LNG_global14[[#This Row],[Distance '[miles']]]*1.60934449789256</f>
        <v>2856.586483759294</v>
      </c>
      <c r="I61" t="s">
        <v>244</v>
      </c>
    </row>
    <row r="62" spans="1:9">
      <c r="A62" t="s">
        <v>194</v>
      </c>
      <c r="B62" t="s">
        <v>191</v>
      </c>
      <c r="E62">
        <f t="shared" si="4"/>
        <v>0</v>
      </c>
      <c r="F62">
        <v>5866</v>
      </c>
      <c r="G62">
        <f>LNG_global14[[#This Row],[Distance '[miles']]]*1.60934449789256</f>
        <v>9440.4148246377572</v>
      </c>
      <c r="I62" t="s">
        <v>277</v>
      </c>
    </row>
    <row r="63" spans="1:9">
      <c r="A63" t="s">
        <v>183</v>
      </c>
      <c r="B63" t="s">
        <v>200</v>
      </c>
      <c r="E63">
        <f>D63/1000</f>
        <v>0</v>
      </c>
      <c r="F63">
        <v>6277</v>
      </c>
      <c r="G63">
        <f>LNG_global14[[#This Row],[Distance '[miles']]]*1.60934449789256</f>
        <v>10101.855413271598</v>
      </c>
      <c r="H63" t="s">
        <v>212</v>
      </c>
      <c r="I63" t="s">
        <v>233</v>
      </c>
    </row>
    <row r="64" spans="1:9">
      <c r="A64" t="s">
        <v>183</v>
      </c>
      <c r="B64" t="s">
        <v>201</v>
      </c>
      <c r="E64">
        <f t="shared" ref="E64:E79" si="5">D64/1000</f>
        <v>0</v>
      </c>
      <c r="F64">
        <v>4581</v>
      </c>
      <c r="G64">
        <f>LNG_global14[[#This Row],[Distance '[miles']]]*1.60934449789256</f>
        <v>7372.4071448458171</v>
      </c>
      <c r="H64" t="s">
        <v>212</v>
      </c>
      <c r="I64" t="s">
        <v>213</v>
      </c>
    </row>
    <row r="65" spans="1:9">
      <c r="A65" t="s">
        <v>183</v>
      </c>
      <c r="B65" t="s">
        <v>267</v>
      </c>
      <c r="E65">
        <f t="shared" si="5"/>
        <v>0</v>
      </c>
      <c r="F65">
        <v>3668</v>
      </c>
      <c r="G65">
        <f>LNG_global14[[#This Row],[Distance '[miles']]]*1.60934449789256</f>
        <v>5903.0756182699097</v>
      </c>
      <c r="H65" t="s">
        <v>212</v>
      </c>
      <c r="I65" t="s">
        <v>214</v>
      </c>
    </row>
    <row r="66" spans="1:9">
      <c r="A66" t="s">
        <v>183</v>
      </c>
      <c r="B66" t="s">
        <v>202</v>
      </c>
      <c r="E66">
        <f t="shared" si="5"/>
        <v>0</v>
      </c>
      <c r="F66">
        <v>4380</v>
      </c>
      <c r="G66">
        <f>LNG_global14[[#This Row],[Distance '[miles']]]*1.60934449789256</f>
        <v>7048.9289007694124</v>
      </c>
      <c r="H66" t="s">
        <v>212</v>
      </c>
      <c r="I66" t="s">
        <v>286</v>
      </c>
    </row>
    <row r="67" spans="1:9">
      <c r="A67" t="s">
        <v>183</v>
      </c>
      <c r="B67" t="s">
        <v>203</v>
      </c>
      <c r="E67">
        <f t="shared" si="5"/>
        <v>0</v>
      </c>
      <c r="F67">
        <v>4327</v>
      </c>
      <c r="G67">
        <f>LNG_global14[[#This Row],[Distance '[miles']]]*1.60934449789256</f>
        <v>6963.6336423811072</v>
      </c>
      <c r="H67" t="s">
        <v>212</v>
      </c>
      <c r="I67" t="s">
        <v>216</v>
      </c>
    </row>
    <row r="68" spans="1:9">
      <c r="A68" t="s">
        <v>183</v>
      </c>
      <c r="B68" t="s">
        <v>204</v>
      </c>
      <c r="E68">
        <f t="shared" si="5"/>
        <v>0</v>
      </c>
      <c r="F68">
        <v>7211</v>
      </c>
      <c r="G68">
        <f>LNG_global14[[#This Row],[Distance '[miles']]]*1.60934449789256</f>
        <v>11604.98317430325</v>
      </c>
      <c r="H68" t="s">
        <v>212</v>
      </c>
      <c r="I68" t="s">
        <v>217</v>
      </c>
    </row>
    <row r="69" spans="1:9">
      <c r="A69" t="s">
        <v>183</v>
      </c>
      <c r="B69" t="s">
        <v>205</v>
      </c>
      <c r="E69">
        <f t="shared" si="5"/>
        <v>0</v>
      </c>
      <c r="F69">
        <v>6346</v>
      </c>
      <c r="G69">
        <f>LNG_global14[[#This Row],[Distance '[miles']]]*1.60934449789256</f>
        <v>10212.900183626185</v>
      </c>
      <c r="H69" t="s">
        <v>212</v>
      </c>
      <c r="I69" t="s">
        <v>218</v>
      </c>
    </row>
    <row r="70" spans="1:9">
      <c r="A70" t="s">
        <v>183</v>
      </c>
      <c r="B70" t="s">
        <v>206</v>
      </c>
      <c r="E70">
        <f t="shared" si="5"/>
        <v>0</v>
      </c>
      <c r="F70">
        <v>7020</v>
      </c>
      <c r="G70">
        <f>LNG_global14[[#This Row],[Distance '[miles']]]*1.60934449789256</f>
        <v>11297.598375205771</v>
      </c>
      <c r="H70" t="s">
        <v>212</v>
      </c>
      <c r="I70" t="s">
        <v>219</v>
      </c>
    </row>
    <row r="71" spans="1:9">
      <c r="A71" t="s">
        <v>183</v>
      </c>
      <c r="B71" t="s">
        <v>207</v>
      </c>
      <c r="E71">
        <f t="shared" si="5"/>
        <v>0</v>
      </c>
      <c r="F71">
        <v>5266</v>
      </c>
      <c r="G71">
        <f>LNG_global14[[#This Row],[Distance '[miles']]]*1.60934449789256</f>
        <v>8474.8081259022201</v>
      </c>
      <c r="H71" t="s">
        <v>212</v>
      </c>
      <c r="I71" t="s">
        <v>220</v>
      </c>
    </row>
    <row r="72" spans="1:9">
      <c r="A72" t="s">
        <v>183</v>
      </c>
      <c r="B72" t="s">
        <v>208</v>
      </c>
      <c r="E72">
        <f t="shared" si="5"/>
        <v>0</v>
      </c>
      <c r="F72">
        <v>4657</v>
      </c>
      <c r="G72">
        <f>LNG_global14[[#This Row],[Distance '[miles']]]*1.60934449789256</f>
        <v>7494.7173266856516</v>
      </c>
      <c r="H72" t="s">
        <v>212</v>
      </c>
      <c r="I72" t="s">
        <v>221</v>
      </c>
    </row>
    <row r="73" spans="1:9">
      <c r="A73" t="s">
        <v>183</v>
      </c>
      <c r="B73" t="s">
        <v>209</v>
      </c>
      <c r="E73">
        <f t="shared" si="5"/>
        <v>0</v>
      </c>
      <c r="F73">
        <v>3667</v>
      </c>
      <c r="G73">
        <f>LNG_global14[[#This Row],[Distance '[miles']]]*1.60934449789256</f>
        <v>5901.4662737720173</v>
      </c>
      <c r="H73" t="s">
        <v>212</v>
      </c>
      <c r="I73" t="s">
        <v>222</v>
      </c>
    </row>
    <row r="74" spans="1:9">
      <c r="A74" t="s">
        <v>183</v>
      </c>
      <c r="B74" t="s">
        <v>210</v>
      </c>
      <c r="E74">
        <f t="shared" si="5"/>
        <v>0</v>
      </c>
      <c r="F74">
        <v>6091</v>
      </c>
      <c r="G74">
        <f>LNG_global14[[#This Row],[Distance '[miles']]]*1.60934449789256</f>
        <v>9802.5173366635827</v>
      </c>
      <c r="H74" t="s">
        <v>212</v>
      </c>
      <c r="I74" t="s">
        <v>237</v>
      </c>
    </row>
    <row r="75" spans="1:9">
      <c r="A75" t="s">
        <v>183</v>
      </c>
      <c r="B75" t="s">
        <v>223</v>
      </c>
      <c r="E75">
        <f t="shared" si="5"/>
        <v>0</v>
      </c>
      <c r="F75">
        <v>7423</v>
      </c>
      <c r="G75">
        <f>LNG_global14[[#This Row],[Distance '[miles']]]*1.60934449789256</f>
        <v>11946.164207856473</v>
      </c>
      <c r="H75" t="s">
        <v>212</v>
      </c>
      <c r="I75" t="s">
        <v>228</v>
      </c>
    </row>
    <row r="76" spans="1:9">
      <c r="A76" t="s">
        <v>183</v>
      </c>
      <c r="B76" t="s">
        <v>224</v>
      </c>
      <c r="E76">
        <f t="shared" si="5"/>
        <v>0</v>
      </c>
      <c r="F76">
        <v>7423</v>
      </c>
      <c r="G76">
        <f>LNG_global14[[#This Row],[Distance '[miles']]]*1.60934449789256</f>
        <v>11946.164207856473</v>
      </c>
      <c r="H76" t="s">
        <v>212</v>
      </c>
      <c r="I76" t="s">
        <v>229</v>
      </c>
    </row>
    <row r="77" spans="1:9">
      <c r="A77" t="s">
        <v>183</v>
      </c>
      <c r="B77" t="s">
        <v>225</v>
      </c>
      <c r="E77">
        <f t="shared" si="5"/>
        <v>0</v>
      </c>
      <c r="F77">
        <v>6540</v>
      </c>
      <c r="G77">
        <f>LNG_global14[[#This Row],[Distance '[miles']]]*1.60934449789256</f>
        <v>10525.113016217341</v>
      </c>
      <c r="H77" t="s">
        <v>212</v>
      </c>
      <c r="I77" t="s">
        <v>230</v>
      </c>
    </row>
    <row r="78" spans="1:9">
      <c r="A78" t="s">
        <v>183</v>
      </c>
      <c r="B78" t="s">
        <v>226</v>
      </c>
      <c r="E78">
        <f t="shared" si="5"/>
        <v>0</v>
      </c>
      <c r="F78">
        <v>6078</v>
      </c>
      <c r="G78">
        <f>LNG_global14[[#This Row],[Distance '[miles']]]*1.60934449789256</f>
        <v>9781.5958581909799</v>
      </c>
      <c r="H78" t="s">
        <v>212</v>
      </c>
      <c r="I78" t="s">
        <v>231</v>
      </c>
    </row>
    <row r="79" spans="1:9">
      <c r="A79" t="s">
        <v>183</v>
      </c>
      <c r="B79" t="s">
        <v>227</v>
      </c>
      <c r="E79">
        <f t="shared" si="5"/>
        <v>0</v>
      </c>
      <c r="F79">
        <v>7363</v>
      </c>
      <c r="G79">
        <f>LNG_global14[[#This Row],[Distance '[miles']]]*1.60934449789256</f>
        <v>11849.603537982919</v>
      </c>
      <c r="H79" t="s">
        <v>212</v>
      </c>
      <c r="I79" t="s">
        <v>232</v>
      </c>
    </row>
    <row r="80" spans="1:9">
      <c r="A80" t="s">
        <v>179</v>
      </c>
      <c r="B80" t="s">
        <v>200</v>
      </c>
      <c r="E80">
        <f>D80/1000</f>
        <v>0</v>
      </c>
      <c r="F80">
        <v>4986</v>
      </c>
      <c r="G80">
        <f>LNG_global14[[#This Row],[Distance '[miles']]]*1.60934449789256</f>
        <v>8024.1916664923037</v>
      </c>
      <c r="I80" t="s">
        <v>233</v>
      </c>
    </row>
    <row r="81" spans="1:9">
      <c r="A81" t="s">
        <v>179</v>
      </c>
      <c r="B81" t="s">
        <v>201</v>
      </c>
      <c r="E81">
        <f t="shared" ref="E81:E96" si="6">D81/1000</f>
        <v>0</v>
      </c>
      <c r="F81">
        <v>4958</v>
      </c>
      <c r="G81">
        <f>LNG_global14[[#This Row],[Distance '[miles']]]*1.60934449789256</f>
        <v>7979.1300205513126</v>
      </c>
      <c r="I81" t="s">
        <v>251</v>
      </c>
    </row>
    <row r="82" spans="1:9">
      <c r="A82" t="s">
        <v>179</v>
      </c>
      <c r="B82" t="s">
        <v>267</v>
      </c>
      <c r="E82">
        <f t="shared" si="6"/>
        <v>0</v>
      </c>
      <c r="F82">
        <v>6255</v>
      </c>
      <c r="G82">
        <f>LNG_global14[[#This Row],[Distance '[miles']]]*1.60934449789256</f>
        <v>10066.449834317962</v>
      </c>
      <c r="I82" t="s">
        <v>214</v>
      </c>
    </row>
    <row r="83" spans="1:9">
      <c r="A83" t="s">
        <v>179</v>
      </c>
      <c r="B83" t="s">
        <v>202</v>
      </c>
      <c r="E83">
        <f t="shared" si="6"/>
        <v>0</v>
      </c>
      <c r="F83">
        <v>5631</v>
      </c>
      <c r="G83">
        <f>LNG_global14[[#This Row],[Distance '[miles']]]*1.60934449789256</f>
        <v>9062.2188676330043</v>
      </c>
      <c r="I83" t="s">
        <v>275</v>
      </c>
    </row>
    <row r="84" spans="1:9">
      <c r="A84" t="s">
        <v>179</v>
      </c>
      <c r="B84" t="s">
        <v>203</v>
      </c>
      <c r="E84">
        <f t="shared" si="6"/>
        <v>0</v>
      </c>
      <c r="F84">
        <v>6380</v>
      </c>
      <c r="G84">
        <f>LNG_global14[[#This Row],[Distance '[miles']]]*1.60934449789256</f>
        <v>10267.617896554533</v>
      </c>
      <c r="I84" t="s">
        <v>216</v>
      </c>
    </row>
    <row r="85" spans="1:9">
      <c r="A85" t="s">
        <v>179</v>
      </c>
      <c r="B85" t="s">
        <v>204</v>
      </c>
      <c r="E85">
        <f t="shared" si="6"/>
        <v>0</v>
      </c>
      <c r="F85">
        <v>5634</v>
      </c>
      <c r="G85">
        <f>LNG_global14[[#This Row],[Distance '[miles']]]*1.60934449789256</f>
        <v>9067.0469011266832</v>
      </c>
      <c r="I85" t="s">
        <v>217</v>
      </c>
    </row>
    <row r="86" spans="1:9">
      <c r="A86" t="s">
        <v>179</v>
      </c>
      <c r="B86" t="s">
        <v>205</v>
      </c>
      <c r="E86">
        <f t="shared" si="6"/>
        <v>0</v>
      </c>
      <c r="F86">
        <v>5052</v>
      </c>
      <c r="G86">
        <f>LNG_global14[[#This Row],[Distance '[miles']]]*1.60934449789256</f>
        <v>8130.4084033532126</v>
      </c>
      <c r="I86" t="s">
        <v>218</v>
      </c>
    </row>
    <row r="87" spans="1:9">
      <c r="A87" t="s">
        <v>179</v>
      </c>
      <c r="B87" t="s">
        <v>206</v>
      </c>
      <c r="E87">
        <f t="shared" si="6"/>
        <v>0</v>
      </c>
      <c r="F87">
        <v>5443</v>
      </c>
      <c r="G87">
        <f>LNG_global14[[#This Row],[Distance '[miles']]]*1.60934449789256</f>
        <v>8759.6621020292041</v>
      </c>
      <c r="I87" t="s">
        <v>219</v>
      </c>
    </row>
    <row r="88" spans="1:9">
      <c r="A88" t="s">
        <v>179</v>
      </c>
      <c r="B88" t="s">
        <v>207</v>
      </c>
      <c r="E88">
        <f t="shared" si="6"/>
        <v>0</v>
      </c>
      <c r="F88">
        <v>4565</v>
      </c>
      <c r="G88">
        <f>LNG_global14[[#This Row],[Distance '[miles']]]*1.60934449789256</f>
        <v>7346.6576328795363</v>
      </c>
      <c r="I88" t="s">
        <v>220</v>
      </c>
    </row>
    <row r="89" spans="1:9">
      <c r="A89" t="s">
        <v>179</v>
      </c>
      <c r="B89" t="s">
        <v>208</v>
      </c>
      <c r="E89">
        <f t="shared" si="6"/>
        <v>0</v>
      </c>
      <c r="F89">
        <v>4697</v>
      </c>
      <c r="G89">
        <f>LNG_global14[[#This Row],[Distance '[miles']]]*1.60934449789256</f>
        <v>7559.0911066013541</v>
      </c>
      <c r="I89" t="s">
        <v>247</v>
      </c>
    </row>
    <row r="90" spans="1:9">
      <c r="A90" t="s">
        <v>179</v>
      </c>
      <c r="B90" t="s">
        <v>209</v>
      </c>
      <c r="E90">
        <f t="shared" si="6"/>
        <v>0</v>
      </c>
      <c r="F90">
        <v>6409</v>
      </c>
      <c r="G90">
        <f>LNG_global14[[#This Row],[Distance '[miles']]]*1.60934449789256</f>
        <v>10314.288886993416</v>
      </c>
      <c r="I90" t="s">
        <v>222</v>
      </c>
    </row>
    <row r="91" spans="1:9">
      <c r="A91" t="s">
        <v>179</v>
      </c>
      <c r="B91" t="s">
        <v>210</v>
      </c>
      <c r="E91">
        <f t="shared" si="6"/>
        <v>0</v>
      </c>
      <c r="F91">
        <v>4666</v>
      </c>
      <c r="G91">
        <f>LNG_global14[[#This Row],[Distance '[miles']]]*1.60934449789256</f>
        <v>7509.2014271666849</v>
      </c>
      <c r="I91" t="s">
        <v>237</v>
      </c>
    </row>
    <row r="92" spans="1:9">
      <c r="A92" t="s">
        <v>179</v>
      </c>
      <c r="B92" t="s">
        <v>223</v>
      </c>
      <c r="E92">
        <f t="shared" si="6"/>
        <v>0</v>
      </c>
      <c r="F92">
        <v>5846</v>
      </c>
      <c r="G92">
        <f>LNG_global14[[#This Row],[Distance '[miles']]]*1.60934449789256</f>
        <v>9408.227934679906</v>
      </c>
      <c r="I92" t="s">
        <v>228</v>
      </c>
    </row>
    <row r="93" spans="1:9">
      <c r="A93" t="s">
        <v>179</v>
      </c>
      <c r="B93" t="s">
        <v>224</v>
      </c>
      <c r="E93">
        <f t="shared" si="6"/>
        <v>0</v>
      </c>
      <c r="F93">
        <v>5846</v>
      </c>
      <c r="G93">
        <f>LNG_global14[[#This Row],[Distance '[miles']]]*1.60934449789256</f>
        <v>9408.227934679906</v>
      </c>
      <c r="I93" t="s">
        <v>229</v>
      </c>
    </row>
    <row r="94" spans="1:9">
      <c r="A94" t="s">
        <v>179</v>
      </c>
      <c r="B94" t="s">
        <v>225</v>
      </c>
      <c r="E94">
        <f t="shared" si="6"/>
        <v>0</v>
      </c>
      <c r="F94">
        <v>5215</v>
      </c>
      <c r="G94">
        <f>LNG_global14[[#This Row],[Distance '[miles']]]*1.60934449789256</f>
        <v>8392.7315565096997</v>
      </c>
      <c r="I94" t="s">
        <v>230</v>
      </c>
    </row>
    <row r="95" spans="1:9">
      <c r="A95" t="s">
        <v>179</v>
      </c>
      <c r="B95" t="s">
        <v>226</v>
      </c>
      <c r="E95">
        <f t="shared" si="6"/>
        <v>0</v>
      </c>
      <c r="F95">
        <v>4564</v>
      </c>
      <c r="G95">
        <f>LNG_global14[[#This Row],[Distance '[miles']]]*1.60934449789256</f>
        <v>7345.0482883816439</v>
      </c>
      <c r="I95" t="s">
        <v>231</v>
      </c>
    </row>
    <row r="96" spans="1:9">
      <c r="A96" t="s">
        <v>179</v>
      </c>
      <c r="B96" t="s">
        <v>227</v>
      </c>
      <c r="E96">
        <f t="shared" si="6"/>
        <v>0</v>
      </c>
      <c r="F96">
        <v>5786</v>
      </c>
      <c r="G96">
        <f>LNG_global14[[#This Row],[Distance '[miles']]]*1.60934449789256</f>
        <v>9311.6672648063523</v>
      </c>
      <c r="I96" t="s">
        <v>232</v>
      </c>
    </row>
    <row r="97" spans="1:9">
      <c r="A97" t="s">
        <v>181</v>
      </c>
      <c r="B97" t="s">
        <v>200</v>
      </c>
      <c r="E97">
        <f>D97/1000</f>
        <v>0</v>
      </c>
      <c r="F97">
        <v>3985</v>
      </c>
      <c r="G97">
        <f>LNG_global14[[#This Row],[Distance '[miles']]]*1.60934449789256</f>
        <v>6413.2378241018514</v>
      </c>
      <c r="I97" t="s">
        <v>233</v>
      </c>
    </row>
    <row r="98" spans="1:9">
      <c r="A98" t="s">
        <v>181</v>
      </c>
      <c r="B98" t="s">
        <v>201</v>
      </c>
      <c r="E98">
        <f t="shared" ref="E98:E113" si="7">D98/1000</f>
        <v>0</v>
      </c>
      <c r="F98">
        <v>3952</v>
      </c>
      <c r="G98">
        <f>LNG_global14[[#This Row],[Distance '[miles']]]*1.60934449789256</f>
        <v>6360.1294556713965</v>
      </c>
      <c r="I98" t="s">
        <v>251</v>
      </c>
    </row>
    <row r="99" spans="1:9">
      <c r="A99" t="s">
        <v>181</v>
      </c>
      <c r="B99" t="s">
        <v>267</v>
      </c>
      <c r="E99">
        <f t="shared" si="7"/>
        <v>0</v>
      </c>
      <c r="F99">
        <v>4898</v>
      </c>
      <c r="G99">
        <f>LNG_global14[[#This Row],[Distance '[miles']]]*1.60934449789256</f>
        <v>7882.5693506777588</v>
      </c>
      <c r="I99" t="s">
        <v>214</v>
      </c>
    </row>
    <row r="100" spans="1:9">
      <c r="A100" t="s">
        <v>181</v>
      </c>
      <c r="B100" t="s">
        <v>202</v>
      </c>
      <c r="E100">
        <f t="shared" si="7"/>
        <v>0</v>
      </c>
      <c r="F100">
        <v>5075</v>
      </c>
      <c r="G100">
        <f>LNG_global14[[#This Row],[Distance '[miles']]]*1.60934449789256</f>
        <v>8167.4233268047419</v>
      </c>
      <c r="I100" t="s">
        <v>286</v>
      </c>
    </row>
    <row r="101" spans="1:9">
      <c r="A101" t="s">
        <v>181</v>
      </c>
      <c r="B101" t="s">
        <v>203</v>
      </c>
      <c r="E101">
        <f t="shared" si="7"/>
        <v>0</v>
      </c>
      <c r="F101">
        <v>5023</v>
      </c>
      <c r="G101">
        <f>LNG_global14[[#This Row],[Distance '[miles']]]*1.60934449789256</f>
        <v>8083.7374129143291</v>
      </c>
      <c r="I101" t="s">
        <v>216</v>
      </c>
    </row>
    <row r="102" spans="1:9">
      <c r="A102" t="s">
        <v>181</v>
      </c>
      <c r="B102" t="s">
        <v>204</v>
      </c>
      <c r="E102">
        <f t="shared" si="7"/>
        <v>0</v>
      </c>
      <c r="F102">
        <v>4823</v>
      </c>
      <c r="G102">
        <f>LNG_global14[[#This Row],[Distance '[miles']]]*1.60934449789256</f>
        <v>7761.8685133358167</v>
      </c>
      <c r="I102" t="s">
        <v>217</v>
      </c>
    </row>
    <row r="103" spans="1:9">
      <c r="A103" t="s">
        <v>181</v>
      </c>
      <c r="B103" t="s">
        <v>205</v>
      </c>
      <c r="E103">
        <f t="shared" si="7"/>
        <v>0</v>
      </c>
      <c r="F103">
        <v>4051</v>
      </c>
      <c r="G103">
        <f>LNG_global14[[#This Row],[Distance '[miles']]]*1.60934449789256</f>
        <v>6519.4545609627603</v>
      </c>
      <c r="I103" t="s">
        <v>218</v>
      </c>
    </row>
    <row r="104" spans="1:9">
      <c r="A104" t="s">
        <v>181</v>
      </c>
      <c r="B104" t="s">
        <v>206</v>
      </c>
      <c r="E104">
        <f t="shared" si="7"/>
        <v>0</v>
      </c>
      <c r="F104">
        <v>4632</v>
      </c>
      <c r="G104">
        <f>LNG_global14[[#This Row],[Distance '[miles']]]*1.60934449789256</f>
        <v>7454.4837142383376</v>
      </c>
      <c r="I104" t="s">
        <v>219</v>
      </c>
    </row>
    <row r="105" spans="1:9">
      <c r="A105" t="s">
        <v>181</v>
      </c>
      <c r="B105" t="s">
        <v>207</v>
      </c>
      <c r="E105">
        <f t="shared" si="7"/>
        <v>0</v>
      </c>
      <c r="F105">
        <v>3299</v>
      </c>
      <c r="G105">
        <f>LNG_global14[[#This Row],[Distance '[miles']]]*1.60934449789256</f>
        <v>5309.2274985475551</v>
      </c>
      <c r="I105" t="s">
        <v>220</v>
      </c>
    </row>
    <row r="106" spans="1:9">
      <c r="A106" t="s">
        <v>181</v>
      </c>
      <c r="B106" t="s">
        <v>208</v>
      </c>
      <c r="E106">
        <f t="shared" si="7"/>
        <v>0</v>
      </c>
      <c r="F106">
        <v>3645</v>
      </c>
      <c r="G106">
        <f>LNG_global14[[#This Row],[Distance '[miles']]]*1.60934449789256</f>
        <v>5866.0606948183813</v>
      </c>
      <c r="I106" t="s">
        <v>236</v>
      </c>
    </row>
    <row r="107" spans="1:9">
      <c r="A107" t="s">
        <v>181</v>
      </c>
      <c r="B107" t="s">
        <v>209</v>
      </c>
      <c r="E107">
        <f t="shared" si="7"/>
        <v>0</v>
      </c>
      <c r="F107">
        <v>5052</v>
      </c>
      <c r="G107">
        <f>LNG_global14[[#This Row],[Distance '[miles']]]*1.60934449789256</f>
        <v>8130.4084033532126</v>
      </c>
      <c r="I107" t="s">
        <v>222</v>
      </c>
    </row>
    <row r="108" spans="1:9">
      <c r="A108" t="s">
        <v>181</v>
      </c>
      <c r="B108" t="s">
        <v>210</v>
      </c>
      <c r="E108">
        <f t="shared" si="7"/>
        <v>0</v>
      </c>
      <c r="F108">
        <v>3974</v>
      </c>
      <c r="G108">
        <f>LNG_global14[[#This Row],[Distance '[miles']]]*1.60934449789256</f>
        <v>6395.5350346250334</v>
      </c>
      <c r="I108" t="s">
        <v>280</v>
      </c>
    </row>
    <row r="109" spans="1:9">
      <c r="A109" t="s">
        <v>181</v>
      </c>
      <c r="B109" t="s">
        <v>223</v>
      </c>
      <c r="E109">
        <f t="shared" si="7"/>
        <v>0</v>
      </c>
      <c r="F109">
        <v>5035</v>
      </c>
      <c r="G109">
        <f>LNG_global14[[#This Row],[Distance '[miles']]]*1.60934449789256</f>
        <v>8103.0495468890394</v>
      </c>
      <c r="I109" t="s">
        <v>228</v>
      </c>
    </row>
    <row r="110" spans="1:9">
      <c r="A110" t="s">
        <v>181</v>
      </c>
      <c r="B110" t="s">
        <v>224</v>
      </c>
      <c r="E110">
        <f t="shared" si="7"/>
        <v>0</v>
      </c>
      <c r="F110">
        <v>5035</v>
      </c>
      <c r="G110">
        <f>LNG_global14[[#This Row],[Distance '[miles']]]*1.60934449789256</f>
        <v>8103.0495468890394</v>
      </c>
      <c r="I110" t="s">
        <v>229</v>
      </c>
    </row>
    <row r="111" spans="1:9">
      <c r="A111" t="s">
        <v>181</v>
      </c>
      <c r="B111" t="s">
        <v>225</v>
      </c>
      <c r="E111">
        <f t="shared" si="7"/>
        <v>0</v>
      </c>
      <c r="F111">
        <v>4248</v>
      </c>
      <c r="G111">
        <f>LNG_global14[[#This Row],[Distance '[miles']]]*1.60934449789256</f>
        <v>6836.4954270475946</v>
      </c>
      <c r="I111" t="s">
        <v>230</v>
      </c>
    </row>
    <row r="112" spans="1:9">
      <c r="A112" t="s">
        <v>181</v>
      </c>
      <c r="B112" t="s">
        <v>226</v>
      </c>
      <c r="E112">
        <f t="shared" si="7"/>
        <v>0</v>
      </c>
      <c r="F112">
        <v>3599</v>
      </c>
      <c r="G112">
        <f>LNG_global14[[#This Row],[Distance '[miles']]]*1.60934449789256</f>
        <v>5792.0308479153236</v>
      </c>
      <c r="I112" t="s">
        <v>231</v>
      </c>
    </row>
    <row r="113" spans="1:9">
      <c r="A113" t="s">
        <v>181</v>
      </c>
      <c r="B113" t="s">
        <v>227</v>
      </c>
      <c r="E113">
        <f t="shared" si="7"/>
        <v>0</v>
      </c>
      <c r="F113">
        <v>4975</v>
      </c>
      <c r="G113">
        <f>LNG_global14[[#This Row],[Distance '[miles']]]*1.60934449789256</f>
        <v>8006.4888770154857</v>
      </c>
      <c r="I113" t="s">
        <v>232</v>
      </c>
    </row>
    <row r="114" spans="1:9">
      <c r="A114" t="s">
        <v>182</v>
      </c>
      <c r="B114" t="s">
        <v>200</v>
      </c>
      <c r="E114">
        <f>D114/1000</f>
        <v>0</v>
      </c>
      <c r="F114">
        <v>6210</v>
      </c>
      <c r="G114">
        <f>LNG_global14[[#This Row],[Distance '[miles']]]*1.60934449789256</f>
        <v>9994.0293319127977</v>
      </c>
      <c r="H114" t="s">
        <v>212</v>
      </c>
      <c r="I114" t="s">
        <v>233</v>
      </c>
    </row>
    <row r="115" spans="1:9">
      <c r="A115" t="s">
        <v>182</v>
      </c>
      <c r="B115" t="s">
        <v>201</v>
      </c>
      <c r="E115">
        <f t="shared" ref="E115:E147" si="8">D115/1000</f>
        <v>0</v>
      </c>
      <c r="F115">
        <v>6177</v>
      </c>
      <c r="G115">
        <f>LNG_global14[[#This Row],[Distance '[miles']]]*1.60934449789256</f>
        <v>9940.9209634823437</v>
      </c>
      <c r="H115" t="s">
        <v>212</v>
      </c>
      <c r="I115" t="s">
        <v>251</v>
      </c>
    </row>
    <row r="116" spans="1:9">
      <c r="A116" t="s">
        <v>182</v>
      </c>
      <c r="B116" t="s">
        <v>267</v>
      </c>
      <c r="E116">
        <f t="shared" si="8"/>
        <v>0</v>
      </c>
      <c r="F116">
        <v>3601</v>
      </c>
      <c r="G116">
        <f>LNG_global14[[#This Row],[Distance '[miles']]]*1.60934449789256</f>
        <v>5795.2495369111084</v>
      </c>
      <c r="H116" t="s">
        <v>212</v>
      </c>
      <c r="I116" t="s">
        <v>214</v>
      </c>
    </row>
    <row r="117" spans="1:9">
      <c r="A117" t="s">
        <v>182</v>
      </c>
      <c r="B117" t="s">
        <v>202</v>
      </c>
      <c r="E117">
        <f t="shared" si="8"/>
        <v>0</v>
      </c>
      <c r="F117">
        <v>4385</v>
      </c>
      <c r="G117">
        <f>LNG_global14[[#This Row],[Distance '[miles']]]*1.60934449789256</f>
        <v>7056.9756232588752</v>
      </c>
      <c r="H117" t="s">
        <v>212</v>
      </c>
      <c r="I117" t="s">
        <v>215</v>
      </c>
    </row>
    <row r="118" spans="1:9">
      <c r="A118" t="s">
        <v>182</v>
      </c>
      <c r="B118" t="s">
        <v>203</v>
      </c>
      <c r="E118">
        <f t="shared" si="8"/>
        <v>0</v>
      </c>
      <c r="F118">
        <v>4260</v>
      </c>
      <c r="G118">
        <f>LNG_global14[[#This Row],[Distance '[miles']]]*1.60934449789256</f>
        <v>6855.807561022305</v>
      </c>
      <c r="H118" t="s">
        <v>212</v>
      </c>
      <c r="I118" t="s">
        <v>216</v>
      </c>
    </row>
    <row r="119" spans="1:9">
      <c r="A119" t="s">
        <v>182</v>
      </c>
      <c r="B119" t="s">
        <v>204</v>
      </c>
      <c r="E119">
        <f t="shared" si="8"/>
        <v>0</v>
      </c>
      <c r="F119">
        <v>7144</v>
      </c>
      <c r="G119">
        <f>LNG_global14[[#This Row],[Distance '[miles']]]*1.60934449789256</f>
        <v>11497.157092944448</v>
      </c>
      <c r="H119" t="s">
        <v>212</v>
      </c>
      <c r="I119" t="s">
        <v>217</v>
      </c>
    </row>
    <row r="120" spans="1:9">
      <c r="A120" t="s">
        <v>182</v>
      </c>
      <c r="B120" t="s">
        <v>205</v>
      </c>
      <c r="E120">
        <f t="shared" si="8"/>
        <v>0</v>
      </c>
      <c r="F120">
        <v>6276</v>
      </c>
      <c r="G120">
        <f>LNG_global14[[#This Row],[Distance '[miles']]]*1.60934449789256</f>
        <v>10100.246068773706</v>
      </c>
      <c r="H120" t="s">
        <v>212</v>
      </c>
      <c r="I120" t="s">
        <v>218</v>
      </c>
    </row>
    <row r="121" spans="1:9">
      <c r="A121" t="s">
        <v>182</v>
      </c>
      <c r="B121" t="s">
        <v>206</v>
      </c>
      <c r="E121">
        <f t="shared" si="8"/>
        <v>0</v>
      </c>
      <c r="F121">
        <v>6953</v>
      </c>
      <c r="G121">
        <f>LNG_global14[[#This Row],[Distance '[miles']]]*1.60934449789256</f>
        <v>11189.772293846969</v>
      </c>
      <c r="H121" t="s">
        <v>212</v>
      </c>
      <c r="I121" t="s">
        <v>219</v>
      </c>
    </row>
    <row r="122" spans="1:9">
      <c r="A122" t="s">
        <v>182</v>
      </c>
      <c r="B122" t="s">
        <v>207</v>
      </c>
      <c r="E122">
        <f t="shared" si="8"/>
        <v>0</v>
      </c>
      <c r="F122">
        <v>5199</v>
      </c>
      <c r="G122">
        <f>LNG_global14[[#This Row],[Distance '[miles']]]*1.60934449789256</f>
        <v>8366.9820445434198</v>
      </c>
      <c r="H122" t="s">
        <v>212</v>
      </c>
      <c r="I122" t="s">
        <v>220</v>
      </c>
    </row>
    <row r="123" spans="1:9">
      <c r="A123" t="s">
        <v>182</v>
      </c>
      <c r="B123" t="s">
        <v>208</v>
      </c>
      <c r="E123">
        <f t="shared" si="8"/>
        <v>0</v>
      </c>
      <c r="F123">
        <v>4590</v>
      </c>
      <c r="G123">
        <f>LNG_global14[[#This Row],[Distance '[miles']]]*1.60934449789256</f>
        <v>7386.8912453268504</v>
      </c>
      <c r="H123" t="s">
        <v>212</v>
      </c>
      <c r="I123" t="s">
        <v>221</v>
      </c>
    </row>
    <row r="124" spans="1:9">
      <c r="A124" t="s">
        <v>182</v>
      </c>
      <c r="B124" t="s">
        <v>209</v>
      </c>
      <c r="E124">
        <f t="shared" si="8"/>
        <v>0</v>
      </c>
      <c r="F124">
        <v>3600</v>
      </c>
      <c r="G124">
        <f>LNG_global14[[#This Row],[Distance '[miles']]]*1.60934449789256</f>
        <v>5793.640192413216</v>
      </c>
      <c r="H124" t="s">
        <v>212</v>
      </c>
      <c r="I124" t="s">
        <v>222</v>
      </c>
    </row>
    <row r="125" spans="1:9">
      <c r="A125" t="s">
        <v>182</v>
      </c>
      <c r="B125" t="s">
        <v>210</v>
      </c>
      <c r="E125">
        <f t="shared" si="8"/>
        <v>0</v>
      </c>
      <c r="F125">
        <v>6024</v>
      </c>
      <c r="G125">
        <f>LNG_global14[[#This Row],[Distance '[miles']]]*1.60934449789256</f>
        <v>9694.6912553047805</v>
      </c>
      <c r="H125" t="s">
        <v>212</v>
      </c>
      <c r="I125" t="s">
        <v>237</v>
      </c>
    </row>
    <row r="126" spans="1:9">
      <c r="A126" t="s">
        <v>182</v>
      </c>
      <c r="B126" t="s">
        <v>223</v>
      </c>
      <c r="E126">
        <f t="shared" si="8"/>
        <v>0</v>
      </c>
      <c r="F126">
        <v>7356</v>
      </c>
      <c r="G126">
        <f>LNG_global14[[#This Row],[Distance '[miles']]]*1.60934449789256</f>
        <v>11838.338126497671</v>
      </c>
      <c r="H126" t="s">
        <v>212</v>
      </c>
      <c r="I126" t="s">
        <v>228</v>
      </c>
    </row>
    <row r="127" spans="1:9">
      <c r="A127" t="s">
        <v>182</v>
      </c>
      <c r="B127" t="s">
        <v>224</v>
      </c>
      <c r="E127">
        <f t="shared" si="8"/>
        <v>0</v>
      </c>
      <c r="F127">
        <v>7356</v>
      </c>
      <c r="G127">
        <f>LNG_global14[[#This Row],[Distance '[miles']]]*1.60934449789256</f>
        <v>11838.338126497671</v>
      </c>
      <c r="H127" t="s">
        <v>212</v>
      </c>
      <c r="I127" t="s">
        <v>229</v>
      </c>
    </row>
    <row r="128" spans="1:9">
      <c r="A128" t="s">
        <v>182</v>
      </c>
      <c r="B128" t="s">
        <v>225</v>
      </c>
      <c r="E128">
        <f t="shared" si="8"/>
        <v>0</v>
      </c>
      <c r="F128">
        <v>6473</v>
      </c>
      <c r="G128">
        <f>LNG_global14[[#This Row],[Distance '[miles']]]*1.60934449789256</f>
        <v>10417.286934858541</v>
      </c>
      <c r="H128" t="s">
        <v>212</v>
      </c>
      <c r="I128" t="s">
        <v>230</v>
      </c>
    </row>
    <row r="129" spans="1:9">
      <c r="A129" t="s">
        <v>182</v>
      </c>
      <c r="B129" t="s">
        <v>226</v>
      </c>
      <c r="E129">
        <f t="shared" si="8"/>
        <v>0</v>
      </c>
      <c r="F129">
        <v>6011</v>
      </c>
      <c r="G129">
        <f>LNG_global14[[#This Row],[Distance '[miles']]]*1.60934449789256</f>
        <v>9673.7697768321777</v>
      </c>
      <c r="H129" t="s">
        <v>212</v>
      </c>
      <c r="I129" t="s">
        <v>231</v>
      </c>
    </row>
    <row r="130" spans="1:9">
      <c r="A130" t="s">
        <v>182</v>
      </c>
      <c r="B130" t="s">
        <v>227</v>
      </c>
      <c r="E130">
        <f t="shared" si="8"/>
        <v>0</v>
      </c>
      <c r="F130">
        <v>7296</v>
      </c>
      <c r="G130">
        <f>LNG_global14[[#This Row],[Distance '[miles']]]*1.60934449789256</f>
        <v>11741.777456624117</v>
      </c>
      <c r="H130" t="s">
        <v>212</v>
      </c>
      <c r="I130" t="s">
        <v>232</v>
      </c>
    </row>
    <row r="131" spans="1:9">
      <c r="A131" t="s">
        <v>184</v>
      </c>
      <c r="B131" t="s">
        <v>200</v>
      </c>
      <c r="E131">
        <f t="shared" si="8"/>
        <v>0</v>
      </c>
      <c r="F131">
        <v>4348</v>
      </c>
      <c r="G131">
        <f>LNG_global14[[#This Row],[Distance '[miles']]]*1.60934449789256</f>
        <v>6997.4298768368508</v>
      </c>
      <c r="I131" t="s">
        <v>233</v>
      </c>
    </row>
    <row r="132" spans="1:9">
      <c r="A132" t="s">
        <v>184</v>
      </c>
      <c r="B132" t="s">
        <v>201</v>
      </c>
      <c r="E132">
        <f t="shared" si="8"/>
        <v>0</v>
      </c>
      <c r="F132">
        <v>3980</v>
      </c>
      <c r="G132">
        <f>LNG_global14[[#This Row],[Distance '[miles']]]*1.60934449789256</f>
        <v>6405.1911016123886</v>
      </c>
      <c r="I132" t="s">
        <v>278</v>
      </c>
    </row>
    <row r="133" spans="1:9">
      <c r="A133" t="s">
        <v>184</v>
      </c>
      <c r="B133" t="s">
        <v>267</v>
      </c>
      <c r="E133">
        <f t="shared" si="8"/>
        <v>0</v>
      </c>
      <c r="F133">
        <v>4824</v>
      </c>
      <c r="G133">
        <f>LNG_global14[[#This Row],[Distance '[miles']]]*1.60934449789256</f>
        <v>7763.4778578337091</v>
      </c>
      <c r="I133" t="s">
        <v>214</v>
      </c>
    </row>
    <row r="134" spans="1:9">
      <c r="A134" t="s">
        <v>184</v>
      </c>
      <c r="B134" t="s">
        <v>202</v>
      </c>
      <c r="E134">
        <f t="shared" si="8"/>
        <v>0</v>
      </c>
      <c r="F134">
        <v>4172</v>
      </c>
      <c r="G134">
        <f>LNG_global14[[#This Row],[Distance '[miles']]]*1.60934449789256</f>
        <v>6714.1852452077601</v>
      </c>
      <c r="I134" t="s">
        <v>275</v>
      </c>
    </row>
    <row r="135" spans="1:9">
      <c r="A135" t="s">
        <v>184</v>
      </c>
      <c r="B135" t="s">
        <v>203</v>
      </c>
      <c r="E135">
        <f t="shared" si="8"/>
        <v>0</v>
      </c>
      <c r="F135">
        <v>4949</v>
      </c>
      <c r="G135">
        <f>LNG_global14[[#This Row],[Distance '[miles']]]*1.60934449789256</f>
        <v>7964.6459200702793</v>
      </c>
      <c r="I135" t="s">
        <v>216</v>
      </c>
    </row>
    <row r="136" spans="1:9">
      <c r="A136" t="s">
        <v>184</v>
      </c>
      <c r="B136" t="s">
        <v>204</v>
      </c>
      <c r="E136">
        <f t="shared" si="8"/>
        <v>0</v>
      </c>
      <c r="F136">
        <v>5282</v>
      </c>
      <c r="G136">
        <f>LNG_global14[[#This Row],[Distance '[miles']]]*1.60934449789256</f>
        <v>8500.5576378685018</v>
      </c>
      <c r="I136" t="s">
        <v>217</v>
      </c>
    </row>
    <row r="137" spans="1:9">
      <c r="A137" t="s">
        <v>184</v>
      </c>
      <c r="B137" t="s">
        <v>205</v>
      </c>
      <c r="E137">
        <f t="shared" si="8"/>
        <v>0</v>
      </c>
      <c r="F137">
        <v>4414</v>
      </c>
      <c r="G137">
        <f>LNG_global14[[#This Row],[Distance '[miles']]]*1.60934449789256</f>
        <v>7103.6466136977597</v>
      </c>
      <c r="I137" t="s">
        <v>218</v>
      </c>
    </row>
    <row r="138" spans="1:9">
      <c r="A138" t="s">
        <v>184</v>
      </c>
      <c r="B138" t="s">
        <v>206</v>
      </c>
      <c r="E138">
        <f t="shared" si="8"/>
        <v>0</v>
      </c>
      <c r="F138">
        <v>5091</v>
      </c>
      <c r="G138">
        <f>LNG_global14[[#This Row],[Distance '[miles']]]*1.60934449789256</f>
        <v>8193.1728387710227</v>
      </c>
      <c r="I138" t="s">
        <v>219</v>
      </c>
    </row>
    <row r="139" spans="1:9">
      <c r="A139" t="s">
        <v>184</v>
      </c>
      <c r="B139" t="s">
        <v>207</v>
      </c>
      <c r="E139">
        <f t="shared" si="8"/>
        <v>0</v>
      </c>
      <c r="F139">
        <v>3389</v>
      </c>
      <c r="G139">
        <f>LNG_global14[[#This Row],[Distance '[miles']]]*1.60934449789256</f>
        <v>5454.0685033578857</v>
      </c>
      <c r="I139" t="s">
        <v>220</v>
      </c>
    </row>
    <row r="140" spans="1:9">
      <c r="A140" t="s">
        <v>184</v>
      </c>
      <c r="B140" t="s">
        <v>208</v>
      </c>
      <c r="E140">
        <f t="shared" si="8"/>
        <v>0</v>
      </c>
      <c r="F140">
        <v>3359</v>
      </c>
      <c r="G140">
        <f>LNG_global14[[#This Row],[Distance '[miles']]]*1.60934449789256</f>
        <v>5405.7881684211088</v>
      </c>
      <c r="I140" t="s">
        <v>247</v>
      </c>
    </row>
    <row r="141" spans="1:9">
      <c r="A141" t="s">
        <v>184</v>
      </c>
      <c r="B141" t="s">
        <v>209</v>
      </c>
      <c r="E141">
        <f t="shared" si="8"/>
        <v>0</v>
      </c>
      <c r="F141">
        <v>5109</v>
      </c>
      <c r="G141">
        <f>LNG_global14[[#This Row],[Distance '[miles']]]*1.60934449789256</f>
        <v>8222.1410397330892</v>
      </c>
      <c r="I141" t="s">
        <v>279</v>
      </c>
    </row>
    <row r="142" spans="1:9">
      <c r="A142" t="s">
        <v>184</v>
      </c>
      <c r="B142" t="s">
        <v>210</v>
      </c>
      <c r="E142">
        <f t="shared" si="8"/>
        <v>0</v>
      </c>
      <c r="F142">
        <v>4309</v>
      </c>
      <c r="G142">
        <f>LNG_global14[[#This Row],[Distance '[miles']]]*1.60934449789256</f>
        <v>6934.6654414190407</v>
      </c>
      <c r="I142" t="s">
        <v>280</v>
      </c>
    </row>
    <row r="143" spans="1:9">
      <c r="A143" t="s">
        <v>184</v>
      </c>
      <c r="B143" t="s">
        <v>223</v>
      </c>
      <c r="E143">
        <f t="shared" si="8"/>
        <v>0</v>
      </c>
      <c r="F143">
        <v>5494</v>
      </c>
      <c r="G143">
        <f>LNG_global14[[#This Row],[Distance '[miles']]]*1.60934449789256</f>
        <v>8841.7386714217246</v>
      </c>
      <c r="I143" t="s">
        <v>228</v>
      </c>
    </row>
    <row r="144" spans="1:9">
      <c r="A144" t="s">
        <v>184</v>
      </c>
      <c r="B144" t="s">
        <v>224</v>
      </c>
      <c r="E144">
        <f t="shared" si="8"/>
        <v>0</v>
      </c>
      <c r="F144">
        <v>5494</v>
      </c>
      <c r="G144">
        <f>LNG_global14[[#This Row],[Distance '[miles']]]*1.60934449789256</f>
        <v>8841.7386714217246</v>
      </c>
      <c r="I144" t="s">
        <v>229</v>
      </c>
    </row>
    <row r="145" spans="1:9">
      <c r="A145" t="s">
        <v>184</v>
      </c>
      <c r="B145" t="s">
        <v>225</v>
      </c>
      <c r="E145">
        <f t="shared" si="8"/>
        <v>0</v>
      </c>
      <c r="F145">
        <v>4611</v>
      </c>
      <c r="G145">
        <f>LNG_global14[[#This Row],[Distance '[miles']]]*1.60934449789256</f>
        <v>7420.687479782594</v>
      </c>
      <c r="I145" t="s">
        <v>230</v>
      </c>
    </row>
    <row r="146" spans="1:9">
      <c r="A146" t="s">
        <v>184</v>
      </c>
      <c r="B146" t="s">
        <v>226</v>
      </c>
      <c r="E146">
        <f t="shared" si="8"/>
        <v>0</v>
      </c>
      <c r="F146">
        <v>4149</v>
      </c>
      <c r="G146">
        <f>LNG_global14[[#This Row],[Distance '[miles']]]*1.60934449789256</f>
        <v>6677.1703217562308</v>
      </c>
      <c r="I146" t="s">
        <v>231</v>
      </c>
    </row>
    <row r="147" spans="1:9">
      <c r="A147" t="s">
        <v>184</v>
      </c>
      <c r="B147" t="s">
        <v>227</v>
      </c>
      <c r="E147">
        <f t="shared" si="8"/>
        <v>0</v>
      </c>
      <c r="F147">
        <v>5434</v>
      </c>
      <c r="G147">
        <f>LNG_global14[[#This Row],[Distance '[miles']]]*1.60934449789256</f>
        <v>8745.1780015481709</v>
      </c>
      <c r="I147" t="s">
        <v>232</v>
      </c>
    </row>
    <row r="148" spans="1:9">
      <c r="A148" t="s">
        <v>185</v>
      </c>
      <c r="B148" t="s">
        <v>200</v>
      </c>
      <c r="E148">
        <f>D148/1000</f>
        <v>0</v>
      </c>
      <c r="F148">
        <v>9950</v>
      </c>
      <c r="G148">
        <f>LNG_global14[[#This Row],[Distance '[miles']]]*1.60934449789256</f>
        <v>16012.977754030971</v>
      </c>
      <c r="H148" t="s">
        <v>212</v>
      </c>
      <c r="I148" t="s">
        <v>233</v>
      </c>
    </row>
    <row r="149" spans="1:9">
      <c r="A149" t="s">
        <v>185</v>
      </c>
      <c r="B149" t="s">
        <v>201</v>
      </c>
      <c r="E149">
        <f t="shared" ref="E149:E164" si="9">D149/1000</f>
        <v>0</v>
      </c>
      <c r="F149">
        <v>8254</v>
      </c>
      <c r="G149">
        <f>LNG_global14[[#This Row],[Distance '[miles']]]*1.60934449789256</f>
        <v>13283.52948560519</v>
      </c>
      <c r="H149" t="s">
        <v>212</v>
      </c>
      <c r="I149" t="s">
        <v>213</v>
      </c>
    </row>
    <row r="150" spans="1:9">
      <c r="A150" t="s">
        <v>185</v>
      </c>
      <c r="B150" t="s">
        <v>267</v>
      </c>
      <c r="E150">
        <f t="shared" si="9"/>
        <v>0</v>
      </c>
      <c r="F150">
        <v>7341</v>
      </c>
      <c r="G150">
        <f>LNG_global14[[#This Row],[Distance '[miles']]]*1.60934449789256</f>
        <v>11814.197959029283</v>
      </c>
      <c r="H150" t="s">
        <v>212</v>
      </c>
      <c r="I150" t="s">
        <v>214</v>
      </c>
    </row>
    <row r="151" spans="1:9">
      <c r="A151" t="s">
        <v>185</v>
      </c>
      <c r="B151" t="s">
        <v>202</v>
      </c>
      <c r="E151">
        <f t="shared" si="9"/>
        <v>0</v>
      </c>
      <c r="F151">
        <v>8125</v>
      </c>
      <c r="G151">
        <f>LNG_global14[[#This Row],[Distance '[miles']]]*1.60934449789256</f>
        <v>13075.924045377049</v>
      </c>
      <c r="H151" t="s">
        <v>212</v>
      </c>
      <c r="I151" t="s">
        <v>215</v>
      </c>
    </row>
    <row r="152" spans="1:9">
      <c r="A152" t="s">
        <v>185</v>
      </c>
      <c r="B152" t="s">
        <v>203</v>
      </c>
      <c r="E152">
        <f t="shared" si="9"/>
        <v>0</v>
      </c>
      <c r="F152">
        <v>8000</v>
      </c>
      <c r="G152">
        <f>LNG_global14[[#This Row],[Distance '[miles']]]*1.60934449789256</f>
        <v>12874.75598314048</v>
      </c>
      <c r="H152" t="s">
        <v>212</v>
      </c>
      <c r="I152" t="s">
        <v>216</v>
      </c>
    </row>
    <row r="153" spans="1:9">
      <c r="A153" t="s">
        <v>185</v>
      </c>
      <c r="B153" t="s">
        <v>204</v>
      </c>
      <c r="E153">
        <f t="shared" si="9"/>
        <v>0</v>
      </c>
      <c r="F153">
        <v>10884</v>
      </c>
      <c r="G153">
        <f>LNG_global14[[#This Row],[Distance '[miles']]]*1.60934449789256</f>
        <v>17516.105515062623</v>
      </c>
      <c r="H153" t="s">
        <v>212</v>
      </c>
      <c r="I153" t="s">
        <v>217</v>
      </c>
    </row>
    <row r="154" spans="1:9">
      <c r="A154" t="s">
        <v>185</v>
      </c>
      <c r="B154" t="s">
        <v>205</v>
      </c>
      <c r="E154">
        <f t="shared" si="9"/>
        <v>0</v>
      </c>
      <c r="F154">
        <v>10016</v>
      </c>
      <c r="G154">
        <f>LNG_global14[[#This Row],[Distance '[miles']]]*1.60934449789256</f>
        <v>16119.194490891881</v>
      </c>
      <c r="H154" t="s">
        <v>212</v>
      </c>
      <c r="I154" t="s">
        <v>218</v>
      </c>
    </row>
    <row r="155" spans="1:9">
      <c r="A155" t="s">
        <v>185</v>
      </c>
      <c r="B155" t="s">
        <v>206</v>
      </c>
      <c r="E155">
        <f t="shared" si="9"/>
        <v>0</v>
      </c>
      <c r="F155">
        <v>10693</v>
      </c>
      <c r="G155">
        <f>LNG_global14[[#This Row],[Distance '[miles']]]*1.60934449789256</f>
        <v>17208.720715965144</v>
      </c>
      <c r="H155" t="s">
        <v>212</v>
      </c>
      <c r="I155" t="s">
        <v>219</v>
      </c>
    </row>
    <row r="156" spans="1:9">
      <c r="A156" t="s">
        <v>185</v>
      </c>
      <c r="B156" t="s">
        <v>207</v>
      </c>
      <c r="E156">
        <f t="shared" si="9"/>
        <v>0</v>
      </c>
      <c r="F156">
        <v>8939</v>
      </c>
      <c r="G156">
        <f>LNG_global14[[#This Row],[Distance '[miles']]]*1.60934449789256</f>
        <v>14385.930466661594</v>
      </c>
      <c r="H156" t="s">
        <v>212</v>
      </c>
      <c r="I156" t="s">
        <v>220</v>
      </c>
    </row>
    <row r="157" spans="1:9">
      <c r="A157" t="s">
        <v>185</v>
      </c>
      <c r="B157" t="s">
        <v>208</v>
      </c>
      <c r="E157">
        <f t="shared" si="9"/>
        <v>0</v>
      </c>
      <c r="F157">
        <v>8330</v>
      </c>
      <c r="G157">
        <f>LNG_global14[[#This Row],[Distance '[miles']]]*1.60934449789256</f>
        <v>13405.839667445025</v>
      </c>
      <c r="H157" t="s">
        <v>212</v>
      </c>
      <c r="I157" t="s">
        <v>221</v>
      </c>
    </row>
    <row r="158" spans="1:9">
      <c r="A158" t="s">
        <v>185</v>
      </c>
      <c r="B158" t="s">
        <v>209</v>
      </c>
      <c r="E158">
        <f t="shared" si="9"/>
        <v>0</v>
      </c>
      <c r="F158">
        <v>7340</v>
      </c>
      <c r="G158">
        <f>LNG_global14[[#This Row],[Distance '[miles']]]*1.60934449789256</f>
        <v>11812.588614531391</v>
      </c>
      <c r="H158" t="s">
        <v>212</v>
      </c>
      <c r="I158" t="s">
        <v>222</v>
      </c>
    </row>
    <row r="159" spans="1:9">
      <c r="A159" t="s">
        <v>185</v>
      </c>
      <c r="B159" t="s">
        <v>210</v>
      </c>
      <c r="E159">
        <f t="shared" si="9"/>
        <v>0</v>
      </c>
      <c r="F159">
        <v>9764</v>
      </c>
      <c r="G159">
        <f>LNG_global14[[#This Row],[Distance '[miles']]]*1.60934449789256</f>
        <v>15713.639677422956</v>
      </c>
      <c r="H159" t="s">
        <v>212</v>
      </c>
      <c r="I159" t="s">
        <v>237</v>
      </c>
    </row>
    <row r="160" spans="1:9">
      <c r="A160" t="s">
        <v>185</v>
      </c>
      <c r="B160" t="s">
        <v>223</v>
      </c>
      <c r="E160">
        <f t="shared" si="9"/>
        <v>0</v>
      </c>
      <c r="F160">
        <v>11096</v>
      </c>
      <c r="G160">
        <f>LNG_global14[[#This Row],[Distance '[miles']]]*1.60934449789256</f>
        <v>17857.286548615844</v>
      </c>
      <c r="H160" t="s">
        <v>212</v>
      </c>
      <c r="I160" t="s">
        <v>228</v>
      </c>
    </row>
    <row r="161" spans="1:9">
      <c r="A161" t="s">
        <v>185</v>
      </c>
      <c r="B161" t="s">
        <v>224</v>
      </c>
      <c r="E161">
        <f t="shared" si="9"/>
        <v>0</v>
      </c>
      <c r="F161">
        <v>11096</v>
      </c>
      <c r="G161">
        <f>LNG_global14[[#This Row],[Distance '[miles']]]*1.60934449789256</f>
        <v>17857.286548615844</v>
      </c>
      <c r="H161" t="s">
        <v>212</v>
      </c>
      <c r="I161" t="s">
        <v>229</v>
      </c>
    </row>
    <row r="162" spans="1:9">
      <c r="A162" t="s">
        <v>185</v>
      </c>
      <c r="B162" t="s">
        <v>225</v>
      </c>
      <c r="E162">
        <f t="shared" si="9"/>
        <v>0</v>
      </c>
      <c r="F162">
        <v>10213</v>
      </c>
      <c r="G162">
        <f>LNG_global14[[#This Row],[Distance '[miles']]]*1.60934449789256</f>
        <v>16436.235356976715</v>
      </c>
      <c r="H162" t="s">
        <v>212</v>
      </c>
      <c r="I162" t="s">
        <v>230</v>
      </c>
    </row>
    <row r="163" spans="1:9">
      <c r="A163" t="s">
        <v>185</v>
      </c>
      <c r="B163" t="s">
        <v>226</v>
      </c>
      <c r="E163">
        <f t="shared" si="9"/>
        <v>0</v>
      </c>
      <c r="F163">
        <v>9751</v>
      </c>
      <c r="G163">
        <f>LNG_global14[[#This Row],[Distance '[miles']]]*1.60934449789256</f>
        <v>15692.718198950352</v>
      </c>
      <c r="H163" t="s">
        <v>212</v>
      </c>
      <c r="I163" t="s">
        <v>231</v>
      </c>
    </row>
    <row r="164" spans="1:9">
      <c r="A164" t="s">
        <v>185</v>
      </c>
      <c r="B164" t="s">
        <v>227</v>
      </c>
      <c r="E164">
        <f t="shared" si="9"/>
        <v>0</v>
      </c>
      <c r="F164">
        <v>11036</v>
      </c>
      <c r="G164">
        <f>LNG_global14[[#This Row],[Distance '[miles']]]*1.60934449789256</f>
        <v>17760.725878742291</v>
      </c>
      <c r="H164" t="s">
        <v>212</v>
      </c>
      <c r="I164" t="s">
        <v>232</v>
      </c>
    </row>
    <row r="165" spans="1:9">
      <c r="A165" t="s">
        <v>191</v>
      </c>
      <c r="B165" t="s">
        <v>200</v>
      </c>
      <c r="E165">
        <f>D165/1000</f>
        <v>0</v>
      </c>
      <c r="F165">
        <v>3208</v>
      </c>
      <c r="G165">
        <f>LNG_global14[[#This Row],[Distance '[miles']]]*1.60934449789256</f>
        <v>5162.7771492393322</v>
      </c>
      <c r="I165" t="s">
        <v>233</v>
      </c>
    </row>
    <row r="166" spans="1:9">
      <c r="A166" t="s">
        <v>191</v>
      </c>
      <c r="B166" t="s">
        <v>201</v>
      </c>
      <c r="E166">
        <f t="shared" ref="E166:E181" si="10">D166/1000</f>
        <v>0</v>
      </c>
      <c r="F166">
        <v>1405</v>
      </c>
      <c r="G166">
        <f>LNG_global14[[#This Row],[Distance '[miles']]]*1.60934449789256</f>
        <v>2261.1290195390466</v>
      </c>
      <c r="I166" t="s">
        <v>213</v>
      </c>
    </row>
    <row r="167" spans="1:9">
      <c r="A167" t="s">
        <v>191</v>
      </c>
      <c r="B167" t="s">
        <v>267</v>
      </c>
      <c r="E167">
        <f t="shared" si="10"/>
        <v>0</v>
      </c>
      <c r="F167">
        <v>518</v>
      </c>
      <c r="G167">
        <f>LNG_global14[[#This Row],[Distance '[miles']]]*1.60934449789256</f>
        <v>833.64044990834611</v>
      </c>
      <c r="I167" t="s">
        <v>214</v>
      </c>
    </row>
    <row r="168" spans="1:9">
      <c r="A168" t="s">
        <v>191</v>
      </c>
      <c r="B168" t="s">
        <v>202</v>
      </c>
      <c r="E168">
        <f t="shared" si="10"/>
        <v>0</v>
      </c>
      <c r="F168">
        <v>1239</v>
      </c>
      <c r="G168">
        <f>LNG_global14[[#This Row],[Distance '[miles']]]*1.60934449789256</f>
        <v>1993.9778328888817</v>
      </c>
      <c r="I168" t="s">
        <v>275</v>
      </c>
    </row>
    <row r="169" spans="1:9">
      <c r="A169" t="s">
        <v>191</v>
      </c>
      <c r="B169" t="s">
        <v>203</v>
      </c>
      <c r="E169">
        <f t="shared" si="10"/>
        <v>0</v>
      </c>
      <c r="F169">
        <v>1258</v>
      </c>
      <c r="G169">
        <f>LNG_global14[[#This Row],[Distance '[miles']]]*1.60934449789256</f>
        <v>2024.5553783488403</v>
      </c>
      <c r="I169" t="s">
        <v>216</v>
      </c>
    </row>
    <row r="170" spans="1:9">
      <c r="A170" t="s">
        <v>191</v>
      </c>
      <c r="B170" t="s">
        <v>204</v>
      </c>
      <c r="E170">
        <f t="shared" si="10"/>
        <v>0</v>
      </c>
      <c r="F170">
        <v>4142</v>
      </c>
      <c r="G170">
        <f>LNG_global14[[#This Row],[Distance '[miles']]]*1.60934449789256</f>
        <v>6665.9049102709832</v>
      </c>
      <c r="I170" t="s">
        <v>217</v>
      </c>
    </row>
    <row r="171" spans="1:9">
      <c r="A171" t="s">
        <v>191</v>
      </c>
      <c r="B171" t="s">
        <v>205</v>
      </c>
      <c r="E171">
        <f t="shared" si="10"/>
        <v>0</v>
      </c>
      <c r="F171">
        <v>3274</v>
      </c>
      <c r="G171">
        <f>LNG_global14[[#This Row],[Distance '[miles']]]*1.60934449789256</f>
        <v>5268.9938861002411</v>
      </c>
      <c r="I171" t="s">
        <v>218</v>
      </c>
    </row>
    <row r="172" spans="1:9">
      <c r="A172" t="s">
        <v>191</v>
      </c>
      <c r="B172" t="s">
        <v>206</v>
      </c>
      <c r="E172">
        <f t="shared" si="10"/>
        <v>0</v>
      </c>
      <c r="F172">
        <v>3836</v>
      </c>
      <c r="G172">
        <f>LNG_global14[[#This Row],[Distance '[miles']]]*1.60934449789256</f>
        <v>6173.4454939158604</v>
      </c>
      <c r="I172" t="s">
        <v>219</v>
      </c>
    </row>
    <row r="173" spans="1:9">
      <c r="A173" t="s">
        <v>191</v>
      </c>
      <c r="B173" t="s">
        <v>207</v>
      </c>
      <c r="E173">
        <f t="shared" si="10"/>
        <v>0</v>
      </c>
      <c r="F173">
        <v>2082</v>
      </c>
      <c r="G173">
        <f>LNG_global14[[#This Row],[Distance '[miles']]]*1.60934449789256</f>
        <v>3350.6552446123096</v>
      </c>
      <c r="I173" t="s">
        <v>220</v>
      </c>
    </row>
    <row r="174" spans="1:9">
      <c r="A174" t="s">
        <v>191</v>
      </c>
      <c r="B174" t="s">
        <v>208</v>
      </c>
      <c r="E174">
        <f t="shared" si="10"/>
        <v>0</v>
      </c>
      <c r="F174">
        <v>1696</v>
      </c>
      <c r="G174">
        <f>LNG_global14[[#This Row],[Distance '[miles']]]*1.60934449789256</f>
        <v>2729.4482684257819</v>
      </c>
      <c r="I174" t="s">
        <v>282</v>
      </c>
    </row>
    <row r="175" spans="1:9">
      <c r="A175" t="s">
        <v>191</v>
      </c>
      <c r="B175" t="s">
        <v>209</v>
      </c>
      <c r="E175">
        <f t="shared" si="10"/>
        <v>0</v>
      </c>
      <c r="F175">
        <v>722</v>
      </c>
      <c r="G175">
        <f>LNG_global14[[#This Row],[Distance '[miles']]]*1.60934449789256</f>
        <v>1161.9467274784283</v>
      </c>
      <c r="I175" t="s">
        <v>279</v>
      </c>
    </row>
    <row r="176" spans="1:9">
      <c r="A176" t="s">
        <v>191</v>
      </c>
      <c r="B176" t="s">
        <v>210</v>
      </c>
      <c r="E176">
        <f t="shared" si="10"/>
        <v>0</v>
      </c>
      <c r="F176">
        <v>2907</v>
      </c>
      <c r="G176">
        <f>LNG_global14[[#This Row],[Distance '[miles']]]*1.60934449789256</f>
        <v>4678.3644553736722</v>
      </c>
      <c r="I176" t="s">
        <v>237</v>
      </c>
    </row>
    <row r="177" spans="1:9">
      <c r="A177" t="s">
        <v>191</v>
      </c>
      <c r="B177" t="s">
        <v>223</v>
      </c>
      <c r="E177">
        <f t="shared" si="10"/>
        <v>0</v>
      </c>
      <c r="F177">
        <v>4354</v>
      </c>
      <c r="G177">
        <f>LNG_global14[[#This Row],[Distance '[miles']]]*1.60934449789256</f>
        <v>7007.085943824206</v>
      </c>
      <c r="I177" t="s">
        <v>228</v>
      </c>
    </row>
    <row r="178" spans="1:9">
      <c r="A178" t="s">
        <v>191</v>
      </c>
      <c r="B178" t="s">
        <v>224</v>
      </c>
      <c r="E178">
        <f t="shared" si="10"/>
        <v>0</v>
      </c>
      <c r="F178">
        <v>4354</v>
      </c>
      <c r="G178">
        <f>LNG_global14[[#This Row],[Distance '[miles']]]*1.60934449789256</f>
        <v>7007.085943824206</v>
      </c>
      <c r="I178" t="s">
        <v>229</v>
      </c>
    </row>
    <row r="179" spans="1:9">
      <c r="A179" t="s">
        <v>191</v>
      </c>
      <c r="B179" t="s">
        <v>225</v>
      </c>
      <c r="E179">
        <f t="shared" si="10"/>
        <v>0</v>
      </c>
      <c r="F179">
        <v>3471</v>
      </c>
      <c r="G179">
        <f>LNG_global14[[#This Row],[Distance '[miles']]]*1.60934449789256</f>
        <v>5586.0347521850754</v>
      </c>
      <c r="I179" t="s">
        <v>230</v>
      </c>
    </row>
    <row r="180" spans="1:9">
      <c r="A180" t="s">
        <v>191</v>
      </c>
      <c r="B180" t="s">
        <v>226</v>
      </c>
      <c r="E180">
        <f t="shared" si="10"/>
        <v>0</v>
      </c>
      <c r="F180">
        <v>3009</v>
      </c>
      <c r="G180">
        <f>LNG_global14[[#This Row],[Distance '[miles']]]*1.60934449789256</f>
        <v>4842.5175941587131</v>
      </c>
      <c r="I180" t="s">
        <v>231</v>
      </c>
    </row>
    <row r="181" spans="1:9">
      <c r="A181" t="s">
        <v>191</v>
      </c>
      <c r="B181" t="s">
        <v>227</v>
      </c>
      <c r="E181">
        <f t="shared" si="10"/>
        <v>0</v>
      </c>
      <c r="F181">
        <v>4294</v>
      </c>
      <c r="G181">
        <f>LNG_global14[[#This Row],[Distance '[miles']]]*1.60934449789256</f>
        <v>6910.5252739506523</v>
      </c>
      <c r="I181" t="s">
        <v>232</v>
      </c>
    </row>
    <row r="182" spans="1:9">
      <c r="A182" t="s">
        <v>194</v>
      </c>
      <c r="B182" t="s">
        <v>200</v>
      </c>
      <c r="E182">
        <f>D182/1000</f>
        <v>0</v>
      </c>
      <c r="F182">
        <v>9237</v>
      </c>
      <c r="G182">
        <f>LNG_global14[[#This Row],[Distance '[miles']]]*1.60934449789256</f>
        <v>14865.515127033575</v>
      </c>
      <c r="H182" t="s">
        <v>212</v>
      </c>
      <c r="I182" t="s">
        <v>233</v>
      </c>
    </row>
    <row r="183" spans="1:9">
      <c r="A183" t="s">
        <v>194</v>
      </c>
      <c r="B183" t="s">
        <v>201</v>
      </c>
      <c r="E183">
        <f t="shared" ref="E183:E198" si="11">D183/1000</f>
        <v>0</v>
      </c>
      <c r="F183">
        <v>8897</v>
      </c>
      <c r="G183">
        <f>LNG_global14[[#This Row],[Distance '[miles']]]*1.60934449789256</f>
        <v>14318.337997750106</v>
      </c>
      <c r="H183" t="s">
        <v>212</v>
      </c>
      <c r="I183" t="s">
        <v>278</v>
      </c>
    </row>
    <row r="184" spans="1:9">
      <c r="A184" t="s">
        <v>194</v>
      </c>
      <c r="B184" t="s">
        <v>267</v>
      </c>
      <c r="E184">
        <f t="shared" si="11"/>
        <v>0</v>
      </c>
      <c r="F184">
        <v>6737</v>
      </c>
      <c r="G184">
        <f>LNG_global14[[#This Row],[Distance '[miles']]]*1.60934449789256</f>
        <v>10842.153882302176</v>
      </c>
      <c r="H184" t="s">
        <v>212</v>
      </c>
      <c r="I184" t="s">
        <v>285</v>
      </c>
    </row>
    <row r="185" spans="1:9">
      <c r="A185" t="s">
        <v>194</v>
      </c>
      <c r="B185" t="s">
        <v>202</v>
      </c>
      <c r="E185">
        <f t="shared" si="11"/>
        <v>0</v>
      </c>
      <c r="F185">
        <v>7412</v>
      </c>
      <c r="G185">
        <f>LNG_global14[[#This Row],[Distance '[miles']]]*1.60934449789256</f>
        <v>11928.461418379655</v>
      </c>
      <c r="H185" t="s">
        <v>212</v>
      </c>
      <c r="I185" t="s">
        <v>215</v>
      </c>
    </row>
    <row r="186" spans="1:9">
      <c r="A186" t="s">
        <v>194</v>
      </c>
      <c r="B186" t="s">
        <v>203</v>
      </c>
      <c r="E186">
        <f t="shared" si="11"/>
        <v>0</v>
      </c>
      <c r="F186">
        <v>7287</v>
      </c>
      <c r="G186">
        <f>LNG_global14[[#This Row],[Distance '[miles']]]*1.60934449789256</f>
        <v>11727.293356143084</v>
      </c>
      <c r="H186" t="s">
        <v>212</v>
      </c>
      <c r="I186" t="s">
        <v>216</v>
      </c>
    </row>
    <row r="187" spans="1:9">
      <c r="A187" t="s">
        <v>194</v>
      </c>
      <c r="B187" t="s">
        <v>204</v>
      </c>
      <c r="E187">
        <f t="shared" si="11"/>
        <v>0</v>
      </c>
      <c r="F187">
        <v>10171</v>
      </c>
      <c r="G187">
        <f>LNG_global14[[#This Row],[Distance '[miles']]]*1.60934449789256</f>
        <v>16368.642888065227</v>
      </c>
      <c r="H187" t="s">
        <v>212</v>
      </c>
      <c r="I187" t="s">
        <v>217</v>
      </c>
    </row>
    <row r="188" spans="1:9">
      <c r="A188" t="s">
        <v>194</v>
      </c>
      <c r="B188" t="s">
        <v>205</v>
      </c>
      <c r="E188">
        <f t="shared" si="11"/>
        <v>0</v>
      </c>
      <c r="F188">
        <v>9303</v>
      </c>
      <c r="G188">
        <f>LNG_global14[[#This Row],[Distance '[miles']]]*1.60934449789256</f>
        <v>14971.731863894485</v>
      </c>
      <c r="H188" t="s">
        <v>212</v>
      </c>
      <c r="I188" t="s">
        <v>218</v>
      </c>
    </row>
    <row r="189" spans="1:9">
      <c r="A189" t="s">
        <v>194</v>
      </c>
      <c r="B189" t="s">
        <v>206</v>
      </c>
      <c r="E189">
        <f t="shared" si="11"/>
        <v>0</v>
      </c>
      <c r="F189">
        <v>9980</v>
      </c>
      <c r="G189">
        <f>LNG_global14[[#This Row],[Distance '[miles']]]*1.60934449789256</f>
        <v>16061.258088967748</v>
      </c>
      <c r="H189" t="s">
        <v>212</v>
      </c>
      <c r="I189" t="s">
        <v>219</v>
      </c>
    </row>
    <row r="190" spans="1:9">
      <c r="A190" t="s">
        <v>194</v>
      </c>
      <c r="B190" t="s">
        <v>207</v>
      </c>
      <c r="E190">
        <f t="shared" si="11"/>
        <v>0</v>
      </c>
      <c r="F190">
        <v>8226</v>
      </c>
      <c r="G190">
        <f>LNG_global14[[#This Row],[Distance '[miles']]]*1.60934449789256</f>
        <v>13238.467839664198</v>
      </c>
      <c r="H190" t="s">
        <v>212</v>
      </c>
      <c r="I190" t="s">
        <v>220</v>
      </c>
    </row>
    <row r="191" spans="1:9">
      <c r="A191" t="s">
        <v>194</v>
      </c>
      <c r="B191" t="s">
        <v>208</v>
      </c>
      <c r="E191">
        <f t="shared" si="11"/>
        <v>0</v>
      </c>
      <c r="F191">
        <v>7617</v>
      </c>
      <c r="G191">
        <f>LNG_global14[[#This Row],[Distance '[miles']]]*1.60934449789256</f>
        <v>12258.377040447629</v>
      </c>
      <c r="H191" t="s">
        <v>212</v>
      </c>
      <c r="I191" t="s">
        <v>221</v>
      </c>
    </row>
    <row r="192" spans="1:9">
      <c r="A192" t="s">
        <v>194</v>
      </c>
      <c r="B192" t="s">
        <v>209</v>
      </c>
      <c r="E192">
        <f t="shared" si="11"/>
        <v>0</v>
      </c>
      <c r="F192">
        <v>6627</v>
      </c>
      <c r="G192">
        <f>LNG_global14[[#This Row],[Distance '[miles']]]*1.60934449789256</f>
        <v>10665.125987533995</v>
      </c>
      <c r="H192" t="s">
        <v>212</v>
      </c>
      <c r="I192" t="s">
        <v>222</v>
      </c>
    </row>
    <row r="193" spans="1:9">
      <c r="A193" t="s">
        <v>194</v>
      </c>
      <c r="B193" t="s">
        <v>210</v>
      </c>
      <c r="E193">
        <f t="shared" si="11"/>
        <v>0</v>
      </c>
      <c r="F193">
        <v>9051</v>
      </c>
      <c r="G193">
        <f>LNG_global14[[#This Row],[Distance '[miles']]]*1.60934449789256</f>
        <v>14566.17705042556</v>
      </c>
      <c r="H193" t="s">
        <v>212</v>
      </c>
      <c r="I193" t="s">
        <v>237</v>
      </c>
    </row>
    <row r="194" spans="1:9">
      <c r="A194" t="s">
        <v>194</v>
      </c>
      <c r="B194" t="s">
        <v>223</v>
      </c>
      <c r="E194">
        <f t="shared" si="11"/>
        <v>0</v>
      </c>
      <c r="F194">
        <v>10383</v>
      </c>
      <c r="G194">
        <f>LNG_global14[[#This Row],[Distance '[miles']]]*1.60934449789256</f>
        <v>16709.823921618448</v>
      </c>
      <c r="H194" t="s">
        <v>212</v>
      </c>
      <c r="I194" t="s">
        <v>228</v>
      </c>
    </row>
    <row r="195" spans="1:9">
      <c r="A195" t="s">
        <v>194</v>
      </c>
      <c r="B195" t="s">
        <v>224</v>
      </c>
      <c r="E195">
        <f t="shared" si="11"/>
        <v>0</v>
      </c>
      <c r="F195">
        <v>10383</v>
      </c>
      <c r="G195">
        <f>LNG_global14[[#This Row],[Distance '[miles']]]*1.60934449789256</f>
        <v>16709.823921618448</v>
      </c>
      <c r="H195" t="s">
        <v>212</v>
      </c>
      <c r="I195" t="s">
        <v>229</v>
      </c>
    </row>
    <row r="196" spans="1:9">
      <c r="A196" t="s">
        <v>194</v>
      </c>
      <c r="B196" t="s">
        <v>225</v>
      </c>
      <c r="E196">
        <f t="shared" si="11"/>
        <v>0</v>
      </c>
      <c r="F196">
        <v>9500</v>
      </c>
      <c r="G196">
        <f>LNG_global14[[#This Row],[Distance '[miles']]]*1.60934449789256</f>
        <v>15288.772729979319</v>
      </c>
      <c r="H196" t="s">
        <v>212</v>
      </c>
      <c r="I196" t="s">
        <v>230</v>
      </c>
    </row>
    <row r="197" spans="1:9">
      <c r="A197" t="s">
        <v>194</v>
      </c>
      <c r="B197" t="s">
        <v>226</v>
      </c>
      <c r="E197">
        <f t="shared" si="11"/>
        <v>0</v>
      </c>
      <c r="F197">
        <v>9038</v>
      </c>
      <c r="G197">
        <f>LNG_global14[[#This Row],[Distance '[miles']]]*1.60934449789256</f>
        <v>14545.255571952957</v>
      </c>
      <c r="H197" t="s">
        <v>212</v>
      </c>
      <c r="I197" t="s">
        <v>231</v>
      </c>
    </row>
    <row r="198" spans="1:9">
      <c r="A198" t="s">
        <v>194</v>
      </c>
      <c r="B198" t="s">
        <v>227</v>
      </c>
      <c r="E198">
        <f t="shared" si="11"/>
        <v>0</v>
      </c>
      <c r="F198">
        <v>10323</v>
      </c>
      <c r="G198">
        <f>LNG_global14[[#This Row],[Distance '[miles']]]*1.60934449789256</f>
        <v>16613.263251744895</v>
      </c>
      <c r="H198" t="s">
        <v>212</v>
      </c>
      <c r="I198" t="s">
        <v>232</v>
      </c>
    </row>
    <row r="199" spans="1:9">
      <c r="A199" t="s">
        <v>193</v>
      </c>
      <c r="B199" t="s">
        <v>200</v>
      </c>
      <c r="E199">
        <f>D199/1000</f>
        <v>0</v>
      </c>
      <c r="F199">
        <v>2843</v>
      </c>
      <c r="G199">
        <f>LNG_global14[[#This Row],[Distance '[miles']]]*1.60934449789256</f>
        <v>4575.366407508548</v>
      </c>
      <c r="I199" t="s">
        <v>233</v>
      </c>
    </row>
    <row r="200" spans="1:9">
      <c r="A200" t="s">
        <v>193</v>
      </c>
      <c r="B200" t="s">
        <v>201</v>
      </c>
      <c r="E200">
        <f t="shared" ref="E200:E239" si="12">D200/1000</f>
        <v>0</v>
      </c>
      <c r="F200">
        <v>3331</v>
      </c>
      <c r="G200">
        <f>LNG_global14[[#This Row],[Distance '[miles']]]*1.60934449789256</f>
        <v>5360.7265224801176</v>
      </c>
      <c r="I200" t="s">
        <v>278</v>
      </c>
    </row>
    <row r="201" spans="1:9">
      <c r="A201" t="s">
        <v>193</v>
      </c>
      <c r="B201" t="s">
        <v>267</v>
      </c>
      <c r="E201">
        <f t="shared" si="12"/>
        <v>0</v>
      </c>
      <c r="F201">
        <v>5582</v>
      </c>
      <c r="G201">
        <f>LNG_global14[[#This Row],[Distance '[miles']]]*1.60934449789256</f>
        <v>8983.3609872362704</v>
      </c>
      <c r="I201" t="s">
        <v>214</v>
      </c>
    </row>
    <row r="202" spans="1:9">
      <c r="A202" t="s">
        <v>193</v>
      </c>
      <c r="B202" t="s">
        <v>202</v>
      </c>
      <c r="E202">
        <f t="shared" si="12"/>
        <v>0</v>
      </c>
      <c r="F202">
        <v>5759</v>
      </c>
      <c r="G202">
        <f>LNG_global14[[#This Row],[Distance '[miles']]]*1.60934449789256</f>
        <v>9268.2149633632525</v>
      </c>
      <c r="I202" t="s">
        <v>286</v>
      </c>
    </row>
    <row r="203" spans="1:9">
      <c r="A203" t="s">
        <v>193</v>
      </c>
      <c r="B203" t="s">
        <v>203</v>
      </c>
      <c r="E203">
        <f t="shared" si="12"/>
        <v>0</v>
      </c>
      <c r="F203">
        <v>5707</v>
      </c>
      <c r="G203">
        <f>LNG_global14[[#This Row],[Distance '[miles']]]*1.60934449789256</f>
        <v>9184.5290494728397</v>
      </c>
      <c r="I203" t="s">
        <v>216</v>
      </c>
    </row>
    <row r="204" spans="1:9">
      <c r="A204" t="s">
        <v>193</v>
      </c>
      <c r="B204" t="s">
        <v>204</v>
      </c>
      <c r="E204">
        <f t="shared" si="12"/>
        <v>0</v>
      </c>
      <c r="F204">
        <v>3047</v>
      </c>
      <c r="G204">
        <f>LNG_global14[[#This Row],[Distance '[miles']]]*1.60934449789256</f>
        <v>4903.6726850786299</v>
      </c>
      <c r="I204" t="s">
        <v>217</v>
      </c>
    </row>
    <row r="205" spans="1:9">
      <c r="A205" t="s">
        <v>193</v>
      </c>
      <c r="B205" t="s">
        <v>205</v>
      </c>
      <c r="E205">
        <f t="shared" si="12"/>
        <v>0</v>
      </c>
      <c r="F205">
        <v>2827</v>
      </c>
      <c r="G205">
        <f>LNG_global14[[#This Row],[Distance '[miles']]]*1.60934449789256</f>
        <v>4549.6168955422672</v>
      </c>
      <c r="I205" t="s">
        <v>218</v>
      </c>
    </row>
    <row r="206" spans="1:9">
      <c r="A206" t="s">
        <v>193</v>
      </c>
      <c r="B206" t="s">
        <v>206</v>
      </c>
      <c r="E206">
        <f t="shared" si="12"/>
        <v>0</v>
      </c>
      <c r="F206">
        <v>2856</v>
      </c>
      <c r="G206">
        <f>LNG_global14[[#This Row],[Distance '[miles']]]*1.60934449789256</f>
        <v>4596.2878859811508</v>
      </c>
      <c r="I206" t="s">
        <v>219</v>
      </c>
    </row>
    <row r="207" spans="1:9">
      <c r="A207" t="s">
        <v>193</v>
      </c>
      <c r="B207" t="s">
        <v>207</v>
      </c>
      <c r="E207">
        <f t="shared" si="12"/>
        <v>0</v>
      </c>
      <c r="F207">
        <v>3840</v>
      </c>
      <c r="G207">
        <f>LNG_global14[[#This Row],[Distance '[miles']]]*1.60934449789256</f>
        <v>6179.8828719074299</v>
      </c>
      <c r="I207" t="s">
        <v>220</v>
      </c>
    </row>
    <row r="208" spans="1:9">
      <c r="A208" t="s">
        <v>193</v>
      </c>
      <c r="B208" t="s">
        <v>208</v>
      </c>
      <c r="E208">
        <f t="shared" si="12"/>
        <v>0</v>
      </c>
      <c r="F208">
        <v>3499</v>
      </c>
      <c r="G208">
        <f>LNG_global14[[#This Row],[Distance '[miles']]]*1.60934449789256</f>
        <v>5631.0963981260675</v>
      </c>
      <c r="I208" t="s">
        <v>236</v>
      </c>
    </row>
    <row r="209" spans="1:9">
      <c r="A209" t="s">
        <v>193</v>
      </c>
      <c r="B209" t="s">
        <v>209</v>
      </c>
      <c r="E209">
        <f t="shared" si="12"/>
        <v>0</v>
      </c>
      <c r="F209">
        <v>5736</v>
      </c>
      <c r="G209">
        <f>LNG_global14[[#This Row],[Distance '[miles']]]*1.60934449789256</f>
        <v>9231.2000399117242</v>
      </c>
      <c r="I209" t="s">
        <v>222</v>
      </c>
    </row>
    <row r="210" spans="1:9">
      <c r="A210" t="s">
        <v>193</v>
      </c>
      <c r="B210" t="s">
        <v>210</v>
      </c>
      <c r="E210">
        <f t="shared" si="12"/>
        <v>0</v>
      </c>
      <c r="F210">
        <v>2866</v>
      </c>
      <c r="G210">
        <f>LNG_global14[[#This Row],[Distance '[miles']]]*1.60934449789256</f>
        <v>4612.3813309600764</v>
      </c>
      <c r="I210" t="s">
        <v>280</v>
      </c>
    </row>
    <row r="211" spans="1:9">
      <c r="A211" t="s">
        <v>193</v>
      </c>
      <c r="B211" t="s">
        <v>223</v>
      </c>
      <c r="E211">
        <f t="shared" si="12"/>
        <v>0</v>
      </c>
      <c r="F211">
        <v>3259</v>
      </c>
      <c r="G211">
        <f>LNG_global14[[#This Row],[Distance '[miles']]]*1.60934449789256</f>
        <v>5244.8537186318526</v>
      </c>
      <c r="I211" t="s">
        <v>228</v>
      </c>
    </row>
    <row r="212" spans="1:9">
      <c r="A212" t="s">
        <v>193</v>
      </c>
      <c r="B212" t="s">
        <v>224</v>
      </c>
      <c r="E212">
        <f t="shared" si="12"/>
        <v>0</v>
      </c>
      <c r="F212">
        <v>3259</v>
      </c>
      <c r="G212">
        <f>LNG_global14[[#This Row],[Distance '[miles']]]*1.60934449789256</f>
        <v>5244.8537186318526</v>
      </c>
      <c r="I212" t="s">
        <v>229</v>
      </c>
    </row>
    <row r="213" spans="1:9">
      <c r="A213" t="s">
        <v>193</v>
      </c>
      <c r="B213" t="s">
        <v>225</v>
      </c>
      <c r="E213">
        <f t="shared" si="12"/>
        <v>0</v>
      </c>
      <c r="F213">
        <v>2730</v>
      </c>
      <c r="G213">
        <f>LNG_global14[[#This Row],[Distance '[miles']]]*1.60934449789256</f>
        <v>4393.5104792466891</v>
      </c>
      <c r="I213" t="s">
        <v>230</v>
      </c>
    </row>
    <row r="214" spans="1:9">
      <c r="A214" t="s">
        <v>193</v>
      </c>
      <c r="B214" t="s">
        <v>226</v>
      </c>
      <c r="E214">
        <f t="shared" si="12"/>
        <v>0</v>
      </c>
      <c r="F214">
        <v>3077</v>
      </c>
      <c r="G214">
        <f>LNG_global14[[#This Row],[Distance '[miles']]]*1.60934449789256</f>
        <v>4951.9530200154068</v>
      </c>
      <c r="I214" t="s">
        <v>231</v>
      </c>
    </row>
    <row r="215" spans="1:9">
      <c r="A215" t="s">
        <v>193</v>
      </c>
      <c r="B215" t="s">
        <v>227</v>
      </c>
      <c r="E215">
        <f t="shared" si="12"/>
        <v>0</v>
      </c>
      <c r="F215">
        <v>3199</v>
      </c>
      <c r="G215">
        <f>LNG_global14[[#This Row],[Distance '[miles']]]*1.60934449789256</f>
        <v>5148.2930487582989</v>
      </c>
      <c r="I215" t="s">
        <v>232</v>
      </c>
    </row>
    <row r="216" spans="1:9">
      <c r="A216" t="s">
        <v>308</v>
      </c>
      <c r="B216" t="s">
        <v>200</v>
      </c>
      <c r="E216">
        <f t="shared" si="12"/>
        <v>0</v>
      </c>
      <c r="F216">
        <v>1375</v>
      </c>
      <c r="G216" s="16">
        <f>LNG_global14[[#This Row],[Distance '[miles']]]*1.60934449789256</f>
        <v>2212.8486846022697</v>
      </c>
      <c r="H216" s="16"/>
      <c r="I216" t="s">
        <v>233</v>
      </c>
    </row>
    <row r="217" spans="1:9">
      <c r="A217" t="s">
        <v>308</v>
      </c>
      <c r="B217" t="s">
        <v>201</v>
      </c>
      <c r="E217">
        <f t="shared" si="12"/>
        <v>0</v>
      </c>
      <c r="F217">
        <v>1851</v>
      </c>
      <c r="G217" s="16">
        <f>LNG_global14[[#This Row],[Distance '[miles']]]*1.60934449789256</f>
        <v>2978.8966655991285</v>
      </c>
      <c r="H217" s="16"/>
      <c r="I217" t="s">
        <v>278</v>
      </c>
    </row>
    <row r="218" spans="1:9">
      <c r="A218" t="s">
        <v>308</v>
      </c>
      <c r="B218" t="s">
        <v>267</v>
      </c>
      <c r="E218">
        <f t="shared" si="12"/>
        <v>0</v>
      </c>
      <c r="F218">
        <v>4096</v>
      </c>
      <c r="G218" s="16">
        <f>LNG_global14[[#This Row],[Distance '[miles']]]*1.60934449789256</f>
        <v>6591.8750633679256</v>
      </c>
      <c r="H218" s="16"/>
      <c r="I218" t="s">
        <v>214</v>
      </c>
    </row>
    <row r="219" spans="1:9">
      <c r="A219" t="s">
        <v>308</v>
      </c>
      <c r="B219" t="s">
        <v>202</v>
      </c>
      <c r="E219">
        <f t="shared" si="12"/>
        <v>0</v>
      </c>
      <c r="F219">
        <v>3478</v>
      </c>
      <c r="G219" s="16">
        <f>LNG_global14[[#This Row],[Distance '[miles']]]*1.60934449789256</f>
        <v>5597.3001636703239</v>
      </c>
      <c r="H219" s="16"/>
      <c r="I219" t="s">
        <v>215</v>
      </c>
    </row>
    <row r="220" spans="1:9">
      <c r="A220" t="s">
        <v>308</v>
      </c>
      <c r="B220" t="s">
        <v>203</v>
      </c>
      <c r="E220">
        <f t="shared" si="12"/>
        <v>0</v>
      </c>
      <c r="F220">
        <v>4221</v>
      </c>
      <c r="G220" s="16">
        <f>LNG_global14[[#This Row],[Distance '[miles']]]*1.60934449789256</f>
        <v>6793.0431256044958</v>
      </c>
      <c r="H220" s="16"/>
      <c r="I220" t="s">
        <v>216</v>
      </c>
    </row>
    <row r="221" spans="1:9">
      <c r="A221" t="s">
        <v>308</v>
      </c>
      <c r="B221" t="s">
        <v>204</v>
      </c>
      <c r="E221">
        <f t="shared" si="12"/>
        <v>0</v>
      </c>
      <c r="F221">
        <v>1575</v>
      </c>
      <c r="G221" s="16">
        <f>LNG_global14[[#This Row],[Distance '[miles']]]*1.60934449789256</f>
        <v>2534.7175841807821</v>
      </c>
      <c r="H221" s="16"/>
      <c r="I221" t="s">
        <v>217</v>
      </c>
    </row>
    <row r="222" spans="1:9">
      <c r="A222" t="s">
        <v>308</v>
      </c>
      <c r="B222" t="s">
        <v>205</v>
      </c>
      <c r="E222">
        <f t="shared" si="12"/>
        <v>0</v>
      </c>
      <c r="F222">
        <v>1332</v>
      </c>
      <c r="G222" s="16">
        <f>LNG_global14[[#This Row],[Distance '[miles']]]*1.60934449789256</f>
        <v>2143.6468711928896</v>
      </c>
      <c r="H222" s="16"/>
      <c r="I222" t="s">
        <v>218</v>
      </c>
    </row>
    <row r="223" spans="1:9">
      <c r="A223" t="s">
        <v>308</v>
      </c>
      <c r="B223" t="s">
        <v>206</v>
      </c>
      <c r="E223">
        <f t="shared" si="12"/>
        <v>0</v>
      </c>
      <c r="F223">
        <v>1384</v>
      </c>
      <c r="G223" s="16">
        <f>LNG_global14[[#This Row],[Distance '[miles']]]*1.60934449789256</f>
        <v>2227.332785083303</v>
      </c>
      <c r="H223" s="16"/>
      <c r="I223" t="s">
        <v>219</v>
      </c>
    </row>
    <row r="224" spans="1:9">
      <c r="A224" t="s">
        <v>308</v>
      </c>
      <c r="B224" t="s">
        <v>207</v>
      </c>
      <c r="E224">
        <f t="shared" si="12"/>
        <v>0</v>
      </c>
      <c r="F224">
        <v>2360</v>
      </c>
      <c r="G224" s="16">
        <f>LNG_global14[[#This Row],[Distance '[miles']]]*1.60934449789256</f>
        <v>3798.0530150264417</v>
      </c>
      <c r="H224" s="16"/>
      <c r="I224" t="s">
        <v>220</v>
      </c>
    </row>
    <row r="225" spans="1:9">
      <c r="A225" t="s">
        <v>308</v>
      </c>
      <c r="B225" t="s">
        <v>208</v>
      </c>
      <c r="E225">
        <f t="shared" si="12"/>
        <v>0</v>
      </c>
      <c r="F225">
        <v>2019</v>
      </c>
      <c r="G225" s="16">
        <f>LNG_global14[[#This Row],[Distance '[miles']]]*1.60934449789256</f>
        <v>3249.2665412450788</v>
      </c>
      <c r="H225" s="16"/>
      <c r="I225" t="s">
        <v>236</v>
      </c>
    </row>
    <row r="226" spans="1:9">
      <c r="A226" t="s">
        <v>308</v>
      </c>
      <c r="B226" t="s">
        <v>209</v>
      </c>
      <c r="E226">
        <f t="shared" si="12"/>
        <v>0</v>
      </c>
      <c r="F226">
        <v>4250</v>
      </c>
      <c r="G226" s="16">
        <f>LNG_global14[[#This Row],[Distance '[miles']]]*1.60934449789256</f>
        <v>6839.7141160433794</v>
      </c>
      <c r="H226" s="16"/>
      <c r="I226" t="s">
        <v>222</v>
      </c>
    </row>
    <row r="227" spans="1:9">
      <c r="A227" t="s">
        <v>308</v>
      </c>
      <c r="B227" t="s">
        <v>210</v>
      </c>
      <c r="E227">
        <f t="shared" si="12"/>
        <v>0</v>
      </c>
      <c r="F227">
        <v>1378</v>
      </c>
      <c r="G227" s="16">
        <f>LNG_global14[[#This Row],[Distance '[miles']]]*1.60934449789256</f>
        <v>2217.6767180959478</v>
      </c>
      <c r="H227" s="16"/>
      <c r="I227" t="s">
        <v>280</v>
      </c>
    </row>
    <row r="228" spans="1:9">
      <c r="A228" t="s">
        <v>308</v>
      </c>
      <c r="B228" t="s">
        <v>223</v>
      </c>
      <c r="E228">
        <f t="shared" si="12"/>
        <v>0</v>
      </c>
      <c r="F228">
        <v>1787</v>
      </c>
      <c r="G228" s="16">
        <f>LNG_global14[[#This Row],[Distance '[miles']]]*1.60934449789256</f>
        <v>2875.8986177340048</v>
      </c>
      <c r="H228" s="16"/>
      <c r="I228" t="s">
        <v>228</v>
      </c>
    </row>
    <row r="229" spans="1:9">
      <c r="A229" t="s">
        <v>308</v>
      </c>
      <c r="B229" t="s">
        <v>224</v>
      </c>
      <c r="E229">
        <f t="shared" si="12"/>
        <v>0</v>
      </c>
      <c r="F229">
        <v>1787</v>
      </c>
      <c r="G229" s="16">
        <f>LNG_global14[[#This Row],[Distance '[miles']]]*1.60934449789256</f>
        <v>2875.8986177340048</v>
      </c>
      <c r="H229" s="16"/>
      <c r="I229" t="s">
        <v>229</v>
      </c>
    </row>
    <row r="230" spans="1:9">
      <c r="A230" t="s">
        <v>308</v>
      </c>
      <c r="B230" t="s">
        <v>225</v>
      </c>
      <c r="E230">
        <f t="shared" si="12"/>
        <v>0</v>
      </c>
      <c r="F230">
        <v>1241</v>
      </c>
      <c r="G230" s="16">
        <f>LNG_global14[[#This Row],[Distance '[miles']]]*1.60934449789256</f>
        <v>1997.1965218846669</v>
      </c>
      <c r="H230" s="16"/>
      <c r="I230" t="s">
        <v>230</v>
      </c>
    </row>
    <row r="231" spans="1:9">
      <c r="A231" t="s">
        <v>308</v>
      </c>
      <c r="B231" t="s">
        <v>226</v>
      </c>
      <c r="E231">
        <f t="shared" si="12"/>
        <v>0</v>
      </c>
      <c r="F231">
        <v>1596</v>
      </c>
      <c r="G231" s="16">
        <f>LNG_global14[[#This Row],[Distance '[miles']]]*1.60934449789256</f>
        <v>2568.5138186365257</v>
      </c>
      <c r="H231" s="16"/>
      <c r="I231" t="s">
        <v>231</v>
      </c>
    </row>
    <row r="232" spans="1:9">
      <c r="A232" t="s">
        <v>308</v>
      </c>
      <c r="B232" t="s">
        <v>227</v>
      </c>
      <c r="E232">
        <f t="shared" si="12"/>
        <v>0</v>
      </c>
      <c r="F232">
        <v>1727</v>
      </c>
      <c r="G232" s="16">
        <f>LNG_global14[[#This Row],[Distance '[miles']]]*1.60934449789256</f>
        <v>2779.3379478604511</v>
      </c>
      <c r="H232" s="16"/>
      <c r="I232" t="s">
        <v>232</v>
      </c>
    </row>
    <row r="233" spans="1:9">
      <c r="A233" t="s">
        <v>308</v>
      </c>
      <c r="B233" t="s">
        <v>186</v>
      </c>
      <c r="E233">
        <f t="shared" si="12"/>
        <v>0</v>
      </c>
      <c r="F233">
        <v>6412</v>
      </c>
      <c r="G233" s="16">
        <f>LNG_global14[[#This Row],[Distance '[miles']]]*1.60934449789256</f>
        <v>10319.116920487095</v>
      </c>
      <c r="H233" s="16"/>
      <c r="I233" t="s">
        <v>238</v>
      </c>
    </row>
    <row r="234" spans="1:9">
      <c r="A234" t="s">
        <v>308</v>
      </c>
      <c r="B234" t="s">
        <v>184</v>
      </c>
      <c r="E234">
        <f t="shared" si="12"/>
        <v>0</v>
      </c>
      <c r="F234">
        <v>5641</v>
      </c>
      <c r="G234" s="16">
        <f>LNG_global14[[#This Row],[Distance '[miles']]]*1.60934449789256</f>
        <v>9078.3123126119299</v>
      </c>
      <c r="H234" s="16"/>
      <c r="I234" t="s">
        <v>239</v>
      </c>
    </row>
    <row r="235" spans="1:9">
      <c r="A235" t="s">
        <v>308</v>
      </c>
      <c r="B235" t="s">
        <v>187</v>
      </c>
      <c r="E235">
        <f t="shared" si="12"/>
        <v>0</v>
      </c>
      <c r="F235">
        <v>11773</v>
      </c>
      <c r="G235" s="16">
        <f>LNG_global14[[#This Row],[Distance '[miles']]]*1.60934449789256</f>
        <v>18946.812773689107</v>
      </c>
      <c r="H235" s="16" t="s">
        <v>212</v>
      </c>
      <c r="I235" t="s">
        <v>284</v>
      </c>
    </row>
    <row r="236" spans="1:9">
      <c r="A236" t="s">
        <v>308</v>
      </c>
      <c r="B236" t="s">
        <v>188</v>
      </c>
      <c r="E236">
        <f t="shared" si="12"/>
        <v>0</v>
      </c>
      <c r="F236">
        <v>12440</v>
      </c>
      <c r="G236" s="16">
        <f>LNG_global14[[#This Row],[Distance '[miles']]]*1.60934449789256</f>
        <v>20020.245553783447</v>
      </c>
      <c r="H236" s="16" t="s">
        <v>212</v>
      </c>
      <c r="I236" t="s">
        <v>242</v>
      </c>
    </row>
    <row r="237" spans="1:9">
      <c r="A237" t="s">
        <v>308</v>
      </c>
      <c r="B237" t="s">
        <v>189</v>
      </c>
      <c r="E237">
        <f t="shared" si="12"/>
        <v>0</v>
      </c>
      <c r="F237">
        <v>7409</v>
      </c>
      <c r="G237" s="16">
        <f>LNG_global14[[#This Row],[Distance '[miles']]]*1.60934449789256</f>
        <v>11923.633384885976</v>
      </c>
      <c r="H237" s="16" t="s">
        <v>212</v>
      </c>
      <c r="I237" t="s">
        <v>243</v>
      </c>
    </row>
    <row r="238" spans="1:9">
      <c r="A238" t="s">
        <v>308</v>
      </c>
      <c r="B238" t="s">
        <v>190</v>
      </c>
      <c r="E238">
        <f t="shared" si="12"/>
        <v>0</v>
      </c>
      <c r="F238">
        <v>10367</v>
      </c>
      <c r="G238" s="16">
        <f>LNG_global14[[#This Row],[Distance '[miles']]]*1.60934449789256</f>
        <v>16684.07440965217</v>
      </c>
      <c r="H238" s="16"/>
      <c r="I238" t="s">
        <v>244</v>
      </c>
    </row>
    <row r="239" spans="1:9">
      <c r="A239" t="s">
        <v>308</v>
      </c>
      <c r="B239" t="s">
        <v>191</v>
      </c>
      <c r="E239">
        <f t="shared" si="12"/>
        <v>0</v>
      </c>
      <c r="F239">
        <v>4407</v>
      </c>
      <c r="G239" s="16">
        <f>LNG_global14[[#This Row],[Distance '[miles']]]*1.60934449789256</f>
        <v>7092.3812022125121</v>
      </c>
      <c r="H239" s="16"/>
      <c r="I239" t="s">
        <v>309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0AD5-EC75-42AE-8141-9B506E463609}">
  <dimension ref="A1:M215"/>
  <sheetViews>
    <sheetView workbookViewId="0">
      <selection activeCell="M212" sqref="M212"/>
    </sheetView>
  </sheetViews>
  <sheetFormatPr defaultRowHeight="14.5"/>
  <cols>
    <col min="3" max="3" width="21.81640625" customWidth="1"/>
    <col min="4" max="4" width="9" customWidth="1"/>
    <col min="6" max="6" width="16.453125" customWidth="1"/>
    <col min="7" max="7" width="15.54296875" customWidth="1"/>
  </cols>
  <sheetData>
    <row r="1" spans="1:13">
      <c r="A1" s="9" t="s">
        <v>92</v>
      </c>
      <c r="B1" s="9" t="s">
        <v>93</v>
      </c>
      <c r="C1" s="9" t="s">
        <v>180</v>
      </c>
      <c r="D1" s="9" t="s">
        <v>105</v>
      </c>
      <c r="E1" s="9" t="s">
        <v>106</v>
      </c>
      <c r="F1" s="9" t="s">
        <v>198</v>
      </c>
      <c r="G1" s="9" t="s">
        <v>197</v>
      </c>
      <c r="H1" s="9" t="s">
        <v>211</v>
      </c>
      <c r="I1" s="9" t="s">
        <v>142</v>
      </c>
      <c r="M1" t="s">
        <v>199</v>
      </c>
    </row>
    <row r="2" spans="1:13">
      <c r="A2" t="s">
        <v>179</v>
      </c>
      <c r="B2" t="s">
        <v>186</v>
      </c>
      <c r="E2">
        <f t="shared" ref="E2:E29" si="0">D2/1000</f>
        <v>0</v>
      </c>
      <c r="F2">
        <v>5323</v>
      </c>
      <c r="G2">
        <f>LNG_global1423[[#This Row],[Distance '[miles']]]*1.60934449789256</f>
        <v>8566.5407622820967</v>
      </c>
      <c r="I2" t="s">
        <v>238</v>
      </c>
      <c r="M2" t="s">
        <v>234</v>
      </c>
    </row>
    <row r="3" spans="1:13">
      <c r="A3" t="s">
        <v>179</v>
      </c>
      <c r="B3" t="s">
        <v>184</v>
      </c>
      <c r="E3">
        <f t="shared" si="0"/>
        <v>0</v>
      </c>
      <c r="F3">
        <v>6194</v>
      </c>
      <c r="G3">
        <f>LNG_global1423[[#This Row],[Distance '[miles']]]*1.60934449789256</f>
        <v>9968.279819946516</v>
      </c>
      <c r="I3" t="s">
        <v>239</v>
      </c>
      <c r="M3" t="s">
        <v>235</v>
      </c>
    </row>
    <row r="4" spans="1:13">
      <c r="A4" t="s">
        <v>179</v>
      </c>
      <c r="B4" t="s">
        <v>187</v>
      </c>
      <c r="E4">
        <f t="shared" si="0"/>
        <v>0</v>
      </c>
      <c r="F4">
        <v>10339</v>
      </c>
      <c r="G4">
        <f>LNG_global1423[[#This Row],[Distance '[miles']]]*1.60934449789256</f>
        <v>16639.012763711176</v>
      </c>
      <c r="H4" t="s">
        <v>240</v>
      </c>
      <c r="I4" t="s">
        <v>274</v>
      </c>
      <c r="M4" t="s">
        <v>245</v>
      </c>
    </row>
    <row r="5" spans="1:13">
      <c r="A5" t="s">
        <v>179</v>
      </c>
      <c r="B5" t="s">
        <v>188</v>
      </c>
      <c r="E5">
        <f t="shared" si="0"/>
        <v>0</v>
      </c>
      <c r="F5">
        <v>9266</v>
      </c>
      <c r="G5">
        <f>LNG_global1423[[#This Row],[Distance '[miles']]]*1.60934449789256</f>
        <v>14912.18611747246</v>
      </c>
      <c r="H5" t="s">
        <v>240</v>
      </c>
      <c r="I5" t="s">
        <v>242</v>
      </c>
      <c r="M5" t="s">
        <v>246</v>
      </c>
    </row>
    <row r="6" spans="1:13">
      <c r="A6" t="s">
        <v>179</v>
      </c>
      <c r="B6" t="s">
        <v>189</v>
      </c>
      <c r="E6">
        <f t="shared" si="0"/>
        <v>0</v>
      </c>
      <c r="F6">
        <v>9568</v>
      </c>
      <c r="G6">
        <f>LNG_global1423[[#This Row],[Distance '[miles']]]*1.60934449789256</f>
        <v>15398.208155836013</v>
      </c>
      <c r="H6" t="s">
        <v>212</v>
      </c>
      <c r="I6" t="s">
        <v>243</v>
      </c>
      <c r="M6" t="s">
        <v>281</v>
      </c>
    </row>
    <row r="7" spans="1:13">
      <c r="A7" t="s">
        <v>179</v>
      </c>
      <c r="B7" t="s">
        <v>190</v>
      </c>
      <c r="E7">
        <f t="shared" si="0"/>
        <v>0</v>
      </c>
      <c r="F7">
        <v>12151</v>
      </c>
      <c r="G7">
        <f>LNG_global1423[[#This Row],[Distance '[miles']]]*1.60934449789256</f>
        <v>19555.144993892496</v>
      </c>
      <c r="H7" t="s">
        <v>240</v>
      </c>
      <c r="I7" t="s">
        <v>244</v>
      </c>
      <c r="M7" t="s">
        <v>248</v>
      </c>
    </row>
    <row r="8" spans="1:13">
      <c r="A8" t="s">
        <v>179</v>
      </c>
      <c r="B8" t="s">
        <v>191</v>
      </c>
      <c r="E8">
        <f t="shared" si="0"/>
        <v>0</v>
      </c>
      <c r="F8">
        <v>6850</v>
      </c>
      <c r="G8">
        <f>LNG_global1423[[#This Row],[Distance '[miles']]]*1.60934449789256</f>
        <v>11024.009810564035</v>
      </c>
      <c r="H8" t="s">
        <v>212</v>
      </c>
      <c r="I8" t="s">
        <v>277</v>
      </c>
      <c r="M8" t="s">
        <v>283</v>
      </c>
    </row>
    <row r="9" spans="1:13">
      <c r="A9" t="s">
        <v>181</v>
      </c>
      <c r="B9" t="s">
        <v>186</v>
      </c>
      <c r="E9">
        <f t="shared" si="0"/>
        <v>0</v>
      </c>
      <c r="F9">
        <v>3136</v>
      </c>
      <c r="G9">
        <f>LNG_global1423[[#This Row],[Distance '[miles']]]*1.60934449789256</f>
        <v>5046.9043453910681</v>
      </c>
      <c r="I9" t="s">
        <v>238</v>
      </c>
      <c r="M9" t="s">
        <v>250</v>
      </c>
    </row>
    <row r="10" spans="1:13">
      <c r="A10" t="s">
        <v>181</v>
      </c>
      <c r="B10" t="s">
        <v>184</v>
      </c>
      <c r="E10">
        <f t="shared" si="0"/>
        <v>0</v>
      </c>
      <c r="F10">
        <v>4174</v>
      </c>
      <c r="G10">
        <f>LNG_global1423[[#This Row],[Distance '[miles']]]*1.60934449789256</f>
        <v>6717.4039342035448</v>
      </c>
      <c r="I10" t="s">
        <v>239</v>
      </c>
      <c r="M10" t="s">
        <v>287</v>
      </c>
    </row>
    <row r="11" spans="1:13">
      <c r="A11" t="s">
        <v>181</v>
      </c>
      <c r="B11" t="s">
        <v>187</v>
      </c>
      <c r="E11">
        <f t="shared" si="0"/>
        <v>0</v>
      </c>
      <c r="F11">
        <v>9750</v>
      </c>
      <c r="G11">
        <f>LNG_global1423[[#This Row],[Distance '[miles']]]*1.60934449789256</f>
        <v>15691.108854452459</v>
      </c>
      <c r="H11" t="s">
        <v>240</v>
      </c>
      <c r="I11" t="s">
        <v>284</v>
      </c>
    </row>
    <row r="12" spans="1:13">
      <c r="A12" t="s">
        <v>181</v>
      </c>
      <c r="B12" t="s">
        <v>188</v>
      </c>
      <c r="E12">
        <f t="shared" si="0"/>
        <v>0</v>
      </c>
      <c r="F12">
        <v>8878</v>
      </c>
      <c r="G12">
        <f>LNG_global1423[[#This Row],[Distance '[miles']]]*1.60934449789256</f>
        <v>14287.760452290147</v>
      </c>
      <c r="H12" t="s">
        <v>240</v>
      </c>
      <c r="I12" t="s">
        <v>242</v>
      </c>
    </row>
    <row r="13" spans="1:13">
      <c r="A13" t="s">
        <v>181</v>
      </c>
      <c r="B13" t="s">
        <v>189</v>
      </c>
      <c r="E13">
        <f t="shared" si="0"/>
        <v>0</v>
      </c>
      <c r="F13">
        <v>8211</v>
      </c>
      <c r="G13">
        <f>LNG_global1423[[#This Row],[Distance '[miles']]]*1.60934449789256</f>
        <v>13214.32767219581</v>
      </c>
      <c r="H13" t="s">
        <v>212</v>
      </c>
      <c r="I13" t="s">
        <v>243</v>
      </c>
    </row>
    <row r="14" spans="1:13">
      <c r="A14" t="s">
        <v>181</v>
      </c>
      <c r="B14" t="s">
        <v>190</v>
      </c>
      <c r="E14">
        <f t="shared" si="0"/>
        <v>0</v>
      </c>
      <c r="F14">
        <v>11169</v>
      </c>
      <c r="G14">
        <f>LNG_global1423[[#This Row],[Distance '[miles']]]*1.60934449789256</f>
        <v>17974.768696962001</v>
      </c>
      <c r="H14" t="s">
        <v>212</v>
      </c>
      <c r="I14" t="s">
        <v>244</v>
      </c>
    </row>
    <row r="15" spans="1:13">
      <c r="A15" t="s">
        <v>181</v>
      </c>
      <c r="B15" t="s">
        <v>191</v>
      </c>
      <c r="E15">
        <f t="shared" si="0"/>
        <v>0</v>
      </c>
      <c r="F15">
        <v>5493</v>
      </c>
      <c r="G15">
        <f>LNG_global1423[[#This Row],[Distance '[miles']]]*1.60934449789256</f>
        <v>8840.1293269238322</v>
      </c>
      <c r="H15" t="s">
        <v>212</v>
      </c>
      <c r="I15" t="s">
        <v>277</v>
      </c>
    </row>
    <row r="16" spans="1:13">
      <c r="A16" t="s">
        <v>182</v>
      </c>
      <c r="B16" t="s">
        <v>186</v>
      </c>
      <c r="E16">
        <f t="shared" si="0"/>
        <v>0</v>
      </c>
      <c r="F16">
        <v>8091</v>
      </c>
      <c r="G16">
        <f>LNG_global1423[[#This Row],[Distance '[miles']]]*1.60934449789256</f>
        <v>13021.206332448703</v>
      </c>
      <c r="I16" t="s">
        <v>238</v>
      </c>
    </row>
    <row r="17" spans="1:9">
      <c r="A17" t="s">
        <v>182</v>
      </c>
      <c r="B17" t="s">
        <v>184</v>
      </c>
      <c r="E17">
        <f t="shared" si="0"/>
        <v>0</v>
      </c>
      <c r="F17">
        <v>7282</v>
      </c>
      <c r="G17">
        <f>LNG_global1423[[#This Row],[Distance '[miles']]]*1.60934449789256</f>
        <v>11719.246633653622</v>
      </c>
      <c r="I17" t="s">
        <v>239</v>
      </c>
    </row>
    <row r="18" spans="1:9">
      <c r="A18" t="s">
        <v>182</v>
      </c>
      <c r="B18" t="s">
        <v>187</v>
      </c>
      <c r="E18">
        <f t="shared" si="0"/>
        <v>0</v>
      </c>
      <c r="F18">
        <v>5001</v>
      </c>
      <c r="G18">
        <f>LNG_global1423[[#This Row],[Distance '[miles']]]*1.60934449789256</f>
        <v>8048.3318339606922</v>
      </c>
      <c r="I18" t="s">
        <v>241</v>
      </c>
    </row>
    <row r="19" spans="1:9">
      <c r="A19" t="s">
        <v>182</v>
      </c>
      <c r="B19" t="s">
        <v>188</v>
      </c>
      <c r="E19">
        <f t="shared" si="0"/>
        <v>0</v>
      </c>
      <c r="F19">
        <v>6445</v>
      </c>
      <c r="G19">
        <f>LNG_global1423[[#This Row],[Distance '[miles']]]*1.60934449789256</f>
        <v>10372.225288917549</v>
      </c>
      <c r="I19" t="s">
        <v>242</v>
      </c>
    </row>
    <row r="20" spans="1:9">
      <c r="A20" t="s">
        <v>182</v>
      </c>
      <c r="B20" t="s">
        <v>189</v>
      </c>
      <c r="E20">
        <f t="shared" si="0"/>
        <v>0</v>
      </c>
      <c r="F20">
        <v>951</v>
      </c>
      <c r="G20">
        <f>LNG_global1423[[#This Row],[Distance '[miles']]]*1.60934449789256</f>
        <v>1530.4866174958245</v>
      </c>
      <c r="I20" t="s">
        <v>243</v>
      </c>
    </row>
    <row r="21" spans="1:9">
      <c r="A21" t="s">
        <v>182</v>
      </c>
      <c r="B21" t="s">
        <v>190</v>
      </c>
      <c r="E21">
        <f t="shared" si="0"/>
        <v>0</v>
      </c>
      <c r="F21">
        <v>4372</v>
      </c>
      <c r="G21">
        <f>LNG_global1423[[#This Row],[Distance '[miles']]]*1.60934449789256</f>
        <v>7036.0541447862724</v>
      </c>
      <c r="I21" t="s">
        <v>244</v>
      </c>
    </row>
    <row r="22" spans="1:9">
      <c r="A22" t="s">
        <v>182</v>
      </c>
      <c r="B22" t="s">
        <v>191</v>
      </c>
      <c r="E22">
        <f t="shared" si="0"/>
        <v>0</v>
      </c>
      <c r="F22">
        <v>2915</v>
      </c>
      <c r="G22">
        <f>LNG_global1423[[#This Row],[Distance '[miles']]]*1.60934449789256</f>
        <v>4691.2392113568121</v>
      </c>
      <c r="I22" t="s">
        <v>212</v>
      </c>
    </row>
    <row r="23" spans="1:9">
      <c r="A23" t="s">
        <v>183</v>
      </c>
      <c r="B23" t="s">
        <v>186</v>
      </c>
      <c r="E23">
        <f t="shared" si="0"/>
        <v>0</v>
      </c>
      <c r="F23">
        <v>8158</v>
      </c>
      <c r="G23">
        <f>LNG_global1423[[#This Row],[Distance '[miles']]]*1.60934449789256</f>
        <v>13129.032413807505</v>
      </c>
      <c r="I23" t="s">
        <v>238</v>
      </c>
    </row>
    <row r="24" spans="1:9">
      <c r="A24" t="s">
        <v>183</v>
      </c>
      <c r="B24" t="s">
        <v>184</v>
      </c>
      <c r="E24">
        <f t="shared" si="0"/>
        <v>0</v>
      </c>
      <c r="F24">
        <v>7349</v>
      </c>
      <c r="G24">
        <f>LNG_global1423[[#This Row],[Distance '[miles']]]*1.60934449789256</f>
        <v>11827.072715012424</v>
      </c>
      <c r="I24" t="s">
        <v>239</v>
      </c>
    </row>
    <row r="25" spans="1:9">
      <c r="A25" t="s">
        <v>183</v>
      </c>
      <c r="B25" t="s">
        <v>187</v>
      </c>
      <c r="E25">
        <f t="shared" si="0"/>
        <v>0</v>
      </c>
      <c r="F25">
        <v>5845</v>
      </c>
      <c r="G25">
        <f>LNG_global1423[[#This Row],[Distance '[miles']]]*1.60934449789256</f>
        <v>9406.6185901820136</v>
      </c>
      <c r="I25" t="s">
        <v>241</v>
      </c>
    </row>
    <row r="26" spans="1:9">
      <c r="A26" t="s">
        <v>183</v>
      </c>
      <c r="B26" t="s">
        <v>188</v>
      </c>
      <c r="E26">
        <f t="shared" si="0"/>
        <v>0</v>
      </c>
      <c r="F26">
        <v>6512</v>
      </c>
      <c r="G26">
        <f>LNG_global1423[[#This Row],[Distance '[miles']]]*1.60934449789256</f>
        <v>10480.051370276351</v>
      </c>
      <c r="I26" t="s">
        <v>242</v>
      </c>
    </row>
    <row r="27" spans="1:9">
      <c r="A27" t="s">
        <v>183</v>
      </c>
      <c r="B27" t="s">
        <v>189</v>
      </c>
      <c r="E27">
        <f t="shared" si="0"/>
        <v>0</v>
      </c>
      <c r="F27">
        <v>1018</v>
      </c>
      <c r="G27">
        <f>LNG_global1423[[#This Row],[Distance '[miles']]]*1.60934449789256</f>
        <v>1638.312698854626</v>
      </c>
      <c r="I27" t="s">
        <v>243</v>
      </c>
    </row>
    <row r="28" spans="1:9">
      <c r="A28" t="s">
        <v>183</v>
      </c>
      <c r="B28" t="s">
        <v>190</v>
      </c>
      <c r="E28">
        <f t="shared" si="0"/>
        <v>0</v>
      </c>
      <c r="F28">
        <v>4439</v>
      </c>
      <c r="G28">
        <f>LNG_global1423[[#This Row],[Distance '[miles']]]*1.60934449789256</f>
        <v>7143.8802261450737</v>
      </c>
      <c r="I28" t="s">
        <v>244</v>
      </c>
    </row>
    <row r="29" spans="1:9">
      <c r="A29" t="s">
        <v>183</v>
      </c>
      <c r="B29" t="s">
        <v>191</v>
      </c>
      <c r="E29">
        <f t="shared" si="0"/>
        <v>0</v>
      </c>
      <c r="F29">
        <v>2906</v>
      </c>
      <c r="G29">
        <f>LNG_global1423[[#This Row],[Distance '[miles']]]*1.60934449789256</f>
        <v>4676.7551108757789</v>
      </c>
      <c r="I29" t="s">
        <v>212</v>
      </c>
    </row>
    <row r="30" spans="1:9">
      <c r="A30" t="s">
        <v>184</v>
      </c>
      <c r="B30" t="s">
        <v>186</v>
      </c>
      <c r="E30">
        <f>D30/1000</f>
        <v>0</v>
      </c>
      <c r="F30">
        <v>3392</v>
      </c>
      <c r="G30">
        <f>LNG_global1423[[#This Row],[Distance '[miles']]]*1.60934449789256</f>
        <v>5458.8965368515637</v>
      </c>
      <c r="I30" t="s">
        <v>238</v>
      </c>
    </row>
    <row r="31" spans="1:9">
      <c r="A31" t="s">
        <v>184</v>
      </c>
      <c r="B31" t="s">
        <v>187</v>
      </c>
      <c r="E31">
        <f t="shared" ref="E31:E35" si="1">D31/1000</f>
        <v>0</v>
      </c>
      <c r="F31">
        <v>9306</v>
      </c>
      <c r="G31">
        <f>LNG_global1423[[#This Row],[Distance '[miles']]]*1.60934449789256</f>
        <v>14976.559897388162</v>
      </c>
      <c r="I31" t="s">
        <v>241</v>
      </c>
    </row>
    <row r="32" spans="1:9">
      <c r="A32" t="s">
        <v>184</v>
      </c>
      <c r="B32" t="s">
        <v>188</v>
      </c>
      <c r="E32">
        <f t="shared" si="1"/>
        <v>0</v>
      </c>
      <c r="F32">
        <v>10752</v>
      </c>
      <c r="G32">
        <f>LNG_global1423[[#This Row],[Distance '[miles']]]*1.60934449789256</f>
        <v>17303.672041340804</v>
      </c>
      <c r="I32" t="s">
        <v>242</v>
      </c>
    </row>
    <row r="33" spans="1:9">
      <c r="A33" t="s">
        <v>184</v>
      </c>
      <c r="B33" t="s">
        <v>189</v>
      </c>
      <c r="E33">
        <f t="shared" si="1"/>
        <v>0</v>
      </c>
      <c r="F33">
        <v>7030</v>
      </c>
      <c r="G33">
        <f>LNG_global1423[[#This Row],[Distance '[miles']]]*1.60934449789256</f>
        <v>11313.691820184697</v>
      </c>
      <c r="I33" t="s">
        <v>243</v>
      </c>
    </row>
    <row r="34" spans="1:9">
      <c r="A34" t="s">
        <v>184</v>
      </c>
      <c r="B34" t="s">
        <v>190</v>
      </c>
      <c r="E34">
        <f t="shared" si="1"/>
        <v>0</v>
      </c>
      <c r="F34">
        <v>8808</v>
      </c>
      <c r="G34">
        <f>LNG_global1423[[#This Row],[Distance '[miles']]]*1.60934449789256</f>
        <v>14175.106337437668</v>
      </c>
      <c r="I34" t="s">
        <v>244</v>
      </c>
    </row>
    <row r="35" spans="1:9">
      <c r="A35" t="s">
        <v>184</v>
      </c>
      <c r="B35" t="s">
        <v>191</v>
      </c>
      <c r="E35">
        <f t="shared" si="1"/>
        <v>0</v>
      </c>
      <c r="F35">
        <v>5391</v>
      </c>
      <c r="G35">
        <f>LNG_global1423[[#This Row],[Distance '[miles']]]*1.60934449789256</f>
        <v>8675.9761881387913</v>
      </c>
      <c r="H35" t="s">
        <v>212</v>
      </c>
      <c r="I35" t="s">
        <v>277</v>
      </c>
    </row>
    <row r="36" spans="1:9">
      <c r="A36" t="s">
        <v>185</v>
      </c>
      <c r="B36" t="s">
        <v>186</v>
      </c>
      <c r="E36">
        <f>D36/1000</f>
        <v>0</v>
      </c>
      <c r="F36">
        <v>8575</v>
      </c>
      <c r="G36">
        <f>LNG_global1423[[#This Row],[Distance '[miles']]]*1.60934449789256</f>
        <v>13800.129069428702</v>
      </c>
      <c r="I36" t="s">
        <v>249</v>
      </c>
    </row>
    <row r="37" spans="1:9">
      <c r="A37" t="s">
        <v>185</v>
      </c>
      <c r="B37" t="s">
        <v>184</v>
      </c>
      <c r="E37">
        <f t="shared" ref="E37:E42" si="2">D37/1000</f>
        <v>0</v>
      </c>
      <c r="F37">
        <v>8554</v>
      </c>
      <c r="G37">
        <f>LNG_global1423[[#This Row],[Distance '[miles']]]*1.60934449789256</f>
        <v>13766.332834972958</v>
      </c>
      <c r="I37" t="s">
        <v>239</v>
      </c>
    </row>
    <row r="38" spans="1:9">
      <c r="A38" t="s">
        <v>185</v>
      </c>
      <c r="B38" t="s">
        <v>187</v>
      </c>
      <c r="E38">
        <f t="shared" si="2"/>
        <v>0</v>
      </c>
      <c r="F38">
        <v>2353</v>
      </c>
      <c r="G38">
        <f>LNG_global1423[[#This Row],[Distance '[miles']]]*1.60934449789256</f>
        <v>3786.7876035411937</v>
      </c>
      <c r="I38" t="s">
        <v>276</v>
      </c>
    </row>
    <row r="39" spans="1:9">
      <c r="A39" t="s">
        <v>185</v>
      </c>
      <c r="B39" t="s">
        <v>188</v>
      </c>
      <c r="E39">
        <f t="shared" si="2"/>
        <v>0</v>
      </c>
      <c r="F39">
        <v>3033</v>
      </c>
      <c r="G39">
        <f>LNG_global1423[[#This Row],[Distance '[miles']]]*1.60934449789256</f>
        <v>4881.1418621081348</v>
      </c>
      <c r="I39" t="s">
        <v>242</v>
      </c>
    </row>
    <row r="40" spans="1:9">
      <c r="A40" t="s">
        <v>185</v>
      </c>
      <c r="B40" t="s">
        <v>189</v>
      </c>
      <c r="E40">
        <f t="shared" si="2"/>
        <v>0</v>
      </c>
      <c r="F40">
        <v>4477</v>
      </c>
      <c r="G40">
        <f>LNG_global1423[[#This Row],[Distance '[miles']]]*1.60934449789256</f>
        <v>7205.0353170649905</v>
      </c>
      <c r="I40" t="s">
        <v>243</v>
      </c>
    </row>
    <row r="41" spans="1:9">
      <c r="A41" t="s">
        <v>185</v>
      </c>
      <c r="B41" t="s">
        <v>190</v>
      </c>
      <c r="E41">
        <f t="shared" si="2"/>
        <v>0</v>
      </c>
      <c r="F41">
        <v>2612</v>
      </c>
      <c r="G41">
        <f>LNG_global1423[[#This Row],[Distance '[miles']]]*1.60934449789256</f>
        <v>4203.6078284953664</v>
      </c>
      <c r="I41" t="s">
        <v>244</v>
      </c>
    </row>
    <row r="42" spans="1:9">
      <c r="A42" t="s">
        <v>185</v>
      </c>
      <c r="B42" t="s">
        <v>191</v>
      </c>
      <c r="E42">
        <f t="shared" si="2"/>
        <v>0</v>
      </c>
      <c r="F42">
        <v>6579</v>
      </c>
      <c r="G42">
        <f>LNG_global1423[[#This Row],[Distance '[miles']]]*1.60934449789256</f>
        <v>10587.877451635151</v>
      </c>
      <c r="I42" t="s">
        <v>277</v>
      </c>
    </row>
    <row r="43" spans="1:9">
      <c r="A43" t="s">
        <v>193</v>
      </c>
      <c r="B43" t="s">
        <v>186</v>
      </c>
      <c r="E43">
        <f>D43/1000</f>
        <v>0</v>
      </c>
      <c r="F43">
        <v>7893</v>
      </c>
      <c r="G43">
        <f>LNG_global1423[[#This Row],[Distance '[miles']]]*1.60934449789256</f>
        <v>12702.556121865975</v>
      </c>
      <c r="I43" t="s">
        <v>238</v>
      </c>
    </row>
    <row r="44" spans="1:9">
      <c r="A44" t="s">
        <v>193</v>
      </c>
      <c r="B44" t="s">
        <v>184</v>
      </c>
      <c r="E44">
        <f t="shared" ref="E44:E49" si="3">D44/1000</f>
        <v>0</v>
      </c>
      <c r="F44">
        <v>7122</v>
      </c>
      <c r="G44">
        <f>LNG_global1423[[#This Row],[Distance '[miles']]]*1.60934449789256</f>
        <v>11461.751513990812</v>
      </c>
      <c r="I44" t="s">
        <v>239</v>
      </c>
    </row>
    <row r="45" spans="1:9">
      <c r="A45" t="s">
        <v>193</v>
      </c>
      <c r="B45" t="s">
        <v>187</v>
      </c>
      <c r="E45">
        <f t="shared" si="3"/>
        <v>0</v>
      </c>
      <c r="F45">
        <v>13259</v>
      </c>
      <c r="G45">
        <f>LNG_global1423[[#This Row],[Distance '[miles']]]*1.60934449789256</f>
        <v>21338.298697557453</v>
      </c>
      <c r="H45" t="s">
        <v>212</v>
      </c>
      <c r="I45" t="s">
        <v>284</v>
      </c>
    </row>
    <row r="46" spans="1:9">
      <c r="A46" t="s">
        <v>193</v>
      </c>
      <c r="B46" t="s">
        <v>188</v>
      </c>
      <c r="E46">
        <f t="shared" si="3"/>
        <v>0</v>
      </c>
      <c r="F46">
        <v>949</v>
      </c>
      <c r="G46">
        <f>LNG_global1423[[#This Row],[Distance '[miles']]]*1.60934449789256</f>
        <v>1527.2679285000395</v>
      </c>
      <c r="I46" t="s">
        <v>242</v>
      </c>
    </row>
    <row r="47" spans="1:9">
      <c r="A47" t="s">
        <v>193</v>
      </c>
      <c r="B47" t="s">
        <v>189</v>
      </c>
      <c r="E47">
        <f t="shared" si="3"/>
        <v>0</v>
      </c>
      <c r="F47">
        <v>8895</v>
      </c>
      <c r="G47">
        <f>LNG_global1423[[#This Row],[Distance '[miles']]]*1.60934449789256</f>
        <v>14315.119308754322</v>
      </c>
      <c r="H47" t="s">
        <v>212</v>
      </c>
      <c r="I47" t="s">
        <v>243</v>
      </c>
    </row>
    <row r="48" spans="1:9">
      <c r="A48" t="s">
        <v>193</v>
      </c>
      <c r="B48" t="s">
        <v>190</v>
      </c>
      <c r="E48">
        <f t="shared" si="3"/>
        <v>0</v>
      </c>
      <c r="F48">
        <v>11853</v>
      </c>
      <c r="G48">
        <f>LNG_global1423[[#This Row],[Distance '[miles']]]*1.60934449789256</f>
        <v>19075.560333520512</v>
      </c>
      <c r="H48" t="s">
        <v>212</v>
      </c>
      <c r="I48" t="s">
        <v>244</v>
      </c>
    </row>
    <row r="49" spans="1:9">
      <c r="A49" t="s">
        <v>193</v>
      </c>
      <c r="B49" t="s">
        <v>191</v>
      </c>
      <c r="E49">
        <f t="shared" si="3"/>
        <v>0</v>
      </c>
      <c r="F49">
        <v>6177</v>
      </c>
      <c r="G49">
        <f>LNG_global1423[[#This Row],[Distance '[miles']]]*1.60934449789256</f>
        <v>9940.9209634823437</v>
      </c>
      <c r="H49" t="s">
        <v>212</v>
      </c>
      <c r="I49" t="s">
        <v>277</v>
      </c>
    </row>
    <row r="50" spans="1:9">
      <c r="A50" t="s">
        <v>191</v>
      </c>
      <c r="B50" t="s">
        <v>186</v>
      </c>
      <c r="E50">
        <f>D50/1000</f>
        <v>0</v>
      </c>
      <c r="F50">
        <v>5988</v>
      </c>
      <c r="G50">
        <f>LNG_global1423[[#This Row],[Distance '[miles']]]*1.60934449789256</f>
        <v>9636.7548533806494</v>
      </c>
      <c r="I50" t="s">
        <v>238</v>
      </c>
    </row>
    <row r="51" spans="1:9">
      <c r="A51" t="s">
        <v>191</v>
      </c>
      <c r="B51" t="s">
        <v>184</v>
      </c>
      <c r="E51">
        <f t="shared" ref="E51:E62" si="4">D51/1000</f>
        <v>0</v>
      </c>
      <c r="F51">
        <v>5135</v>
      </c>
      <c r="G51">
        <f>LNG_global1423[[#This Row],[Distance '[miles']]]*1.60934449789256</f>
        <v>8263.9839966782947</v>
      </c>
      <c r="I51" t="s">
        <v>239</v>
      </c>
    </row>
    <row r="52" spans="1:9">
      <c r="A52" t="s">
        <v>191</v>
      </c>
      <c r="B52" t="s">
        <v>187</v>
      </c>
      <c r="E52">
        <f t="shared" si="4"/>
        <v>0</v>
      </c>
      <c r="F52">
        <v>7934</v>
      </c>
      <c r="G52">
        <f>LNG_global1423[[#This Row],[Distance '[miles']]]*1.60934449789256</f>
        <v>12768.53924627957</v>
      </c>
      <c r="H52" t="s">
        <v>212</v>
      </c>
      <c r="I52" t="s">
        <v>274</v>
      </c>
    </row>
    <row r="53" spans="1:9">
      <c r="A53" t="s">
        <v>191</v>
      </c>
      <c r="B53" t="s">
        <v>188</v>
      </c>
      <c r="E53">
        <f t="shared" si="4"/>
        <v>0</v>
      </c>
      <c r="F53">
        <v>8074</v>
      </c>
      <c r="G53">
        <f>LNG_global1423[[#This Row],[Distance '[miles']]]*1.60934449789256</f>
        <v>12993.847475984529</v>
      </c>
      <c r="H53" t="s">
        <v>212</v>
      </c>
      <c r="I53" t="s">
        <v>242</v>
      </c>
    </row>
    <row r="54" spans="1:9">
      <c r="A54" t="s">
        <v>191</v>
      </c>
      <c r="B54" t="s">
        <v>189</v>
      </c>
      <c r="E54">
        <f t="shared" si="4"/>
        <v>0</v>
      </c>
      <c r="F54">
        <v>3043</v>
      </c>
      <c r="G54">
        <f>LNG_global1423[[#This Row],[Distance '[miles']]]*1.60934449789256</f>
        <v>4897.2353070870604</v>
      </c>
      <c r="H54" t="s">
        <v>212</v>
      </c>
      <c r="I54" t="s">
        <v>243</v>
      </c>
    </row>
    <row r="55" spans="1:9">
      <c r="A55" t="s">
        <v>191</v>
      </c>
      <c r="B55" t="s">
        <v>190</v>
      </c>
      <c r="E55">
        <f t="shared" si="4"/>
        <v>0</v>
      </c>
      <c r="F55">
        <v>6001</v>
      </c>
      <c r="G55">
        <f>LNG_global1423[[#This Row],[Distance '[miles']]]*1.60934449789256</f>
        <v>9657.6763318532521</v>
      </c>
      <c r="H55" t="s">
        <v>212</v>
      </c>
      <c r="I55" t="s">
        <v>244</v>
      </c>
    </row>
    <row r="56" spans="1:9">
      <c r="A56" t="s">
        <v>194</v>
      </c>
      <c r="B56" t="s">
        <v>186</v>
      </c>
      <c r="E56">
        <f t="shared" si="4"/>
        <v>0</v>
      </c>
      <c r="F56">
        <v>9163</v>
      </c>
      <c r="G56">
        <f>LNG_global1423[[#This Row],[Distance '[miles']]]*1.60934449789256</f>
        <v>14746.423634189527</v>
      </c>
      <c r="I56" t="s">
        <v>238</v>
      </c>
    </row>
    <row r="57" spans="1:9">
      <c r="A57" t="s">
        <v>194</v>
      </c>
      <c r="B57" t="s">
        <v>184</v>
      </c>
      <c r="E57">
        <f t="shared" si="4"/>
        <v>0</v>
      </c>
      <c r="F57">
        <v>8354</v>
      </c>
      <c r="G57">
        <f>LNG_global1423[[#This Row],[Distance '[miles']]]*1.60934449789256</f>
        <v>13444.463935394446</v>
      </c>
      <c r="I57" t="s">
        <v>239</v>
      </c>
    </row>
    <row r="58" spans="1:9">
      <c r="A58" t="s">
        <v>194</v>
      </c>
      <c r="B58" t="s">
        <v>187</v>
      </c>
      <c r="E58">
        <f t="shared" si="4"/>
        <v>0</v>
      </c>
      <c r="F58">
        <v>2186</v>
      </c>
      <c r="G58">
        <f>LNG_global1423[[#This Row],[Distance '[miles']]]*1.60934449789256</f>
        <v>3518.0270723931362</v>
      </c>
      <c r="I58" t="s">
        <v>284</v>
      </c>
    </row>
    <row r="59" spans="1:9">
      <c r="A59" t="s">
        <v>194</v>
      </c>
      <c r="B59" t="s">
        <v>188</v>
      </c>
      <c r="E59">
        <f t="shared" si="4"/>
        <v>0</v>
      </c>
      <c r="F59">
        <v>2657</v>
      </c>
      <c r="G59">
        <f>LNG_global1423[[#This Row],[Distance '[miles']]]*1.60934449789256</f>
        <v>4276.0283309005317</v>
      </c>
      <c r="I59" t="s">
        <v>242</v>
      </c>
    </row>
    <row r="60" spans="1:9">
      <c r="A60" t="s">
        <v>194</v>
      </c>
      <c r="B60" t="s">
        <v>189</v>
      </c>
      <c r="E60">
        <f t="shared" si="4"/>
        <v>0</v>
      </c>
      <c r="F60">
        <v>3760</v>
      </c>
      <c r="G60">
        <f>LNG_global1423[[#This Row],[Distance '[miles']]]*1.60934449789256</f>
        <v>6051.135312076025</v>
      </c>
      <c r="I60" t="s">
        <v>243</v>
      </c>
    </row>
    <row r="61" spans="1:9">
      <c r="A61" t="s">
        <v>194</v>
      </c>
      <c r="B61" t="s">
        <v>190</v>
      </c>
      <c r="E61">
        <f t="shared" si="4"/>
        <v>0</v>
      </c>
      <c r="F61">
        <v>1775</v>
      </c>
      <c r="G61">
        <f>LNG_global1423[[#This Row],[Distance '[miles']]]*1.60934449789256</f>
        <v>2856.586483759294</v>
      </c>
      <c r="I61" t="s">
        <v>244</v>
      </c>
    </row>
    <row r="62" spans="1:9">
      <c r="A62" t="s">
        <v>194</v>
      </c>
      <c r="B62" t="s">
        <v>191</v>
      </c>
      <c r="E62">
        <f t="shared" si="4"/>
        <v>0</v>
      </c>
      <c r="F62">
        <v>5866</v>
      </c>
      <c r="G62">
        <f>LNG_global1423[[#This Row],[Distance '[miles']]]*1.60934449789256</f>
        <v>9440.4148246377572</v>
      </c>
      <c r="I62" t="s">
        <v>277</v>
      </c>
    </row>
    <row r="63" spans="1:9">
      <c r="A63" t="s">
        <v>183</v>
      </c>
      <c r="B63" t="s">
        <v>200</v>
      </c>
      <c r="E63">
        <f>D63/1000</f>
        <v>0</v>
      </c>
      <c r="F63">
        <v>6277</v>
      </c>
      <c r="G63">
        <f>LNG_global1423[[#This Row],[Distance '[miles']]]*1.60934449789256</f>
        <v>10101.855413271598</v>
      </c>
      <c r="H63" t="s">
        <v>212</v>
      </c>
      <c r="I63" t="s">
        <v>233</v>
      </c>
    </row>
    <row r="64" spans="1:9">
      <c r="A64" t="s">
        <v>183</v>
      </c>
      <c r="B64" t="s">
        <v>201</v>
      </c>
      <c r="E64">
        <f t="shared" ref="E64:E79" si="5">D64/1000</f>
        <v>0</v>
      </c>
      <c r="F64">
        <v>4581</v>
      </c>
      <c r="G64">
        <f>LNG_global1423[[#This Row],[Distance '[miles']]]*1.60934449789256</f>
        <v>7372.4071448458171</v>
      </c>
      <c r="H64" t="s">
        <v>212</v>
      </c>
      <c r="I64" t="s">
        <v>213</v>
      </c>
    </row>
    <row r="65" spans="1:9">
      <c r="A65" t="s">
        <v>183</v>
      </c>
      <c r="B65" t="s">
        <v>267</v>
      </c>
      <c r="E65">
        <f t="shared" si="5"/>
        <v>0</v>
      </c>
      <c r="F65">
        <v>3668</v>
      </c>
      <c r="G65">
        <f>LNG_global1423[[#This Row],[Distance '[miles']]]*1.60934449789256</f>
        <v>5903.0756182699097</v>
      </c>
      <c r="H65" t="s">
        <v>212</v>
      </c>
      <c r="I65" t="s">
        <v>214</v>
      </c>
    </row>
    <row r="66" spans="1:9">
      <c r="A66" t="s">
        <v>183</v>
      </c>
      <c r="B66" t="s">
        <v>202</v>
      </c>
      <c r="E66">
        <f t="shared" si="5"/>
        <v>0</v>
      </c>
      <c r="F66">
        <v>4380</v>
      </c>
      <c r="G66">
        <f>LNG_global1423[[#This Row],[Distance '[miles']]]*1.60934449789256</f>
        <v>7048.9289007694124</v>
      </c>
      <c r="H66" t="s">
        <v>212</v>
      </c>
      <c r="I66" t="s">
        <v>286</v>
      </c>
    </row>
    <row r="67" spans="1:9">
      <c r="A67" t="s">
        <v>183</v>
      </c>
      <c r="B67" t="s">
        <v>203</v>
      </c>
      <c r="E67">
        <f t="shared" si="5"/>
        <v>0</v>
      </c>
      <c r="F67">
        <v>4327</v>
      </c>
      <c r="G67">
        <f>LNG_global1423[[#This Row],[Distance '[miles']]]*1.60934449789256</f>
        <v>6963.6336423811072</v>
      </c>
      <c r="H67" t="s">
        <v>212</v>
      </c>
      <c r="I67" t="s">
        <v>216</v>
      </c>
    </row>
    <row r="68" spans="1:9">
      <c r="A68" t="s">
        <v>183</v>
      </c>
      <c r="B68" t="s">
        <v>204</v>
      </c>
      <c r="E68">
        <f t="shared" si="5"/>
        <v>0</v>
      </c>
      <c r="F68">
        <v>7211</v>
      </c>
      <c r="G68">
        <f>LNG_global1423[[#This Row],[Distance '[miles']]]*1.60934449789256</f>
        <v>11604.98317430325</v>
      </c>
      <c r="H68" t="s">
        <v>212</v>
      </c>
      <c r="I68" t="s">
        <v>217</v>
      </c>
    </row>
    <row r="69" spans="1:9">
      <c r="A69" t="s">
        <v>183</v>
      </c>
      <c r="B69" t="s">
        <v>205</v>
      </c>
      <c r="E69">
        <f t="shared" si="5"/>
        <v>0</v>
      </c>
      <c r="F69">
        <v>6346</v>
      </c>
      <c r="G69">
        <f>LNG_global1423[[#This Row],[Distance '[miles']]]*1.60934449789256</f>
        <v>10212.900183626185</v>
      </c>
      <c r="H69" t="s">
        <v>212</v>
      </c>
      <c r="I69" t="s">
        <v>218</v>
      </c>
    </row>
    <row r="70" spans="1:9">
      <c r="A70" t="s">
        <v>183</v>
      </c>
      <c r="B70" t="s">
        <v>206</v>
      </c>
      <c r="E70">
        <f t="shared" si="5"/>
        <v>0</v>
      </c>
      <c r="F70">
        <v>7020</v>
      </c>
      <c r="G70">
        <f>LNG_global1423[[#This Row],[Distance '[miles']]]*1.60934449789256</f>
        <v>11297.598375205771</v>
      </c>
      <c r="H70" t="s">
        <v>212</v>
      </c>
      <c r="I70" t="s">
        <v>219</v>
      </c>
    </row>
    <row r="71" spans="1:9">
      <c r="A71" t="s">
        <v>183</v>
      </c>
      <c r="B71" t="s">
        <v>207</v>
      </c>
      <c r="E71">
        <f t="shared" si="5"/>
        <v>0</v>
      </c>
      <c r="F71">
        <v>5266</v>
      </c>
      <c r="G71">
        <f>LNG_global1423[[#This Row],[Distance '[miles']]]*1.60934449789256</f>
        <v>8474.8081259022201</v>
      </c>
      <c r="H71" t="s">
        <v>212</v>
      </c>
      <c r="I71" t="s">
        <v>220</v>
      </c>
    </row>
    <row r="72" spans="1:9">
      <c r="A72" t="s">
        <v>183</v>
      </c>
      <c r="B72" t="s">
        <v>208</v>
      </c>
      <c r="E72">
        <f t="shared" si="5"/>
        <v>0</v>
      </c>
      <c r="F72">
        <v>4657</v>
      </c>
      <c r="G72">
        <f>LNG_global1423[[#This Row],[Distance '[miles']]]*1.60934449789256</f>
        <v>7494.7173266856516</v>
      </c>
      <c r="H72" t="s">
        <v>212</v>
      </c>
      <c r="I72" t="s">
        <v>221</v>
      </c>
    </row>
    <row r="73" spans="1:9">
      <c r="A73" t="s">
        <v>183</v>
      </c>
      <c r="B73" t="s">
        <v>209</v>
      </c>
      <c r="E73">
        <f t="shared" si="5"/>
        <v>0</v>
      </c>
      <c r="F73">
        <v>3667</v>
      </c>
      <c r="G73">
        <f>LNG_global1423[[#This Row],[Distance '[miles']]]*1.60934449789256</f>
        <v>5901.4662737720173</v>
      </c>
      <c r="H73" t="s">
        <v>212</v>
      </c>
      <c r="I73" t="s">
        <v>222</v>
      </c>
    </row>
    <row r="74" spans="1:9">
      <c r="A74" t="s">
        <v>183</v>
      </c>
      <c r="B74" t="s">
        <v>210</v>
      </c>
      <c r="E74">
        <f t="shared" si="5"/>
        <v>0</v>
      </c>
      <c r="F74">
        <v>6091</v>
      </c>
      <c r="G74">
        <f>LNG_global1423[[#This Row],[Distance '[miles']]]*1.60934449789256</f>
        <v>9802.5173366635827</v>
      </c>
      <c r="H74" t="s">
        <v>212</v>
      </c>
      <c r="I74" t="s">
        <v>237</v>
      </c>
    </row>
    <row r="75" spans="1:9">
      <c r="A75" t="s">
        <v>183</v>
      </c>
      <c r="B75" t="s">
        <v>223</v>
      </c>
      <c r="E75">
        <f t="shared" si="5"/>
        <v>0</v>
      </c>
      <c r="F75">
        <v>7423</v>
      </c>
      <c r="G75">
        <f>LNG_global1423[[#This Row],[Distance '[miles']]]*1.60934449789256</f>
        <v>11946.164207856473</v>
      </c>
      <c r="H75" t="s">
        <v>212</v>
      </c>
      <c r="I75" t="s">
        <v>228</v>
      </c>
    </row>
    <row r="76" spans="1:9">
      <c r="A76" t="s">
        <v>183</v>
      </c>
      <c r="B76" t="s">
        <v>224</v>
      </c>
      <c r="E76">
        <f t="shared" si="5"/>
        <v>0</v>
      </c>
      <c r="F76">
        <v>7423</v>
      </c>
      <c r="G76">
        <f>LNG_global1423[[#This Row],[Distance '[miles']]]*1.60934449789256</f>
        <v>11946.164207856473</v>
      </c>
      <c r="H76" t="s">
        <v>212</v>
      </c>
      <c r="I76" t="s">
        <v>229</v>
      </c>
    </row>
    <row r="77" spans="1:9">
      <c r="A77" t="s">
        <v>183</v>
      </c>
      <c r="B77" t="s">
        <v>225</v>
      </c>
      <c r="E77">
        <f t="shared" si="5"/>
        <v>0</v>
      </c>
      <c r="F77">
        <v>6540</v>
      </c>
      <c r="G77">
        <f>LNG_global1423[[#This Row],[Distance '[miles']]]*1.60934449789256</f>
        <v>10525.113016217341</v>
      </c>
      <c r="H77" t="s">
        <v>212</v>
      </c>
      <c r="I77" t="s">
        <v>230</v>
      </c>
    </row>
    <row r="78" spans="1:9">
      <c r="A78" t="s">
        <v>183</v>
      </c>
      <c r="B78" t="s">
        <v>226</v>
      </c>
      <c r="E78">
        <f t="shared" si="5"/>
        <v>0</v>
      </c>
      <c r="F78">
        <v>6078</v>
      </c>
      <c r="G78">
        <f>LNG_global1423[[#This Row],[Distance '[miles']]]*1.60934449789256</f>
        <v>9781.5958581909799</v>
      </c>
      <c r="H78" t="s">
        <v>212</v>
      </c>
      <c r="I78" t="s">
        <v>231</v>
      </c>
    </row>
    <row r="79" spans="1:9">
      <c r="A79" t="s">
        <v>183</v>
      </c>
      <c r="B79" t="s">
        <v>227</v>
      </c>
      <c r="E79">
        <f t="shared" si="5"/>
        <v>0</v>
      </c>
      <c r="F79">
        <v>7363</v>
      </c>
      <c r="G79">
        <f>LNG_global1423[[#This Row],[Distance '[miles']]]*1.60934449789256</f>
        <v>11849.603537982919</v>
      </c>
      <c r="H79" t="s">
        <v>212</v>
      </c>
      <c r="I79" t="s">
        <v>232</v>
      </c>
    </row>
    <row r="80" spans="1:9">
      <c r="A80" t="s">
        <v>179</v>
      </c>
      <c r="B80" t="s">
        <v>200</v>
      </c>
      <c r="E80">
        <f>D80/1000</f>
        <v>0</v>
      </c>
      <c r="F80">
        <v>4986</v>
      </c>
      <c r="G80">
        <f>LNG_global1423[[#This Row],[Distance '[miles']]]*1.60934449789256</f>
        <v>8024.1916664923037</v>
      </c>
      <c r="I80" t="s">
        <v>233</v>
      </c>
    </row>
    <row r="81" spans="1:9">
      <c r="A81" t="s">
        <v>179</v>
      </c>
      <c r="B81" t="s">
        <v>201</v>
      </c>
      <c r="E81">
        <f t="shared" ref="E81:E96" si="6">D81/1000</f>
        <v>0</v>
      </c>
      <c r="F81">
        <v>4958</v>
      </c>
      <c r="G81">
        <f>LNG_global1423[[#This Row],[Distance '[miles']]]*1.60934449789256</f>
        <v>7979.1300205513126</v>
      </c>
      <c r="I81" t="s">
        <v>251</v>
      </c>
    </row>
    <row r="82" spans="1:9">
      <c r="A82" t="s">
        <v>179</v>
      </c>
      <c r="B82" t="s">
        <v>267</v>
      </c>
      <c r="E82">
        <f t="shared" si="6"/>
        <v>0</v>
      </c>
      <c r="F82">
        <v>6255</v>
      </c>
      <c r="G82">
        <f>LNG_global1423[[#This Row],[Distance '[miles']]]*1.60934449789256</f>
        <v>10066.449834317962</v>
      </c>
      <c r="I82" t="s">
        <v>214</v>
      </c>
    </row>
    <row r="83" spans="1:9">
      <c r="A83" t="s">
        <v>179</v>
      </c>
      <c r="B83" t="s">
        <v>202</v>
      </c>
      <c r="E83">
        <f t="shared" si="6"/>
        <v>0</v>
      </c>
      <c r="F83">
        <v>5631</v>
      </c>
      <c r="G83">
        <f>LNG_global1423[[#This Row],[Distance '[miles']]]*1.60934449789256</f>
        <v>9062.2188676330043</v>
      </c>
      <c r="I83" t="s">
        <v>275</v>
      </c>
    </row>
    <row r="84" spans="1:9">
      <c r="A84" t="s">
        <v>179</v>
      </c>
      <c r="B84" t="s">
        <v>203</v>
      </c>
      <c r="E84">
        <f t="shared" si="6"/>
        <v>0</v>
      </c>
      <c r="F84">
        <v>6380</v>
      </c>
      <c r="G84">
        <f>LNG_global1423[[#This Row],[Distance '[miles']]]*1.60934449789256</f>
        <v>10267.617896554533</v>
      </c>
      <c r="I84" t="s">
        <v>216</v>
      </c>
    </row>
    <row r="85" spans="1:9">
      <c r="A85" t="s">
        <v>179</v>
      </c>
      <c r="B85" t="s">
        <v>204</v>
      </c>
      <c r="E85">
        <f t="shared" si="6"/>
        <v>0</v>
      </c>
      <c r="F85">
        <v>5634</v>
      </c>
      <c r="G85">
        <f>LNG_global1423[[#This Row],[Distance '[miles']]]*1.60934449789256</f>
        <v>9067.0469011266832</v>
      </c>
      <c r="I85" t="s">
        <v>217</v>
      </c>
    </row>
    <row r="86" spans="1:9">
      <c r="A86" t="s">
        <v>179</v>
      </c>
      <c r="B86" t="s">
        <v>205</v>
      </c>
      <c r="E86">
        <f t="shared" si="6"/>
        <v>0</v>
      </c>
      <c r="F86">
        <v>5052</v>
      </c>
      <c r="G86">
        <f>LNG_global1423[[#This Row],[Distance '[miles']]]*1.60934449789256</f>
        <v>8130.4084033532126</v>
      </c>
      <c r="I86" t="s">
        <v>218</v>
      </c>
    </row>
    <row r="87" spans="1:9">
      <c r="A87" t="s">
        <v>179</v>
      </c>
      <c r="B87" t="s">
        <v>206</v>
      </c>
      <c r="E87">
        <f t="shared" si="6"/>
        <v>0</v>
      </c>
      <c r="F87">
        <v>5443</v>
      </c>
      <c r="G87">
        <f>LNG_global1423[[#This Row],[Distance '[miles']]]*1.60934449789256</f>
        <v>8759.6621020292041</v>
      </c>
      <c r="I87" t="s">
        <v>219</v>
      </c>
    </row>
    <row r="88" spans="1:9">
      <c r="A88" t="s">
        <v>179</v>
      </c>
      <c r="B88" t="s">
        <v>207</v>
      </c>
      <c r="E88">
        <f t="shared" si="6"/>
        <v>0</v>
      </c>
      <c r="F88">
        <v>4565</v>
      </c>
      <c r="G88">
        <f>LNG_global1423[[#This Row],[Distance '[miles']]]*1.60934449789256</f>
        <v>7346.6576328795363</v>
      </c>
      <c r="I88" t="s">
        <v>220</v>
      </c>
    </row>
    <row r="89" spans="1:9">
      <c r="A89" t="s">
        <v>179</v>
      </c>
      <c r="B89" t="s">
        <v>208</v>
      </c>
      <c r="E89">
        <f t="shared" si="6"/>
        <v>0</v>
      </c>
      <c r="F89">
        <v>4697</v>
      </c>
      <c r="G89">
        <f>LNG_global1423[[#This Row],[Distance '[miles']]]*1.60934449789256</f>
        <v>7559.0911066013541</v>
      </c>
      <c r="I89" t="s">
        <v>247</v>
      </c>
    </row>
    <row r="90" spans="1:9">
      <c r="A90" t="s">
        <v>179</v>
      </c>
      <c r="B90" t="s">
        <v>209</v>
      </c>
      <c r="E90">
        <f t="shared" si="6"/>
        <v>0</v>
      </c>
      <c r="F90">
        <v>6409</v>
      </c>
      <c r="G90">
        <f>LNG_global1423[[#This Row],[Distance '[miles']]]*1.60934449789256</f>
        <v>10314.288886993416</v>
      </c>
      <c r="I90" t="s">
        <v>222</v>
      </c>
    </row>
    <row r="91" spans="1:9">
      <c r="A91" t="s">
        <v>179</v>
      </c>
      <c r="B91" t="s">
        <v>210</v>
      </c>
      <c r="E91">
        <f t="shared" si="6"/>
        <v>0</v>
      </c>
      <c r="F91">
        <v>4666</v>
      </c>
      <c r="G91">
        <f>LNG_global1423[[#This Row],[Distance '[miles']]]*1.60934449789256</f>
        <v>7509.2014271666849</v>
      </c>
      <c r="I91" t="s">
        <v>237</v>
      </c>
    </row>
    <row r="92" spans="1:9">
      <c r="A92" t="s">
        <v>179</v>
      </c>
      <c r="B92" t="s">
        <v>223</v>
      </c>
      <c r="E92">
        <f t="shared" si="6"/>
        <v>0</v>
      </c>
      <c r="F92">
        <v>5846</v>
      </c>
      <c r="G92">
        <f>LNG_global1423[[#This Row],[Distance '[miles']]]*1.60934449789256</f>
        <v>9408.227934679906</v>
      </c>
      <c r="I92" t="s">
        <v>228</v>
      </c>
    </row>
    <row r="93" spans="1:9">
      <c r="A93" t="s">
        <v>179</v>
      </c>
      <c r="B93" t="s">
        <v>224</v>
      </c>
      <c r="E93">
        <f t="shared" si="6"/>
        <v>0</v>
      </c>
      <c r="F93">
        <v>5846</v>
      </c>
      <c r="G93">
        <f>LNG_global1423[[#This Row],[Distance '[miles']]]*1.60934449789256</f>
        <v>9408.227934679906</v>
      </c>
      <c r="I93" t="s">
        <v>229</v>
      </c>
    </row>
    <row r="94" spans="1:9">
      <c r="A94" t="s">
        <v>179</v>
      </c>
      <c r="B94" t="s">
        <v>225</v>
      </c>
      <c r="E94">
        <f t="shared" si="6"/>
        <v>0</v>
      </c>
      <c r="F94">
        <v>5215</v>
      </c>
      <c r="G94">
        <f>LNG_global1423[[#This Row],[Distance '[miles']]]*1.60934449789256</f>
        <v>8392.7315565096997</v>
      </c>
      <c r="I94" t="s">
        <v>230</v>
      </c>
    </row>
    <row r="95" spans="1:9">
      <c r="A95" t="s">
        <v>179</v>
      </c>
      <c r="B95" t="s">
        <v>226</v>
      </c>
      <c r="E95">
        <f t="shared" si="6"/>
        <v>0</v>
      </c>
      <c r="F95">
        <v>4564</v>
      </c>
      <c r="G95">
        <f>LNG_global1423[[#This Row],[Distance '[miles']]]*1.60934449789256</f>
        <v>7345.0482883816439</v>
      </c>
      <c r="I95" t="s">
        <v>231</v>
      </c>
    </row>
    <row r="96" spans="1:9">
      <c r="A96" t="s">
        <v>179</v>
      </c>
      <c r="B96" t="s">
        <v>227</v>
      </c>
      <c r="E96">
        <f t="shared" si="6"/>
        <v>0</v>
      </c>
      <c r="F96">
        <v>5786</v>
      </c>
      <c r="G96">
        <f>LNG_global1423[[#This Row],[Distance '[miles']]]*1.60934449789256</f>
        <v>9311.6672648063523</v>
      </c>
      <c r="I96" t="s">
        <v>232</v>
      </c>
    </row>
    <row r="97" spans="1:9">
      <c r="A97" t="s">
        <v>181</v>
      </c>
      <c r="B97" t="s">
        <v>200</v>
      </c>
      <c r="E97">
        <f>D97/1000</f>
        <v>0</v>
      </c>
      <c r="F97">
        <v>3985</v>
      </c>
      <c r="G97">
        <f>LNG_global1423[[#This Row],[Distance '[miles']]]*1.60934449789256</f>
        <v>6413.2378241018514</v>
      </c>
      <c r="I97" t="s">
        <v>233</v>
      </c>
    </row>
    <row r="98" spans="1:9">
      <c r="A98" t="s">
        <v>181</v>
      </c>
      <c r="B98" t="s">
        <v>201</v>
      </c>
      <c r="E98">
        <f t="shared" ref="E98:E113" si="7">D98/1000</f>
        <v>0</v>
      </c>
      <c r="F98">
        <v>3952</v>
      </c>
      <c r="G98">
        <f>LNG_global1423[[#This Row],[Distance '[miles']]]*1.60934449789256</f>
        <v>6360.1294556713965</v>
      </c>
      <c r="I98" t="s">
        <v>251</v>
      </c>
    </row>
    <row r="99" spans="1:9">
      <c r="A99" t="s">
        <v>181</v>
      </c>
      <c r="B99" t="s">
        <v>267</v>
      </c>
      <c r="E99">
        <f t="shared" si="7"/>
        <v>0</v>
      </c>
      <c r="F99">
        <v>4898</v>
      </c>
      <c r="G99">
        <f>LNG_global1423[[#This Row],[Distance '[miles']]]*1.60934449789256</f>
        <v>7882.5693506777588</v>
      </c>
      <c r="I99" t="s">
        <v>214</v>
      </c>
    </row>
    <row r="100" spans="1:9">
      <c r="A100" t="s">
        <v>181</v>
      </c>
      <c r="B100" t="s">
        <v>202</v>
      </c>
      <c r="E100">
        <f t="shared" si="7"/>
        <v>0</v>
      </c>
      <c r="F100">
        <v>5075</v>
      </c>
      <c r="G100">
        <f>LNG_global1423[[#This Row],[Distance '[miles']]]*1.60934449789256</f>
        <v>8167.4233268047419</v>
      </c>
      <c r="I100" t="s">
        <v>286</v>
      </c>
    </row>
    <row r="101" spans="1:9">
      <c r="A101" t="s">
        <v>181</v>
      </c>
      <c r="B101" t="s">
        <v>203</v>
      </c>
      <c r="E101">
        <f t="shared" si="7"/>
        <v>0</v>
      </c>
      <c r="F101">
        <v>5023</v>
      </c>
      <c r="G101">
        <f>LNG_global1423[[#This Row],[Distance '[miles']]]*1.60934449789256</f>
        <v>8083.7374129143291</v>
      </c>
      <c r="I101" t="s">
        <v>216</v>
      </c>
    </row>
    <row r="102" spans="1:9">
      <c r="A102" t="s">
        <v>181</v>
      </c>
      <c r="B102" t="s">
        <v>204</v>
      </c>
      <c r="E102">
        <f t="shared" si="7"/>
        <v>0</v>
      </c>
      <c r="F102">
        <v>4823</v>
      </c>
      <c r="G102">
        <f>LNG_global1423[[#This Row],[Distance '[miles']]]*1.60934449789256</f>
        <v>7761.8685133358167</v>
      </c>
      <c r="I102" t="s">
        <v>217</v>
      </c>
    </row>
    <row r="103" spans="1:9">
      <c r="A103" t="s">
        <v>181</v>
      </c>
      <c r="B103" t="s">
        <v>205</v>
      </c>
      <c r="E103">
        <f t="shared" si="7"/>
        <v>0</v>
      </c>
      <c r="F103">
        <v>4051</v>
      </c>
      <c r="G103">
        <f>LNG_global1423[[#This Row],[Distance '[miles']]]*1.60934449789256</f>
        <v>6519.4545609627603</v>
      </c>
      <c r="I103" t="s">
        <v>218</v>
      </c>
    </row>
    <row r="104" spans="1:9">
      <c r="A104" t="s">
        <v>181</v>
      </c>
      <c r="B104" t="s">
        <v>206</v>
      </c>
      <c r="E104">
        <f t="shared" si="7"/>
        <v>0</v>
      </c>
      <c r="F104">
        <v>4632</v>
      </c>
      <c r="G104">
        <f>LNG_global1423[[#This Row],[Distance '[miles']]]*1.60934449789256</f>
        <v>7454.4837142383376</v>
      </c>
      <c r="I104" t="s">
        <v>219</v>
      </c>
    </row>
    <row r="105" spans="1:9">
      <c r="A105" t="s">
        <v>181</v>
      </c>
      <c r="B105" t="s">
        <v>207</v>
      </c>
      <c r="E105">
        <f t="shared" si="7"/>
        <v>0</v>
      </c>
      <c r="F105">
        <v>3299</v>
      </c>
      <c r="G105">
        <f>LNG_global1423[[#This Row],[Distance '[miles']]]*1.60934449789256</f>
        <v>5309.2274985475551</v>
      </c>
      <c r="I105" t="s">
        <v>220</v>
      </c>
    </row>
    <row r="106" spans="1:9">
      <c r="A106" t="s">
        <v>181</v>
      </c>
      <c r="B106" t="s">
        <v>208</v>
      </c>
      <c r="E106">
        <f t="shared" si="7"/>
        <v>0</v>
      </c>
      <c r="F106">
        <v>3645</v>
      </c>
      <c r="G106">
        <f>LNG_global1423[[#This Row],[Distance '[miles']]]*1.60934449789256</f>
        <v>5866.0606948183813</v>
      </c>
      <c r="I106" t="s">
        <v>236</v>
      </c>
    </row>
    <row r="107" spans="1:9">
      <c r="A107" t="s">
        <v>181</v>
      </c>
      <c r="B107" t="s">
        <v>209</v>
      </c>
      <c r="E107">
        <f t="shared" si="7"/>
        <v>0</v>
      </c>
      <c r="F107">
        <v>5052</v>
      </c>
      <c r="G107">
        <f>LNG_global1423[[#This Row],[Distance '[miles']]]*1.60934449789256</f>
        <v>8130.4084033532126</v>
      </c>
      <c r="I107" t="s">
        <v>222</v>
      </c>
    </row>
    <row r="108" spans="1:9">
      <c r="A108" t="s">
        <v>181</v>
      </c>
      <c r="B108" t="s">
        <v>210</v>
      </c>
      <c r="E108">
        <f t="shared" si="7"/>
        <v>0</v>
      </c>
      <c r="F108">
        <v>3974</v>
      </c>
      <c r="G108">
        <f>LNG_global1423[[#This Row],[Distance '[miles']]]*1.60934449789256</f>
        <v>6395.5350346250334</v>
      </c>
      <c r="I108" t="s">
        <v>280</v>
      </c>
    </row>
    <row r="109" spans="1:9">
      <c r="A109" t="s">
        <v>181</v>
      </c>
      <c r="B109" t="s">
        <v>223</v>
      </c>
      <c r="E109">
        <f t="shared" si="7"/>
        <v>0</v>
      </c>
      <c r="F109">
        <v>5035</v>
      </c>
      <c r="G109">
        <f>LNG_global1423[[#This Row],[Distance '[miles']]]*1.60934449789256</f>
        <v>8103.0495468890394</v>
      </c>
      <c r="I109" t="s">
        <v>228</v>
      </c>
    </row>
    <row r="110" spans="1:9">
      <c r="A110" t="s">
        <v>181</v>
      </c>
      <c r="B110" t="s">
        <v>224</v>
      </c>
      <c r="E110">
        <f t="shared" si="7"/>
        <v>0</v>
      </c>
      <c r="F110">
        <v>5035</v>
      </c>
      <c r="G110">
        <f>LNG_global1423[[#This Row],[Distance '[miles']]]*1.60934449789256</f>
        <v>8103.0495468890394</v>
      </c>
      <c r="I110" t="s">
        <v>229</v>
      </c>
    </row>
    <row r="111" spans="1:9">
      <c r="A111" t="s">
        <v>181</v>
      </c>
      <c r="B111" t="s">
        <v>225</v>
      </c>
      <c r="E111">
        <f t="shared" si="7"/>
        <v>0</v>
      </c>
      <c r="F111">
        <v>4248</v>
      </c>
      <c r="G111">
        <f>LNG_global1423[[#This Row],[Distance '[miles']]]*1.60934449789256</f>
        <v>6836.4954270475946</v>
      </c>
      <c r="I111" t="s">
        <v>230</v>
      </c>
    </row>
    <row r="112" spans="1:9">
      <c r="A112" t="s">
        <v>181</v>
      </c>
      <c r="B112" t="s">
        <v>226</v>
      </c>
      <c r="E112">
        <f t="shared" si="7"/>
        <v>0</v>
      </c>
      <c r="F112">
        <v>3599</v>
      </c>
      <c r="G112">
        <f>LNG_global1423[[#This Row],[Distance '[miles']]]*1.60934449789256</f>
        <v>5792.0308479153236</v>
      </c>
      <c r="I112" t="s">
        <v>231</v>
      </c>
    </row>
    <row r="113" spans="1:9">
      <c r="A113" t="s">
        <v>181</v>
      </c>
      <c r="B113" t="s">
        <v>227</v>
      </c>
      <c r="E113">
        <f t="shared" si="7"/>
        <v>0</v>
      </c>
      <c r="F113">
        <v>4975</v>
      </c>
      <c r="G113">
        <f>LNG_global1423[[#This Row],[Distance '[miles']]]*1.60934449789256</f>
        <v>8006.4888770154857</v>
      </c>
      <c r="I113" t="s">
        <v>232</v>
      </c>
    </row>
    <row r="114" spans="1:9">
      <c r="A114" t="s">
        <v>182</v>
      </c>
      <c r="B114" t="s">
        <v>200</v>
      </c>
      <c r="E114">
        <f>D114/1000</f>
        <v>0</v>
      </c>
      <c r="F114">
        <v>6210</v>
      </c>
      <c r="G114">
        <f>LNG_global1423[[#This Row],[Distance '[miles']]]*1.60934449789256</f>
        <v>9994.0293319127977</v>
      </c>
      <c r="H114" t="s">
        <v>212</v>
      </c>
      <c r="I114" t="s">
        <v>233</v>
      </c>
    </row>
    <row r="115" spans="1:9">
      <c r="A115" t="s">
        <v>182</v>
      </c>
      <c r="B115" t="s">
        <v>201</v>
      </c>
      <c r="E115">
        <f t="shared" ref="E115:E147" si="8">D115/1000</f>
        <v>0</v>
      </c>
      <c r="F115">
        <v>6177</v>
      </c>
      <c r="G115">
        <f>LNG_global1423[[#This Row],[Distance '[miles']]]*1.60934449789256</f>
        <v>9940.9209634823437</v>
      </c>
      <c r="H115" t="s">
        <v>212</v>
      </c>
      <c r="I115" t="s">
        <v>251</v>
      </c>
    </row>
    <row r="116" spans="1:9">
      <c r="A116" t="s">
        <v>182</v>
      </c>
      <c r="B116" t="s">
        <v>267</v>
      </c>
      <c r="E116">
        <f t="shared" si="8"/>
        <v>0</v>
      </c>
      <c r="F116">
        <v>3601</v>
      </c>
      <c r="G116">
        <f>LNG_global1423[[#This Row],[Distance '[miles']]]*1.60934449789256</f>
        <v>5795.2495369111084</v>
      </c>
      <c r="H116" t="s">
        <v>212</v>
      </c>
      <c r="I116" t="s">
        <v>214</v>
      </c>
    </row>
    <row r="117" spans="1:9">
      <c r="A117" t="s">
        <v>182</v>
      </c>
      <c r="B117" t="s">
        <v>202</v>
      </c>
      <c r="E117">
        <f t="shared" si="8"/>
        <v>0</v>
      </c>
      <c r="F117">
        <v>4385</v>
      </c>
      <c r="G117">
        <f>LNG_global1423[[#This Row],[Distance '[miles']]]*1.60934449789256</f>
        <v>7056.9756232588752</v>
      </c>
      <c r="H117" t="s">
        <v>212</v>
      </c>
      <c r="I117" t="s">
        <v>215</v>
      </c>
    </row>
    <row r="118" spans="1:9">
      <c r="A118" t="s">
        <v>182</v>
      </c>
      <c r="B118" t="s">
        <v>203</v>
      </c>
      <c r="E118">
        <f t="shared" si="8"/>
        <v>0</v>
      </c>
      <c r="F118">
        <v>4260</v>
      </c>
      <c r="G118">
        <f>LNG_global1423[[#This Row],[Distance '[miles']]]*1.60934449789256</f>
        <v>6855.807561022305</v>
      </c>
      <c r="H118" t="s">
        <v>212</v>
      </c>
      <c r="I118" t="s">
        <v>216</v>
      </c>
    </row>
    <row r="119" spans="1:9">
      <c r="A119" t="s">
        <v>182</v>
      </c>
      <c r="B119" t="s">
        <v>204</v>
      </c>
      <c r="E119">
        <f t="shared" si="8"/>
        <v>0</v>
      </c>
      <c r="F119">
        <v>7144</v>
      </c>
      <c r="G119">
        <f>LNG_global1423[[#This Row],[Distance '[miles']]]*1.60934449789256</f>
        <v>11497.157092944448</v>
      </c>
      <c r="H119" t="s">
        <v>212</v>
      </c>
      <c r="I119" t="s">
        <v>217</v>
      </c>
    </row>
    <row r="120" spans="1:9">
      <c r="A120" t="s">
        <v>182</v>
      </c>
      <c r="B120" t="s">
        <v>205</v>
      </c>
      <c r="E120">
        <f t="shared" si="8"/>
        <v>0</v>
      </c>
      <c r="F120">
        <v>6276</v>
      </c>
      <c r="G120">
        <f>LNG_global1423[[#This Row],[Distance '[miles']]]*1.60934449789256</f>
        <v>10100.246068773706</v>
      </c>
      <c r="H120" t="s">
        <v>212</v>
      </c>
      <c r="I120" t="s">
        <v>218</v>
      </c>
    </row>
    <row r="121" spans="1:9">
      <c r="A121" t="s">
        <v>182</v>
      </c>
      <c r="B121" t="s">
        <v>206</v>
      </c>
      <c r="E121">
        <f t="shared" si="8"/>
        <v>0</v>
      </c>
      <c r="F121">
        <v>6953</v>
      </c>
      <c r="G121">
        <f>LNG_global1423[[#This Row],[Distance '[miles']]]*1.60934449789256</f>
        <v>11189.772293846969</v>
      </c>
      <c r="H121" t="s">
        <v>212</v>
      </c>
      <c r="I121" t="s">
        <v>219</v>
      </c>
    </row>
    <row r="122" spans="1:9">
      <c r="A122" t="s">
        <v>182</v>
      </c>
      <c r="B122" t="s">
        <v>207</v>
      </c>
      <c r="E122">
        <f t="shared" si="8"/>
        <v>0</v>
      </c>
      <c r="F122">
        <v>5199</v>
      </c>
      <c r="G122">
        <f>LNG_global1423[[#This Row],[Distance '[miles']]]*1.60934449789256</f>
        <v>8366.9820445434198</v>
      </c>
      <c r="H122" t="s">
        <v>212</v>
      </c>
      <c r="I122" t="s">
        <v>220</v>
      </c>
    </row>
    <row r="123" spans="1:9">
      <c r="A123" t="s">
        <v>182</v>
      </c>
      <c r="B123" t="s">
        <v>208</v>
      </c>
      <c r="E123">
        <f t="shared" si="8"/>
        <v>0</v>
      </c>
      <c r="F123">
        <v>4590</v>
      </c>
      <c r="G123">
        <f>LNG_global1423[[#This Row],[Distance '[miles']]]*1.60934449789256</f>
        <v>7386.8912453268504</v>
      </c>
      <c r="H123" t="s">
        <v>212</v>
      </c>
      <c r="I123" t="s">
        <v>221</v>
      </c>
    </row>
    <row r="124" spans="1:9">
      <c r="A124" t="s">
        <v>182</v>
      </c>
      <c r="B124" t="s">
        <v>209</v>
      </c>
      <c r="E124">
        <f t="shared" si="8"/>
        <v>0</v>
      </c>
      <c r="F124">
        <v>3600</v>
      </c>
      <c r="G124">
        <f>LNG_global1423[[#This Row],[Distance '[miles']]]*1.60934449789256</f>
        <v>5793.640192413216</v>
      </c>
      <c r="H124" t="s">
        <v>212</v>
      </c>
      <c r="I124" t="s">
        <v>222</v>
      </c>
    </row>
    <row r="125" spans="1:9">
      <c r="A125" t="s">
        <v>182</v>
      </c>
      <c r="B125" t="s">
        <v>210</v>
      </c>
      <c r="E125">
        <f t="shared" si="8"/>
        <v>0</v>
      </c>
      <c r="F125">
        <v>6024</v>
      </c>
      <c r="G125">
        <f>LNG_global1423[[#This Row],[Distance '[miles']]]*1.60934449789256</f>
        <v>9694.6912553047805</v>
      </c>
      <c r="H125" t="s">
        <v>212</v>
      </c>
      <c r="I125" t="s">
        <v>237</v>
      </c>
    </row>
    <row r="126" spans="1:9">
      <c r="A126" t="s">
        <v>182</v>
      </c>
      <c r="B126" t="s">
        <v>223</v>
      </c>
      <c r="E126">
        <f t="shared" si="8"/>
        <v>0</v>
      </c>
      <c r="F126">
        <v>7356</v>
      </c>
      <c r="G126">
        <f>LNG_global1423[[#This Row],[Distance '[miles']]]*1.60934449789256</f>
        <v>11838.338126497671</v>
      </c>
      <c r="H126" t="s">
        <v>212</v>
      </c>
      <c r="I126" t="s">
        <v>228</v>
      </c>
    </row>
    <row r="127" spans="1:9">
      <c r="A127" t="s">
        <v>182</v>
      </c>
      <c r="B127" t="s">
        <v>224</v>
      </c>
      <c r="E127">
        <f t="shared" si="8"/>
        <v>0</v>
      </c>
      <c r="F127">
        <v>7356</v>
      </c>
      <c r="G127">
        <f>LNG_global1423[[#This Row],[Distance '[miles']]]*1.60934449789256</f>
        <v>11838.338126497671</v>
      </c>
      <c r="H127" t="s">
        <v>212</v>
      </c>
      <c r="I127" t="s">
        <v>229</v>
      </c>
    </row>
    <row r="128" spans="1:9">
      <c r="A128" t="s">
        <v>182</v>
      </c>
      <c r="B128" t="s">
        <v>225</v>
      </c>
      <c r="E128">
        <f t="shared" si="8"/>
        <v>0</v>
      </c>
      <c r="F128">
        <v>6473</v>
      </c>
      <c r="G128">
        <f>LNG_global1423[[#This Row],[Distance '[miles']]]*1.60934449789256</f>
        <v>10417.286934858541</v>
      </c>
      <c r="H128" t="s">
        <v>212</v>
      </c>
      <c r="I128" t="s">
        <v>230</v>
      </c>
    </row>
    <row r="129" spans="1:9">
      <c r="A129" t="s">
        <v>182</v>
      </c>
      <c r="B129" t="s">
        <v>226</v>
      </c>
      <c r="E129">
        <f t="shared" si="8"/>
        <v>0</v>
      </c>
      <c r="F129">
        <v>6011</v>
      </c>
      <c r="G129">
        <f>LNG_global1423[[#This Row],[Distance '[miles']]]*1.60934449789256</f>
        <v>9673.7697768321777</v>
      </c>
      <c r="H129" t="s">
        <v>212</v>
      </c>
      <c r="I129" t="s">
        <v>231</v>
      </c>
    </row>
    <row r="130" spans="1:9">
      <c r="A130" t="s">
        <v>182</v>
      </c>
      <c r="B130" t="s">
        <v>227</v>
      </c>
      <c r="E130">
        <f t="shared" si="8"/>
        <v>0</v>
      </c>
      <c r="F130">
        <v>7296</v>
      </c>
      <c r="G130">
        <f>LNG_global1423[[#This Row],[Distance '[miles']]]*1.60934449789256</f>
        <v>11741.777456624117</v>
      </c>
      <c r="H130" t="s">
        <v>212</v>
      </c>
      <c r="I130" t="s">
        <v>232</v>
      </c>
    </row>
    <row r="131" spans="1:9">
      <c r="A131" t="s">
        <v>184</v>
      </c>
      <c r="B131" t="s">
        <v>200</v>
      </c>
      <c r="E131">
        <f t="shared" si="8"/>
        <v>0</v>
      </c>
      <c r="F131">
        <v>4348</v>
      </c>
      <c r="G131">
        <f>LNG_global1423[[#This Row],[Distance '[miles']]]*1.60934449789256</f>
        <v>6997.4298768368508</v>
      </c>
      <c r="I131" t="s">
        <v>233</v>
      </c>
    </row>
    <row r="132" spans="1:9">
      <c r="A132" t="s">
        <v>184</v>
      </c>
      <c r="B132" t="s">
        <v>201</v>
      </c>
      <c r="E132">
        <f t="shared" si="8"/>
        <v>0</v>
      </c>
      <c r="F132">
        <v>3980</v>
      </c>
      <c r="G132">
        <f>LNG_global1423[[#This Row],[Distance '[miles']]]*1.60934449789256</f>
        <v>6405.1911016123886</v>
      </c>
      <c r="I132" t="s">
        <v>278</v>
      </c>
    </row>
    <row r="133" spans="1:9">
      <c r="A133" t="s">
        <v>184</v>
      </c>
      <c r="B133" t="s">
        <v>267</v>
      </c>
      <c r="E133">
        <f t="shared" si="8"/>
        <v>0</v>
      </c>
      <c r="F133">
        <v>4824</v>
      </c>
      <c r="G133">
        <f>LNG_global1423[[#This Row],[Distance '[miles']]]*1.60934449789256</f>
        <v>7763.4778578337091</v>
      </c>
      <c r="I133" t="s">
        <v>214</v>
      </c>
    </row>
    <row r="134" spans="1:9">
      <c r="A134" t="s">
        <v>184</v>
      </c>
      <c r="B134" t="s">
        <v>202</v>
      </c>
      <c r="E134">
        <f t="shared" si="8"/>
        <v>0</v>
      </c>
      <c r="F134">
        <v>4172</v>
      </c>
      <c r="G134">
        <f>LNG_global1423[[#This Row],[Distance '[miles']]]*1.60934449789256</f>
        <v>6714.1852452077601</v>
      </c>
      <c r="I134" t="s">
        <v>275</v>
      </c>
    </row>
    <row r="135" spans="1:9">
      <c r="A135" t="s">
        <v>184</v>
      </c>
      <c r="B135" t="s">
        <v>203</v>
      </c>
      <c r="E135">
        <f t="shared" si="8"/>
        <v>0</v>
      </c>
      <c r="F135">
        <v>4949</v>
      </c>
      <c r="G135">
        <f>LNG_global1423[[#This Row],[Distance '[miles']]]*1.60934449789256</f>
        <v>7964.6459200702793</v>
      </c>
      <c r="I135" t="s">
        <v>216</v>
      </c>
    </row>
    <row r="136" spans="1:9">
      <c r="A136" t="s">
        <v>184</v>
      </c>
      <c r="B136" t="s">
        <v>204</v>
      </c>
      <c r="E136">
        <f t="shared" si="8"/>
        <v>0</v>
      </c>
      <c r="F136">
        <v>5282</v>
      </c>
      <c r="G136">
        <f>LNG_global1423[[#This Row],[Distance '[miles']]]*1.60934449789256</f>
        <v>8500.5576378685018</v>
      </c>
      <c r="I136" t="s">
        <v>217</v>
      </c>
    </row>
    <row r="137" spans="1:9">
      <c r="A137" t="s">
        <v>184</v>
      </c>
      <c r="B137" t="s">
        <v>205</v>
      </c>
      <c r="E137">
        <f t="shared" si="8"/>
        <v>0</v>
      </c>
      <c r="F137">
        <v>4414</v>
      </c>
      <c r="G137">
        <f>LNG_global1423[[#This Row],[Distance '[miles']]]*1.60934449789256</f>
        <v>7103.6466136977597</v>
      </c>
      <c r="I137" t="s">
        <v>218</v>
      </c>
    </row>
    <row r="138" spans="1:9">
      <c r="A138" t="s">
        <v>184</v>
      </c>
      <c r="B138" t="s">
        <v>206</v>
      </c>
      <c r="E138">
        <f t="shared" si="8"/>
        <v>0</v>
      </c>
      <c r="F138">
        <v>5091</v>
      </c>
      <c r="G138">
        <f>LNG_global1423[[#This Row],[Distance '[miles']]]*1.60934449789256</f>
        <v>8193.1728387710227</v>
      </c>
      <c r="I138" t="s">
        <v>219</v>
      </c>
    </row>
    <row r="139" spans="1:9">
      <c r="A139" t="s">
        <v>184</v>
      </c>
      <c r="B139" t="s">
        <v>207</v>
      </c>
      <c r="E139">
        <f t="shared" si="8"/>
        <v>0</v>
      </c>
      <c r="F139">
        <v>3389</v>
      </c>
      <c r="G139">
        <f>LNG_global1423[[#This Row],[Distance '[miles']]]*1.60934449789256</f>
        <v>5454.0685033578857</v>
      </c>
      <c r="I139" t="s">
        <v>220</v>
      </c>
    </row>
    <row r="140" spans="1:9">
      <c r="A140" t="s">
        <v>184</v>
      </c>
      <c r="B140" t="s">
        <v>208</v>
      </c>
      <c r="E140">
        <f t="shared" si="8"/>
        <v>0</v>
      </c>
      <c r="F140">
        <v>3359</v>
      </c>
      <c r="G140">
        <f>LNG_global1423[[#This Row],[Distance '[miles']]]*1.60934449789256</f>
        <v>5405.7881684211088</v>
      </c>
      <c r="I140" t="s">
        <v>247</v>
      </c>
    </row>
    <row r="141" spans="1:9">
      <c r="A141" t="s">
        <v>184</v>
      </c>
      <c r="B141" t="s">
        <v>209</v>
      </c>
      <c r="E141">
        <f t="shared" si="8"/>
        <v>0</v>
      </c>
      <c r="F141">
        <v>5109</v>
      </c>
      <c r="G141">
        <f>LNG_global1423[[#This Row],[Distance '[miles']]]*1.60934449789256</f>
        <v>8222.1410397330892</v>
      </c>
      <c r="I141" t="s">
        <v>279</v>
      </c>
    </row>
    <row r="142" spans="1:9">
      <c r="A142" t="s">
        <v>184</v>
      </c>
      <c r="B142" t="s">
        <v>210</v>
      </c>
      <c r="E142">
        <f t="shared" si="8"/>
        <v>0</v>
      </c>
      <c r="F142">
        <v>4309</v>
      </c>
      <c r="G142">
        <f>LNG_global1423[[#This Row],[Distance '[miles']]]*1.60934449789256</f>
        <v>6934.6654414190407</v>
      </c>
      <c r="I142" t="s">
        <v>280</v>
      </c>
    </row>
    <row r="143" spans="1:9">
      <c r="A143" t="s">
        <v>184</v>
      </c>
      <c r="B143" t="s">
        <v>223</v>
      </c>
      <c r="E143">
        <f t="shared" si="8"/>
        <v>0</v>
      </c>
      <c r="F143">
        <v>5494</v>
      </c>
      <c r="G143">
        <f>LNG_global1423[[#This Row],[Distance '[miles']]]*1.60934449789256</f>
        <v>8841.7386714217246</v>
      </c>
      <c r="I143" t="s">
        <v>228</v>
      </c>
    </row>
    <row r="144" spans="1:9">
      <c r="A144" t="s">
        <v>184</v>
      </c>
      <c r="B144" t="s">
        <v>224</v>
      </c>
      <c r="E144">
        <f t="shared" si="8"/>
        <v>0</v>
      </c>
      <c r="F144">
        <v>5494</v>
      </c>
      <c r="G144">
        <f>LNG_global1423[[#This Row],[Distance '[miles']]]*1.60934449789256</f>
        <v>8841.7386714217246</v>
      </c>
      <c r="I144" t="s">
        <v>229</v>
      </c>
    </row>
    <row r="145" spans="1:9">
      <c r="A145" t="s">
        <v>184</v>
      </c>
      <c r="B145" t="s">
        <v>225</v>
      </c>
      <c r="E145">
        <f t="shared" si="8"/>
        <v>0</v>
      </c>
      <c r="F145">
        <v>4611</v>
      </c>
      <c r="G145">
        <f>LNG_global1423[[#This Row],[Distance '[miles']]]*1.60934449789256</f>
        <v>7420.687479782594</v>
      </c>
      <c r="I145" t="s">
        <v>230</v>
      </c>
    </row>
    <row r="146" spans="1:9">
      <c r="A146" t="s">
        <v>184</v>
      </c>
      <c r="B146" t="s">
        <v>226</v>
      </c>
      <c r="E146">
        <f t="shared" si="8"/>
        <v>0</v>
      </c>
      <c r="F146">
        <v>4149</v>
      </c>
      <c r="G146">
        <f>LNG_global1423[[#This Row],[Distance '[miles']]]*1.60934449789256</f>
        <v>6677.1703217562308</v>
      </c>
      <c r="I146" t="s">
        <v>231</v>
      </c>
    </row>
    <row r="147" spans="1:9">
      <c r="A147" t="s">
        <v>184</v>
      </c>
      <c r="B147" t="s">
        <v>227</v>
      </c>
      <c r="E147">
        <f t="shared" si="8"/>
        <v>0</v>
      </c>
      <c r="F147">
        <v>5434</v>
      </c>
      <c r="G147">
        <f>LNG_global1423[[#This Row],[Distance '[miles']]]*1.60934449789256</f>
        <v>8745.1780015481709</v>
      </c>
      <c r="I147" t="s">
        <v>232</v>
      </c>
    </row>
    <row r="148" spans="1:9">
      <c r="A148" t="s">
        <v>185</v>
      </c>
      <c r="B148" t="s">
        <v>200</v>
      </c>
      <c r="E148">
        <f>D148/1000</f>
        <v>0</v>
      </c>
      <c r="F148">
        <v>9950</v>
      </c>
      <c r="G148">
        <f>LNG_global1423[[#This Row],[Distance '[miles']]]*1.60934449789256</f>
        <v>16012.977754030971</v>
      </c>
      <c r="H148" t="s">
        <v>212</v>
      </c>
      <c r="I148" t="s">
        <v>233</v>
      </c>
    </row>
    <row r="149" spans="1:9">
      <c r="A149" t="s">
        <v>185</v>
      </c>
      <c r="B149" t="s">
        <v>201</v>
      </c>
      <c r="E149">
        <f t="shared" ref="E149:E164" si="9">D149/1000</f>
        <v>0</v>
      </c>
      <c r="F149">
        <v>8254</v>
      </c>
      <c r="G149">
        <f>LNG_global1423[[#This Row],[Distance '[miles']]]*1.60934449789256</f>
        <v>13283.52948560519</v>
      </c>
      <c r="H149" t="s">
        <v>212</v>
      </c>
      <c r="I149" t="s">
        <v>213</v>
      </c>
    </row>
    <row r="150" spans="1:9">
      <c r="A150" t="s">
        <v>185</v>
      </c>
      <c r="B150" t="s">
        <v>267</v>
      </c>
      <c r="E150">
        <f t="shared" si="9"/>
        <v>0</v>
      </c>
      <c r="F150">
        <v>7341</v>
      </c>
      <c r="G150">
        <f>LNG_global1423[[#This Row],[Distance '[miles']]]*1.60934449789256</f>
        <v>11814.197959029283</v>
      </c>
      <c r="H150" t="s">
        <v>212</v>
      </c>
      <c r="I150" t="s">
        <v>214</v>
      </c>
    </row>
    <row r="151" spans="1:9">
      <c r="A151" t="s">
        <v>185</v>
      </c>
      <c r="B151" t="s">
        <v>202</v>
      </c>
      <c r="E151">
        <f t="shared" si="9"/>
        <v>0</v>
      </c>
      <c r="F151">
        <v>8125</v>
      </c>
      <c r="G151">
        <f>LNG_global1423[[#This Row],[Distance '[miles']]]*1.60934449789256</f>
        <v>13075.924045377049</v>
      </c>
      <c r="H151" t="s">
        <v>212</v>
      </c>
      <c r="I151" t="s">
        <v>215</v>
      </c>
    </row>
    <row r="152" spans="1:9">
      <c r="A152" t="s">
        <v>185</v>
      </c>
      <c r="B152" t="s">
        <v>203</v>
      </c>
      <c r="E152">
        <f t="shared" si="9"/>
        <v>0</v>
      </c>
      <c r="F152">
        <v>8000</v>
      </c>
      <c r="G152">
        <f>LNG_global1423[[#This Row],[Distance '[miles']]]*1.60934449789256</f>
        <v>12874.75598314048</v>
      </c>
      <c r="H152" t="s">
        <v>212</v>
      </c>
      <c r="I152" t="s">
        <v>216</v>
      </c>
    </row>
    <row r="153" spans="1:9">
      <c r="A153" t="s">
        <v>185</v>
      </c>
      <c r="B153" t="s">
        <v>204</v>
      </c>
      <c r="E153">
        <f t="shared" si="9"/>
        <v>0</v>
      </c>
      <c r="F153">
        <v>10884</v>
      </c>
      <c r="G153">
        <f>LNG_global1423[[#This Row],[Distance '[miles']]]*1.60934449789256</f>
        <v>17516.105515062623</v>
      </c>
      <c r="H153" t="s">
        <v>212</v>
      </c>
      <c r="I153" t="s">
        <v>217</v>
      </c>
    </row>
    <row r="154" spans="1:9">
      <c r="A154" t="s">
        <v>185</v>
      </c>
      <c r="B154" t="s">
        <v>205</v>
      </c>
      <c r="E154">
        <f t="shared" si="9"/>
        <v>0</v>
      </c>
      <c r="F154">
        <v>10016</v>
      </c>
      <c r="G154">
        <f>LNG_global1423[[#This Row],[Distance '[miles']]]*1.60934449789256</f>
        <v>16119.194490891881</v>
      </c>
      <c r="H154" t="s">
        <v>212</v>
      </c>
      <c r="I154" t="s">
        <v>218</v>
      </c>
    </row>
    <row r="155" spans="1:9">
      <c r="A155" t="s">
        <v>185</v>
      </c>
      <c r="B155" t="s">
        <v>206</v>
      </c>
      <c r="E155">
        <f t="shared" si="9"/>
        <v>0</v>
      </c>
      <c r="F155">
        <v>10693</v>
      </c>
      <c r="G155">
        <f>LNG_global1423[[#This Row],[Distance '[miles']]]*1.60934449789256</f>
        <v>17208.720715965144</v>
      </c>
      <c r="H155" t="s">
        <v>212</v>
      </c>
      <c r="I155" t="s">
        <v>219</v>
      </c>
    </row>
    <row r="156" spans="1:9">
      <c r="A156" t="s">
        <v>185</v>
      </c>
      <c r="B156" t="s">
        <v>207</v>
      </c>
      <c r="E156">
        <f t="shared" si="9"/>
        <v>0</v>
      </c>
      <c r="F156">
        <v>8939</v>
      </c>
      <c r="G156">
        <f>LNG_global1423[[#This Row],[Distance '[miles']]]*1.60934449789256</f>
        <v>14385.930466661594</v>
      </c>
      <c r="H156" t="s">
        <v>212</v>
      </c>
      <c r="I156" t="s">
        <v>220</v>
      </c>
    </row>
    <row r="157" spans="1:9">
      <c r="A157" t="s">
        <v>185</v>
      </c>
      <c r="B157" t="s">
        <v>208</v>
      </c>
      <c r="E157">
        <f t="shared" si="9"/>
        <v>0</v>
      </c>
      <c r="F157">
        <v>8330</v>
      </c>
      <c r="G157">
        <f>LNG_global1423[[#This Row],[Distance '[miles']]]*1.60934449789256</f>
        <v>13405.839667445025</v>
      </c>
      <c r="H157" t="s">
        <v>212</v>
      </c>
      <c r="I157" t="s">
        <v>221</v>
      </c>
    </row>
    <row r="158" spans="1:9">
      <c r="A158" t="s">
        <v>185</v>
      </c>
      <c r="B158" t="s">
        <v>209</v>
      </c>
      <c r="E158">
        <f t="shared" si="9"/>
        <v>0</v>
      </c>
      <c r="F158">
        <v>7340</v>
      </c>
      <c r="G158">
        <f>LNG_global1423[[#This Row],[Distance '[miles']]]*1.60934449789256</f>
        <v>11812.588614531391</v>
      </c>
      <c r="H158" t="s">
        <v>212</v>
      </c>
      <c r="I158" t="s">
        <v>222</v>
      </c>
    </row>
    <row r="159" spans="1:9">
      <c r="A159" t="s">
        <v>185</v>
      </c>
      <c r="B159" t="s">
        <v>210</v>
      </c>
      <c r="E159">
        <f t="shared" si="9"/>
        <v>0</v>
      </c>
      <c r="F159">
        <v>9764</v>
      </c>
      <c r="G159">
        <f>LNG_global1423[[#This Row],[Distance '[miles']]]*1.60934449789256</f>
        <v>15713.639677422956</v>
      </c>
      <c r="H159" t="s">
        <v>212</v>
      </c>
      <c r="I159" t="s">
        <v>237</v>
      </c>
    </row>
    <row r="160" spans="1:9">
      <c r="A160" t="s">
        <v>185</v>
      </c>
      <c r="B160" t="s">
        <v>223</v>
      </c>
      <c r="E160">
        <f t="shared" si="9"/>
        <v>0</v>
      </c>
      <c r="F160">
        <v>11096</v>
      </c>
      <c r="G160">
        <f>LNG_global1423[[#This Row],[Distance '[miles']]]*1.60934449789256</f>
        <v>17857.286548615844</v>
      </c>
      <c r="H160" t="s">
        <v>212</v>
      </c>
      <c r="I160" t="s">
        <v>228</v>
      </c>
    </row>
    <row r="161" spans="1:9">
      <c r="A161" t="s">
        <v>185</v>
      </c>
      <c r="B161" t="s">
        <v>224</v>
      </c>
      <c r="E161">
        <f t="shared" si="9"/>
        <v>0</v>
      </c>
      <c r="F161">
        <v>11096</v>
      </c>
      <c r="G161">
        <f>LNG_global1423[[#This Row],[Distance '[miles']]]*1.60934449789256</f>
        <v>17857.286548615844</v>
      </c>
      <c r="H161" t="s">
        <v>212</v>
      </c>
      <c r="I161" t="s">
        <v>229</v>
      </c>
    </row>
    <row r="162" spans="1:9">
      <c r="A162" t="s">
        <v>185</v>
      </c>
      <c r="B162" t="s">
        <v>225</v>
      </c>
      <c r="E162">
        <f t="shared" si="9"/>
        <v>0</v>
      </c>
      <c r="F162">
        <v>10213</v>
      </c>
      <c r="G162">
        <f>LNG_global1423[[#This Row],[Distance '[miles']]]*1.60934449789256</f>
        <v>16436.235356976715</v>
      </c>
      <c r="H162" t="s">
        <v>212</v>
      </c>
      <c r="I162" t="s">
        <v>230</v>
      </c>
    </row>
    <row r="163" spans="1:9">
      <c r="A163" t="s">
        <v>185</v>
      </c>
      <c r="B163" t="s">
        <v>226</v>
      </c>
      <c r="E163">
        <f t="shared" si="9"/>
        <v>0</v>
      </c>
      <c r="F163">
        <v>9751</v>
      </c>
      <c r="G163">
        <f>LNG_global1423[[#This Row],[Distance '[miles']]]*1.60934449789256</f>
        <v>15692.718198950352</v>
      </c>
      <c r="H163" t="s">
        <v>212</v>
      </c>
      <c r="I163" t="s">
        <v>231</v>
      </c>
    </row>
    <row r="164" spans="1:9">
      <c r="A164" t="s">
        <v>185</v>
      </c>
      <c r="B164" t="s">
        <v>227</v>
      </c>
      <c r="E164">
        <f t="shared" si="9"/>
        <v>0</v>
      </c>
      <c r="F164">
        <v>11036</v>
      </c>
      <c r="G164">
        <f>LNG_global1423[[#This Row],[Distance '[miles']]]*1.60934449789256</f>
        <v>17760.725878742291</v>
      </c>
      <c r="H164" t="s">
        <v>212</v>
      </c>
      <c r="I164" t="s">
        <v>232</v>
      </c>
    </row>
    <row r="165" spans="1:9">
      <c r="A165" t="s">
        <v>191</v>
      </c>
      <c r="B165" t="s">
        <v>200</v>
      </c>
      <c r="E165">
        <f>D165/1000</f>
        <v>0</v>
      </c>
      <c r="F165">
        <v>3208</v>
      </c>
      <c r="G165">
        <f>LNG_global1423[[#This Row],[Distance '[miles']]]*1.60934449789256</f>
        <v>5162.7771492393322</v>
      </c>
      <c r="I165" t="s">
        <v>233</v>
      </c>
    </row>
    <row r="166" spans="1:9">
      <c r="A166" t="s">
        <v>191</v>
      </c>
      <c r="B166" t="s">
        <v>201</v>
      </c>
      <c r="E166">
        <f t="shared" ref="E166:E181" si="10">D166/1000</f>
        <v>0</v>
      </c>
      <c r="F166">
        <v>1405</v>
      </c>
      <c r="G166">
        <f>LNG_global1423[[#This Row],[Distance '[miles']]]*1.60934449789256</f>
        <v>2261.1290195390466</v>
      </c>
      <c r="I166" t="s">
        <v>213</v>
      </c>
    </row>
    <row r="167" spans="1:9">
      <c r="A167" t="s">
        <v>191</v>
      </c>
      <c r="B167" t="s">
        <v>267</v>
      </c>
      <c r="E167">
        <f t="shared" si="10"/>
        <v>0</v>
      </c>
      <c r="F167">
        <v>518</v>
      </c>
      <c r="G167">
        <f>LNG_global1423[[#This Row],[Distance '[miles']]]*1.60934449789256</f>
        <v>833.64044990834611</v>
      </c>
      <c r="I167" t="s">
        <v>214</v>
      </c>
    </row>
    <row r="168" spans="1:9">
      <c r="A168" t="s">
        <v>191</v>
      </c>
      <c r="B168" t="s">
        <v>202</v>
      </c>
      <c r="E168">
        <f t="shared" si="10"/>
        <v>0</v>
      </c>
      <c r="F168">
        <v>1239</v>
      </c>
      <c r="G168">
        <f>LNG_global1423[[#This Row],[Distance '[miles']]]*1.60934449789256</f>
        <v>1993.9778328888817</v>
      </c>
      <c r="I168" t="s">
        <v>275</v>
      </c>
    </row>
    <row r="169" spans="1:9">
      <c r="A169" t="s">
        <v>191</v>
      </c>
      <c r="B169" t="s">
        <v>203</v>
      </c>
      <c r="E169">
        <f t="shared" si="10"/>
        <v>0</v>
      </c>
      <c r="F169">
        <v>1258</v>
      </c>
      <c r="G169">
        <f>LNG_global1423[[#This Row],[Distance '[miles']]]*1.60934449789256</f>
        <v>2024.5553783488403</v>
      </c>
      <c r="I169" t="s">
        <v>216</v>
      </c>
    </row>
    <row r="170" spans="1:9">
      <c r="A170" t="s">
        <v>191</v>
      </c>
      <c r="B170" t="s">
        <v>204</v>
      </c>
      <c r="E170">
        <f t="shared" si="10"/>
        <v>0</v>
      </c>
      <c r="F170">
        <v>4142</v>
      </c>
      <c r="G170">
        <f>LNG_global1423[[#This Row],[Distance '[miles']]]*1.60934449789256</f>
        <v>6665.9049102709832</v>
      </c>
      <c r="I170" t="s">
        <v>217</v>
      </c>
    </row>
    <row r="171" spans="1:9">
      <c r="A171" t="s">
        <v>191</v>
      </c>
      <c r="B171" t="s">
        <v>205</v>
      </c>
      <c r="E171">
        <f t="shared" si="10"/>
        <v>0</v>
      </c>
      <c r="F171">
        <v>3274</v>
      </c>
      <c r="G171">
        <f>LNG_global1423[[#This Row],[Distance '[miles']]]*1.60934449789256</f>
        <v>5268.9938861002411</v>
      </c>
      <c r="I171" t="s">
        <v>218</v>
      </c>
    </row>
    <row r="172" spans="1:9">
      <c r="A172" t="s">
        <v>191</v>
      </c>
      <c r="B172" t="s">
        <v>206</v>
      </c>
      <c r="E172">
        <f t="shared" si="10"/>
        <v>0</v>
      </c>
      <c r="F172">
        <v>3836</v>
      </c>
      <c r="G172">
        <f>LNG_global1423[[#This Row],[Distance '[miles']]]*1.60934449789256</f>
        <v>6173.4454939158604</v>
      </c>
      <c r="I172" t="s">
        <v>219</v>
      </c>
    </row>
    <row r="173" spans="1:9">
      <c r="A173" t="s">
        <v>191</v>
      </c>
      <c r="B173" t="s">
        <v>207</v>
      </c>
      <c r="E173">
        <f t="shared" si="10"/>
        <v>0</v>
      </c>
      <c r="F173">
        <v>2082</v>
      </c>
      <c r="G173">
        <f>LNG_global1423[[#This Row],[Distance '[miles']]]*1.60934449789256</f>
        <v>3350.6552446123096</v>
      </c>
      <c r="I173" t="s">
        <v>220</v>
      </c>
    </row>
    <row r="174" spans="1:9">
      <c r="A174" t="s">
        <v>191</v>
      </c>
      <c r="B174" t="s">
        <v>208</v>
      </c>
      <c r="E174">
        <f t="shared" si="10"/>
        <v>0</v>
      </c>
      <c r="F174">
        <v>1696</v>
      </c>
      <c r="G174">
        <f>LNG_global1423[[#This Row],[Distance '[miles']]]*1.60934449789256</f>
        <v>2729.4482684257819</v>
      </c>
      <c r="I174" t="s">
        <v>282</v>
      </c>
    </row>
    <row r="175" spans="1:9">
      <c r="A175" t="s">
        <v>191</v>
      </c>
      <c r="B175" t="s">
        <v>209</v>
      </c>
      <c r="E175">
        <f t="shared" si="10"/>
        <v>0</v>
      </c>
      <c r="F175">
        <v>722</v>
      </c>
      <c r="G175">
        <f>LNG_global1423[[#This Row],[Distance '[miles']]]*1.60934449789256</f>
        <v>1161.9467274784283</v>
      </c>
      <c r="I175" t="s">
        <v>279</v>
      </c>
    </row>
    <row r="176" spans="1:9">
      <c r="A176" t="s">
        <v>191</v>
      </c>
      <c r="B176" t="s">
        <v>210</v>
      </c>
      <c r="E176">
        <f t="shared" si="10"/>
        <v>0</v>
      </c>
      <c r="F176">
        <v>2907</v>
      </c>
      <c r="G176">
        <f>LNG_global1423[[#This Row],[Distance '[miles']]]*1.60934449789256</f>
        <v>4678.3644553736722</v>
      </c>
      <c r="I176" t="s">
        <v>237</v>
      </c>
    </row>
    <row r="177" spans="1:9">
      <c r="A177" t="s">
        <v>191</v>
      </c>
      <c r="B177" t="s">
        <v>223</v>
      </c>
      <c r="E177">
        <f t="shared" si="10"/>
        <v>0</v>
      </c>
      <c r="F177">
        <v>4354</v>
      </c>
      <c r="G177">
        <f>LNG_global1423[[#This Row],[Distance '[miles']]]*1.60934449789256</f>
        <v>7007.085943824206</v>
      </c>
      <c r="I177" t="s">
        <v>228</v>
      </c>
    </row>
    <row r="178" spans="1:9">
      <c r="A178" t="s">
        <v>191</v>
      </c>
      <c r="B178" t="s">
        <v>224</v>
      </c>
      <c r="E178">
        <f t="shared" si="10"/>
        <v>0</v>
      </c>
      <c r="F178">
        <v>4354</v>
      </c>
      <c r="G178">
        <f>LNG_global1423[[#This Row],[Distance '[miles']]]*1.60934449789256</f>
        <v>7007.085943824206</v>
      </c>
      <c r="I178" t="s">
        <v>229</v>
      </c>
    </row>
    <row r="179" spans="1:9">
      <c r="A179" t="s">
        <v>191</v>
      </c>
      <c r="B179" t="s">
        <v>225</v>
      </c>
      <c r="E179">
        <f t="shared" si="10"/>
        <v>0</v>
      </c>
      <c r="F179">
        <v>3471</v>
      </c>
      <c r="G179">
        <f>LNG_global1423[[#This Row],[Distance '[miles']]]*1.60934449789256</f>
        <v>5586.0347521850754</v>
      </c>
      <c r="I179" t="s">
        <v>230</v>
      </c>
    </row>
    <row r="180" spans="1:9">
      <c r="A180" t="s">
        <v>191</v>
      </c>
      <c r="B180" t="s">
        <v>226</v>
      </c>
      <c r="E180">
        <f t="shared" si="10"/>
        <v>0</v>
      </c>
      <c r="F180">
        <v>3009</v>
      </c>
      <c r="G180">
        <f>LNG_global1423[[#This Row],[Distance '[miles']]]*1.60934449789256</f>
        <v>4842.5175941587131</v>
      </c>
      <c r="I180" t="s">
        <v>231</v>
      </c>
    </row>
    <row r="181" spans="1:9">
      <c r="A181" t="s">
        <v>191</v>
      </c>
      <c r="B181" t="s">
        <v>227</v>
      </c>
      <c r="E181">
        <f t="shared" si="10"/>
        <v>0</v>
      </c>
      <c r="F181">
        <v>4294</v>
      </c>
      <c r="G181">
        <f>LNG_global1423[[#This Row],[Distance '[miles']]]*1.60934449789256</f>
        <v>6910.5252739506523</v>
      </c>
      <c r="I181" t="s">
        <v>232</v>
      </c>
    </row>
    <row r="182" spans="1:9">
      <c r="A182" t="s">
        <v>194</v>
      </c>
      <c r="B182" t="s">
        <v>200</v>
      </c>
      <c r="E182">
        <f>D182/1000</f>
        <v>0</v>
      </c>
      <c r="F182">
        <v>9237</v>
      </c>
      <c r="G182">
        <f>LNG_global1423[[#This Row],[Distance '[miles']]]*1.60934449789256</f>
        <v>14865.515127033575</v>
      </c>
      <c r="H182" t="s">
        <v>212</v>
      </c>
      <c r="I182" t="s">
        <v>233</v>
      </c>
    </row>
    <row r="183" spans="1:9">
      <c r="A183" t="s">
        <v>194</v>
      </c>
      <c r="B183" t="s">
        <v>201</v>
      </c>
      <c r="E183">
        <f t="shared" ref="E183:E198" si="11">D183/1000</f>
        <v>0</v>
      </c>
      <c r="F183">
        <v>8897</v>
      </c>
      <c r="G183">
        <f>LNG_global1423[[#This Row],[Distance '[miles']]]*1.60934449789256</f>
        <v>14318.337997750106</v>
      </c>
      <c r="H183" t="s">
        <v>212</v>
      </c>
      <c r="I183" t="s">
        <v>278</v>
      </c>
    </row>
    <row r="184" spans="1:9">
      <c r="A184" t="s">
        <v>194</v>
      </c>
      <c r="B184" t="s">
        <v>267</v>
      </c>
      <c r="E184">
        <f t="shared" si="11"/>
        <v>0</v>
      </c>
      <c r="F184">
        <v>6737</v>
      </c>
      <c r="G184">
        <f>LNG_global1423[[#This Row],[Distance '[miles']]]*1.60934449789256</f>
        <v>10842.153882302176</v>
      </c>
      <c r="H184" t="s">
        <v>212</v>
      </c>
      <c r="I184" t="s">
        <v>285</v>
      </c>
    </row>
    <row r="185" spans="1:9">
      <c r="A185" t="s">
        <v>194</v>
      </c>
      <c r="B185" t="s">
        <v>202</v>
      </c>
      <c r="E185">
        <f t="shared" si="11"/>
        <v>0</v>
      </c>
      <c r="F185">
        <v>7412</v>
      </c>
      <c r="G185">
        <f>LNG_global1423[[#This Row],[Distance '[miles']]]*1.60934449789256</f>
        <v>11928.461418379655</v>
      </c>
      <c r="H185" t="s">
        <v>212</v>
      </c>
      <c r="I185" t="s">
        <v>215</v>
      </c>
    </row>
    <row r="186" spans="1:9">
      <c r="A186" t="s">
        <v>194</v>
      </c>
      <c r="B186" t="s">
        <v>203</v>
      </c>
      <c r="E186">
        <f t="shared" si="11"/>
        <v>0</v>
      </c>
      <c r="F186">
        <v>7287</v>
      </c>
      <c r="G186">
        <f>LNG_global1423[[#This Row],[Distance '[miles']]]*1.60934449789256</f>
        <v>11727.293356143084</v>
      </c>
      <c r="H186" t="s">
        <v>212</v>
      </c>
      <c r="I186" t="s">
        <v>216</v>
      </c>
    </row>
    <row r="187" spans="1:9">
      <c r="A187" t="s">
        <v>194</v>
      </c>
      <c r="B187" t="s">
        <v>204</v>
      </c>
      <c r="E187">
        <f t="shared" si="11"/>
        <v>0</v>
      </c>
      <c r="F187">
        <v>10171</v>
      </c>
      <c r="G187">
        <f>LNG_global1423[[#This Row],[Distance '[miles']]]*1.60934449789256</f>
        <v>16368.642888065227</v>
      </c>
      <c r="H187" t="s">
        <v>212</v>
      </c>
      <c r="I187" t="s">
        <v>217</v>
      </c>
    </row>
    <row r="188" spans="1:9">
      <c r="A188" t="s">
        <v>194</v>
      </c>
      <c r="B188" t="s">
        <v>205</v>
      </c>
      <c r="E188">
        <f t="shared" si="11"/>
        <v>0</v>
      </c>
      <c r="F188">
        <v>9303</v>
      </c>
      <c r="G188">
        <f>LNG_global1423[[#This Row],[Distance '[miles']]]*1.60934449789256</f>
        <v>14971.731863894485</v>
      </c>
      <c r="H188" t="s">
        <v>212</v>
      </c>
      <c r="I188" t="s">
        <v>218</v>
      </c>
    </row>
    <row r="189" spans="1:9">
      <c r="A189" t="s">
        <v>194</v>
      </c>
      <c r="B189" t="s">
        <v>206</v>
      </c>
      <c r="E189">
        <f t="shared" si="11"/>
        <v>0</v>
      </c>
      <c r="F189">
        <v>9980</v>
      </c>
      <c r="G189">
        <f>LNG_global1423[[#This Row],[Distance '[miles']]]*1.60934449789256</f>
        <v>16061.258088967748</v>
      </c>
      <c r="H189" t="s">
        <v>212</v>
      </c>
      <c r="I189" t="s">
        <v>219</v>
      </c>
    </row>
    <row r="190" spans="1:9">
      <c r="A190" t="s">
        <v>194</v>
      </c>
      <c r="B190" t="s">
        <v>207</v>
      </c>
      <c r="E190">
        <f t="shared" si="11"/>
        <v>0</v>
      </c>
      <c r="F190">
        <v>8226</v>
      </c>
      <c r="G190">
        <f>LNG_global1423[[#This Row],[Distance '[miles']]]*1.60934449789256</f>
        <v>13238.467839664198</v>
      </c>
      <c r="H190" t="s">
        <v>212</v>
      </c>
      <c r="I190" t="s">
        <v>220</v>
      </c>
    </row>
    <row r="191" spans="1:9">
      <c r="A191" t="s">
        <v>194</v>
      </c>
      <c r="B191" t="s">
        <v>208</v>
      </c>
      <c r="E191">
        <f t="shared" si="11"/>
        <v>0</v>
      </c>
      <c r="F191">
        <v>7617</v>
      </c>
      <c r="G191">
        <f>LNG_global1423[[#This Row],[Distance '[miles']]]*1.60934449789256</f>
        <v>12258.377040447629</v>
      </c>
      <c r="H191" t="s">
        <v>212</v>
      </c>
      <c r="I191" t="s">
        <v>221</v>
      </c>
    </row>
    <row r="192" spans="1:9">
      <c r="A192" t="s">
        <v>194</v>
      </c>
      <c r="B192" t="s">
        <v>209</v>
      </c>
      <c r="E192">
        <f t="shared" si="11"/>
        <v>0</v>
      </c>
      <c r="F192">
        <v>6627</v>
      </c>
      <c r="G192">
        <f>LNG_global1423[[#This Row],[Distance '[miles']]]*1.60934449789256</f>
        <v>10665.125987533995</v>
      </c>
      <c r="H192" t="s">
        <v>212</v>
      </c>
      <c r="I192" t="s">
        <v>222</v>
      </c>
    </row>
    <row r="193" spans="1:9">
      <c r="A193" t="s">
        <v>194</v>
      </c>
      <c r="B193" t="s">
        <v>210</v>
      </c>
      <c r="E193">
        <f t="shared" si="11"/>
        <v>0</v>
      </c>
      <c r="F193">
        <v>9051</v>
      </c>
      <c r="G193">
        <f>LNG_global1423[[#This Row],[Distance '[miles']]]*1.60934449789256</f>
        <v>14566.17705042556</v>
      </c>
      <c r="H193" t="s">
        <v>212</v>
      </c>
      <c r="I193" t="s">
        <v>237</v>
      </c>
    </row>
    <row r="194" spans="1:9">
      <c r="A194" t="s">
        <v>194</v>
      </c>
      <c r="B194" t="s">
        <v>223</v>
      </c>
      <c r="E194">
        <f t="shared" si="11"/>
        <v>0</v>
      </c>
      <c r="F194">
        <v>10383</v>
      </c>
      <c r="G194">
        <f>LNG_global1423[[#This Row],[Distance '[miles']]]*1.60934449789256</f>
        <v>16709.823921618448</v>
      </c>
      <c r="H194" t="s">
        <v>212</v>
      </c>
      <c r="I194" t="s">
        <v>228</v>
      </c>
    </row>
    <row r="195" spans="1:9">
      <c r="A195" t="s">
        <v>194</v>
      </c>
      <c r="B195" t="s">
        <v>224</v>
      </c>
      <c r="E195">
        <f t="shared" si="11"/>
        <v>0</v>
      </c>
      <c r="F195">
        <v>10383</v>
      </c>
      <c r="G195">
        <f>LNG_global1423[[#This Row],[Distance '[miles']]]*1.60934449789256</f>
        <v>16709.823921618448</v>
      </c>
      <c r="H195" t="s">
        <v>212</v>
      </c>
      <c r="I195" t="s">
        <v>229</v>
      </c>
    </row>
    <row r="196" spans="1:9">
      <c r="A196" t="s">
        <v>194</v>
      </c>
      <c r="B196" t="s">
        <v>225</v>
      </c>
      <c r="E196">
        <f t="shared" si="11"/>
        <v>0</v>
      </c>
      <c r="F196">
        <v>9500</v>
      </c>
      <c r="G196">
        <f>LNG_global1423[[#This Row],[Distance '[miles']]]*1.60934449789256</f>
        <v>15288.772729979319</v>
      </c>
      <c r="H196" t="s">
        <v>212</v>
      </c>
      <c r="I196" t="s">
        <v>230</v>
      </c>
    </row>
    <row r="197" spans="1:9">
      <c r="A197" t="s">
        <v>194</v>
      </c>
      <c r="B197" t="s">
        <v>226</v>
      </c>
      <c r="E197">
        <f t="shared" si="11"/>
        <v>0</v>
      </c>
      <c r="F197">
        <v>9038</v>
      </c>
      <c r="G197">
        <f>LNG_global1423[[#This Row],[Distance '[miles']]]*1.60934449789256</f>
        <v>14545.255571952957</v>
      </c>
      <c r="H197" t="s">
        <v>212</v>
      </c>
      <c r="I197" t="s">
        <v>231</v>
      </c>
    </row>
    <row r="198" spans="1:9">
      <c r="A198" t="s">
        <v>194</v>
      </c>
      <c r="B198" t="s">
        <v>227</v>
      </c>
      <c r="E198">
        <f t="shared" si="11"/>
        <v>0</v>
      </c>
      <c r="F198">
        <v>10323</v>
      </c>
      <c r="G198">
        <f>LNG_global1423[[#This Row],[Distance '[miles']]]*1.60934449789256</f>
        <v>16613.263251744895</v>
      </c>
      <c r="H198" t="s">
        <v>212</v>
      </c>
      <c r="I198" t="s">
        <v>232</v>
      </c>
    </row>
    <row r="199" spans="1:9">
      <c r="A199" t="s">
        <v>193</v>
      </c>
      <c r="B199" t="s">
        <v>200</v>
      </c>
      <c r="E199">
        <f>D199/1000</f>
        <v>0</v>
      </c>
      <c r="F199">
        <v>2843</v>
      </c>
      <c r="G199">
        <f>LNG_global1423[[#This Row],[Distance '[miles']]]*1.60934449789256</f>
        <v>4575.366407508548</v>
      </c>
      <c r="I199" t="s">
        <v>233</v>
      </c>
    </row>
    <row r="200" spans="1:9">
      <c r="A200" t="s">
        <v>193</v>
      </c>
      <c r="B200" t="s">
        <v>201</v>
      </c>
      <c r="E200">
        <f t="shared" ref="E200:E215" si="12">D200/1000</f>
        <v>0</v>
      </c>
      <c r="F200">
        <v>3331</v>
      </c>
      <c r="G200">
        <f>LNG_global1423[[#This Row],[Distance '[miles']]]*1.60934449789256</f>
        <v>5360.7265224801176</v>
      </c>
      <c r="I200" t="s">
        <v>278</v>
      </c>
    </row>
    <row r="201" spans="1:9">
      <c r="A201" t="s">
        <v>193</v>
      </c>
      <c r="B201" t="s">
        <v>267</v>
      </c>
      <c r="E201">
        <f t="shared" si="12"/>
        <v>0</v>
      </c>
      <c r="F201">
        <v>5582</v>
      </c>
      <c r="G201">
        <f>LNG_global1423[[#This Row],[Distance '[miles']]]*1.60934449789256</f>
        <v>8983.3609872362704</v>
      </c>
      <c r="I201" t="s">
        <v>214</v>
      </c>
    </row>
    <row r="202" spans="1:9">
      <c r="A202" t="s">
        <v>193</v>
      </c>
      <c r="B202" t="s">
        <v>202</v>
      </c>
      <c r="E202">
        <f t="shared" si="12"/>
        <v>0</v>
      </c>
      <c r="F202">
        <v>5759</v>
      </c>
      <c r="G202">
        <f>LNG_global1423[[#This Row],[Distance '[miles']]]*1.60934449789256</f>
        <v>9268.2149633632525</v>
      </c>
      <c r="I202" t="s">
        <v>286</v>
      </c>
    </row>
    <row r="203" spans="1:9">
      <c r="A203" t="s">
        <v>193</v>
      </c>
      <c r="B203" t="s">
        <v>203</v>
      </c>
      <c r="E203">
        <f t="shared" si="12"/>
        <v>0</v>
      </c>
      <c r="F203">
        <v>5707</v>
      </c>
      <c r="G203">
        <f>LNG_global1423[[#This Row],[Distance '[miles']]]*1.60934449789256</f>
        <v>9184.5290494728397</v>
      </c>
      <c r="I203" t="s">
        <v>216</v>
      </c>
    </row>
    <row r="204" spans="1:9">
      <c r="A204" t="s">
        <v>193</v>
      </c>
      <c r="B204" t="s">
        <v>204</v>
      </c>
      <c r="E204">
        <f t="shared" si="12"/>
        <v>0</v>
      </c>
      <c r="F204">
        <v>3047</v>
      </c>
      <c r="G204">
        <f>LNG_global1423[[#This Row],[Distance '[miles']]]*1.60934449789256</f>
        <v>4903.6726850786299</v>
      </c>
      <c r="I204" t="s">
        <v>217</v>
      </c>
    </row>
    <row r="205" spans="1:9">
      <c r="A205" t="s">
        <v>193</v>
      </c>
      <c r="B205" t="s">
        <v>205</v>
      </c>
      <c r="E205">
        <f t="shared" si="12"/>
        <v>0</v>
      </c>
      <c r="F205">
        <v>2827</v>
      </c>
      <c r="G205">
        <f>LNG_global1423[[#This Row],[Distance '[miles']]]*1.60934449789256</f>
        <v>4549.6168955422672</v>
      </c>
      <c r="I205" t="s">
        <v>218</v>
      </c>
    </row>
    <row r="206" spans="1:9">
      <c r="A206" t="s">
        <v>193</v>
      </c>
      <c r="B206" t="s">
        <v>206</v>
      </c>
      <c r="E206">
        <f t="shared" si="12"/>
        <v>0</v>
      </c>
      <c r="F206">
        <v>2856</v>
      </c>
      <c r="G206">
        <f>LNG_global1423[[#This Row],[Distance '[miles']]]*1.60934449789256</f>
        <v>4596.2878859811508</v>
      </c>
      <c r="I206" t="s">
        <v>219</v>
      </c>
    </row>
    <row r="207" spans="1:9">
      <c r="A207" t="s">
        <v>193</v>
      </c>
      <c r="B207" t="s">
        <v>207</v>
      </c>
      <c r="E207">
        <f t="shared" si="12"/>
        <v>0</v>
      </c>
      <c r="F207">
        <v>3840</v>
      </c>
      <c r="G207">
        <f>LNG_global1423[[#This Row],[Distance '[miles']]]*1.60934449789256</f>
        <v>6179.8828719074299</v>
      </c>
      <c r="I207" t="s">
        <v>220</v>
      </c>
    </row>
    <row r="208" spans="1:9">
      <c r="A208" t="s">
        <v>193</v>
      </c>
      <c r="B208" t="s">
        <v>208</v>
      </c>
      <c r="E208">
        <f t="shared" si="12"/>
        <v>0</v>
      </c>
      <c r="F208">
        <v>3499</v>
      </c>
      <c r="G208">
        <f>LNG_global1423[[#This Row],[Distance '[miles']]]*1.60934449789256</f>
        <v>5631.0963981260675</v>
      </c>
      <c r="I208" t="s">
        <v>236</v>
      </c>
    </row>
    <row r="209" spans="1:9">
      <c r="A209" t="s">
        <v>193</v>
      </c>
      <c r="B209" t="s">
        <v>209</v>
      </c>
      <c r="E209">
        <f t="shared" si="12"/>
        <v>0</v>
      </c>
      <c r="F209">
        <v>5736</v>
      </c>
      <c r="G209">
        <f>LNG_global1423[[#This Row],[Distance '[miles']]]*1.60934449789256</f>
        <v>9231.2000399117242</v>
      </c>
      <c r="I209" t="s">
        <v>222</v>
      </c>
    </row>
    <row r="210" spans="1:9">
      <c r="A210" t="s">
        <v>193</v>
      </c>
      <c r="B210" t="s">
        <v>210</v>
      </c>
      <c r="E210">
        <f t="shared" si="12"/>
        <v>0</v>
      </c>
      <c r="F210">
        <v>2866</v>
      </c>
      <c r="G210">
        <f>LNG_global1423[[#This Row],[Distance '[miles']]]*1.60934449789256</f>
        <v>4612.3813309600764</v>
      </c>
      <c r="I210" t="s">
        <v>280</v>
      </c>
    </row>
    <row r="211" spans="1:9">
      <c r="A211" t="s">
        <v>193</v>
      </c>
      <c r="B211" t="s">
        <v>223</v>
      </c>
      <c r="E211">
        <f t="shared" si="12"/>
        <v>0</v>
      </c>
      <c r="F211">
        <v>3259</v>
      </c>
      <c r="G211">
        <f>LNG_global1423[[#This Row],[Distance '[miles']]]*1.60934449789256</f>
        <v>5244.8537186318526</v>
      </c>
      <c r="I211" t="s">
        <v>228</v>
      </c>
    </row>
    <row r="212" spans="1:9">
      <c r="A212" t="s">
        <v>193</v>
      </c>
      <c r="B212" t="s">
        <v>224</v>
      </c>
      <c r="E212">
        <f t="shared" si="12"/>
        <v>0</v>
      </c>
      <c r="F212">
        <v>3259</v>
      </c>
      <c r="G212">
        <f>LNG_global1423[[#This Row],[Distance '[miles']]]*1.60934449789256</f>
        <v>5244.8537186318526</v>
      </c>
      <c r="I212" t="s">
        <v>229</v>
      </c>
    </row>
    <row r="213" spans="1:9">
      <c r="A213" t="s">
        <v>193</v>
      </c>
      <c r="B213" t="s">
        <v>225</v>
      </c>
      <c r="E213">
        <f t="shared" si="12"/>
        <v>0</v>
      </c>
      <c r="F213">
        <v>2730</v>
      </c>
      <c r="G213">
        <f>LNG_global1423[[#This Row],[Distance '[miles']]]*1.60934449789256</f>
        <v>4393.5104792466891</v>
      </c>
      <c r="I213" t="s">
        <v>230</v>
      </c>
    </row>
    <row r="214" spans="1:9">
      <c r="A214" t="s">
        <v>193</v>
      </c>
      <c r="B214" t="s">
        <v>226</v>
      </c>
      <c r="E214">
        <f t="shared" si="12"/>
        <v>0</v>
      </c>
      <c r="F214">
        <v>3077</v>
      </c>
      <c r="G214">
        <f>LNG_global1423[[#This Row],[Distance '[miles']]]*1.60934449789256</f>
        <v>4951.9530200154068</v>
      </c>
      <c r="I214" t="s">
        <v>231</v>
      </c>
    </row>
    <row r="215" spans="1:9">
      <c r="A215" t="s">
        <v>193</v>
      </c>
      <c r="B215" t="s">
        <v>227</v>
      </c>
      <c r="E215">
        <f t="shared" si="12"/>
        <v>0</v>
      </c>
      <c r="F215">
        <v>3199</v>
      </c>
      <c r="G215">
        <f>LNG_global1423[[#This Row],[Distance '[miles']]]*1.60934449789256</f>
        <v>5148.2930487582989</v>
      </c>
      <c r="I215" t="s">
        <v>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nodes_lng_europe_2020</vt:lpstr>
      <vt:lpstr>nodes_lng_europe_2024</vt:lpstr>
      <vt:lpstr>nodes_lng_europe_2035</vt:lpstr>
      <vt:lpstr>nodes_gas_prod_europe_2020</vt:lpstr>
      <vt:lpstr>nodes_gas_prod_world_2020</vt:lpstr>
      <vt:lpstr>nodes_gas_prod_europe_2024</vt:lpstr>
      <vt:lpstr>nodes_gas_prod_world_2024</vt:lpstr>
      <vt:lpstr>nodes_gas_prod_europe_2035_SP</vt:lpstr>
      <vt:lpstr>nodes_gas_prod_europe_2035_AP</vt:lpstr>
      <vt:lpstr>nodes_gas_prod_world_2035</vt:lpstr>
      <vt:lpstr>nodes_demand_europe_2020</vt:lpstr>
      <vt:lpstr>nodes_demand_world_2020</vt:lpstr>
      <vt:lpstr>nodes_demand_europe_2024</vt:lpstr>
      <vt:lpstr>nodes_demand_europe_2035</vt:lpstr>
      <vt:lpstr>nodes_demand_europe_2035_SP</vt:lpstr>
      <vt:lpstr>nodes_demand_europe_2035_AP</vt:lpstr>
      <vt:lpstr>nodes_demand_world_2024</vt:lpstr>
      <vt:lpstr>nodes_demand_world_2035</vt:lpstr>
      <vt:lpstr>Connections_2020</vt:lpstr>
      <vt:lpstr>Import_Connections_EU</vt:lpstr>
      <vt:lpstr>Connections_2024</vt:lpstr>
      <vt:lpstr>Connections_2035</vt:lpstr>
      <vt:lpstr>Global_Connections</vt:lpstr>
      <vt:lpstr>global_LNG_connections_2020</vt:lpstr>
      <vt:lpstr>global_LNG_connections_2024</vt:lpstr>
      <vt:lpstr>global_LNG_connections_2035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2015-06-05T18:19:34Z</dcterms:created>
  <dcterms:modified xsi:type="dcterms:W3CDTF">2025-05-08T09:07:57Z</dcterms:modified>
</cp:coreProperties>
</file>