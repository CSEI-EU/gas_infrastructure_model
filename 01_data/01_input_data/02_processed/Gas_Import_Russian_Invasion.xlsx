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6A42C35-6F73-4CF3-A238-6CD046593CD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nodes_lng" sheetId="1" r:id="rId1"/>
    <sheet name="nodes_gas_prod_2020" sheetId="2" r:id="rId2"/>
    <sheet name="nodes_demand_2020" sheetId="3" r:id="rId3"/>
    <sheet name="nodes_demand_2023" sheetId="6" r:id="rId4"/>
    <sheet name="Connections" sheetId="4" r:id="rId5"/>
    <sheet name="Import_Connection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40" i="2"/>
  <c r="F40" i="2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92" i="4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1" i="2"/>
  <c r="F42" i="2"/>
  <c r="D44" i="2"/>
  <c r="C44" i="2"/>
  <c r="E44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1" i="2"/>
  <c r="E42" i="2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27" i="6" l="1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<sst xmlns="http://schemas.openxmlformats.org/spreadsheetml/2006/main" count="605" uniqueCount="138">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</sst>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0"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9"/>
    <tableColumn id="5" xr3:uid="{4278F9D8-E46F-44B9-A622-727B8E2C8EF1}" name="Mil m3 EU [2020]" dataDxfId="8"/>
    <tableColumn id="6" xr3:uid="{F2BDB73C-713D-4BC7-B762-048AA072F297}" name="Mrd m3 EU [2020]" dataDxfId="7">
      <calculatedColumnFormula>Table2[[#This Row],[Mil m3 EU '[2020']]]/1000</calculatedColumnFormula>
    </tableColumn>
    <tableColumn id="4" xr3:uid="{5BB2DA97-8C23-44BC-9268-BDBE2BCDBBC8}" name="TWh [2020]" dataDxfId="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"/>
    <tableColumn id="4" xr3:uid="{1618AAC4-0782-47C3-91CE-2FEB95FBDD58}" name="TWh [2020]" dataDxfId="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"/>
    <tableColumn id="4" xr3:uid="{60E83C2D-D521-4D6A-800D-160C3176DFC7}" name="TWh [2023]" dataDxfId="1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0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G15" sqref="G1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105</v>
      </c>
      <c r="G1" t="s">
        <v>106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103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103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103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103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103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103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103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103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103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103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103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103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102</v>
      </c>
    </row>
    <row r="15" spans="1:13">
      <c r="A15" t="s">
        <v>131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103</v>
      </c>
      <c r="L15" t="str">
        <f t="shared" si="2"/>
        <v>EE_LNG</v>
      </c>
      <c r="M15" t="str">
        <f t="shared" si="3"/>
        <v>EE</v>
      </c>
    </row>
    <row r="16" spans="1:13">
      <c r="A16" t="s">
        <v>130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103</v>
      </c>
      <c r="L16" t="str">
        <f t="shared" si="2"/>
        <v>FI_LNG</v>
      </c>
      <c r="M16" t="str">
        <f t="shared" si="3"/>
        <v>FI</v>
      </c>
    </row>
    <row r="17" spans="1:13">
      <c r="A17" t="s">
        <v>132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103</v>
      </c>
      <c r="L17" t="str">
        <f t="shared" si="2"/>
        <v>DE_LNG</v>
      </c>
      <c r="M17" t="str">
        <f t="shared" si="3"/>
        <v>DE</v>
      </c>
    </row>
    <row r="18" spans="1:13">
      <c r="A18" t="s">
        <v>133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103</v>
      </c>
      <c r="L18" t="str">
        <f t="shared" si="2"/>
        <v>IE_LNG</v>
      </c>
      <c r="M18" t="str">
        <f t="shared" si="3"/>
        <v>IE</v>
      </c>
    </row>
    <row r="19" spans="1:13">
      <c r="A19" t="s">
        <v>134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103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abSelected="1" topLeftCell="A31" workbookViewId="0">
      <selection activeCell="C21" sqref="C21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104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1427.5409999999999</v>
      </c>
      <c r="E11" s="2">
        <f>Table2[[#This Row],[Mil m3 EU '[2020']]]/1000</f>
        <v>1.4275409999999999</v>
      </c>
      <c r="F11" s="3">
        <f>IF(Table2[[#This Row],[Mil m3 EU '[2020']]]&gt;0,Table2[[#This Row],[Mrd m3 EU '[2020']]],Table2[[#This Row],[Mrd m3 '[2020']]])*9.77</f>
        <v>13.947075569999999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90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43" workbookViewId="0">
      <selection activeCell="A50" sqref="A5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107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113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114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111</v>
      </c>
      <c r="B41" t="s">
        <v>112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120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137</v>
      </c>
      <c r="D1" t="s">
        <v>136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113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114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111</v>
      </c>
      <c r="B41" t="s">
        <v>112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120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workbookViewId="0">
      <selection activeCell="G95" sqref="G95"/>
    </sheetView>
  </sheetViews>
  <sheetFormatPr defaultRowHeight="14.5"/>
  <cols>
    <col min="3" max="3" width="8.90625" customWidth="1"/>
    <col min="4" max="4" width="8.81640625" customWidth="1"/>
  </cols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97</v>
      </c>
      <c r="B3" t="s">
        <v>98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99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100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98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99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126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127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128</v>
      </c>
    </row>
    <row r="31" spans="1:6">
      <c r="A31" t="s">
        <v>41</v>
      </c>
      <c r="B31" t="s">
        <v>53</v>
      </c>
      <c r="F31" t="s">
        <v>129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101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101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nodes_lng</vt:lpstr>
      <vt:lpstr>nodes_gas_prod_2020</vt:lpstr>
      <vt:lpstr>nodes_demand_2020</vt:lpstr>
      <vt:lpstr>nodes_demand_2023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2025-02-19T08:11:54Z</dcterms:modified>
</cp:coreProperties>
</file>