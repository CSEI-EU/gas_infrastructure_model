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7A8BFAD9-B3F8-4153-8762-D9C5883BA897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nodes_lng" sheetId="1" r:id="rId1"/>
    <sheet name="nodes_gas_prod" sheetId="2" r:id="rId2"/>
    <sheet name="nodes_demand_2020" sheetId="3" r:id="rId3"/>
    <sheet name="nodes_demand_2023" sheetId="6" r:id="rId4"/>
    <sheet name="Connections" sheetId="4" r:id="rId5"/>
    <sheet name="Import_Connection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92" i="4"/>
  <c r="D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27" i="6" l="1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<sst xmlns="http://schemas.openxmlformats.org/spreadsheetml/2006/main" count="605" uniqueCount="139">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</sst>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 applyFill="0" applyBorder="0">
      <alignment vertical="center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2">
    <cellStyle name="04_Table text" xfId="3" xr:uid="{60FAF7FD-D988-4AB0-B86F-CAD4D7C5E89B}"/>
    <cellStyle name="C01_Main head" xfId="23" xr:uid="{3FF1BF2F-769C-4CF6-BB03-FA58B69C5545}"/>
    <cellStyle name="C02_Column heads" xfId="17" xr:uid="{6AA76714-52DD-4B3B-9F1F-E7ED06188786}"/>
    <cellStyle name="C03_Sub head bold" xfId="18" xr:uid="{71BDF15F-8FAB-4B9D-BF56-0C82A383AA8E}"/>
    <cellStyle name="C04_Total text white bold" xfId="21" xr:uid="{287E28E8-DA9A-4DA7-94AD-5AF1C537F15F}"/>
    <cellStyle name="C04a_Total text black with rule" xfId="20" xr:uid="{16CE27B2-E630-4389-8700-BC6F07A207BB}"/>
    <cellStyle name="C05_Main text" xfId="19" xr:uid="{19A3C003-4A4D-4B53-B889-86660BE2F4A7}"/>
    <cellStyle name="C06_Figs" xfId="25" xr:uid="{6EF7291D-EE46-4629-B94D-1ECDF30BDA6F}"/>
    <cellStyle name="C07_Figs 1 dec percent" xfId="33" xr:uid="{47221C8E-FC37-465A-9665-18759B74A6CE}"/>
    <cellStyle name="C09_Notes" xfId="8" xr:uid="{9085F154-117F-416B-8D81-36A9DB81FB8C}"/>
    <cellStyle name="Comma 2" xfId="15" xr:uid="{C220F88A-4F55-4623-B6C1-AD23C8E74659}"/>
    <cellStyle name="Comma 5" xfId="30" xr:uid="{0067ED6D-11E5-44AC-9D53-C45880789330}"/>
    <cellStyle name="Hyperlink 2" xfId="2" xr:uid="{BA9329EA-B184-49A9-9DC3-748FF9EBB7D9}"/>
    <cellStyle name="Hyperlink 2 2" xfId="4" xr:uid="{F9103865-4F21-4889-8B72-20BE8654C338}"/>
    <cellStyle name="Hyperlink 2 2 2" xfId="13" xr:uid="{5BCD4CE7-6B2C-456F-8FB9-324AD7E49CAD}"/>
    <cellStyle name="Hyperlink 3" xfId="14" xr:uid="{94940656-2676-4A09-B05D-BC18288B254C}"/>
    <cellStyle name="Normal" xfId="0" builtinId="0"/>
    <cellStyle name="Normal 18" xfId="31" xr:uid="{E7EAE102-3B70-42A2-97BE-6613C6991711}"/>
    <cellStyle name="Normal 2" xfId="1" xr:uid="{190F2216-BF41-4842-8670-90BCBED25C1F}"/>
    <cellStyle name="Normal 2 2" xfId="9" xr:uid="{BBA1F6BA-F8D2-45BD-89F2-5F79E7C1C329}"/>
    <cellStyle name="Normal 2 2 2" xfId="27" xr:uid="{AD51099B-D49D-45FE-80D3-1F4120CAB713}"/>
    <cellStyle name="Normal 2 2 3" xfId="32" xr:uid="{685F2931-69F1-4742-862E-8D36BACD9F1A}"/>
    <cellStyle name="Normal 2 2 9 2" xfId="38" xr:uid="{1D997E3D-2769-4905-B0EB-950CAA58DB0A}"/>
    <cellStyle name="Normal 2 3" xfId="41" xr:uid="{1A02E014-9D0A-45BD-84AD-CEF3659D5A24}"/>
    <cellStyle name="Normal 2 5" xfId="28" xr:uid="{BA56A082-19D7-4317-9FF5-DEC1FFBEF23C}"/>
    <cellStyle name="Normal 2 6" xfId="10" xr:uid="{A9C605D1-161F-4025-811E-28DABC062934}"/>
    <cellStyle name="Normal 20" xfId="22" xr:uid="{648D11FF-279B-4F0E-B09D-8C1EC6061892}"/>
    <cellStyle name="Normal 3" xfId="11" xr:uid="{C48EB3F3-1975-4918-BAB7-BE900719A5F7}"/>
    <cellStyle name="Normal 33" xfId="6" xr:uid="{5CD1E707-8667-45EC-ABF6-B60F6E9E59D3}"/>
    <cellStyle name="Normal 4" xfId="40" xr:uid="{6FD259F4-48D1-4A86-985F-41950DBD9149}"/>
    <cellStyle name="Normal 4 2 2" xfId="5" xr:uid="{919221B1-42A4-4700-9239-2DAFE893779F}"/>
    <cellStyle name="Normal 5" xfId="37" xr:uid="{7566378D-1084-4857-A4BB-1DAAB3764B14}"/>
    <cellStyle name="Normal 5 8 2" xfId="39" xr:uid="{AEB2F650-B345-44F9-857E-1FF7EFC5D55E}"/>
    <cellStyle name="Normal 6" xfId="12" xr:uid="{D03254E9-8E42-4BF4-8A58-7DE6DA4A8303}"/>
    <cellStyle name="Normal 8" xfId="7" xr:uid="{90F0E83A-EA1A-48E1-A5EE-D67EB082C60D}"/>
    <cellStyle name="Normal 8 2" xfId="24" xr:uid="{A358C3D2-DBD8-459F-9B06-BAA976C32485}"/>
    <cellStyle name="Normal 8 7" xfId="26" xr:uid="{76B13E51-C838-4F8D-AADA-E10D7E632F63}"/>
    <cellStyle name="Percent 2" xfId="16" xr:uid="{8FA158A0-20DC-4018-9CF3-EDDF9FADF72C}"/>
    <cellStyle name="Percent 2 2" xfId="29" xr:uid="{0AA4CE3F-8960-4102-9CAE-7448A8126969}"/>
    <cellStyle name="Percent 3" xfId="35" xr:uid="{8AB380C1-64CC-421C-8275-BF15C8D4F870}"/>
    <cellStyle name="Percent 4" xfId="36" xr:uid="{FBC58B8C-7B58-4A54-9EE4-7950F3EA222E}"/>
    <cellStyle name="Percent 8" xfId="34" xr:uid="{304ED844-55A0-412B-ADC5-6D43390D8D63}"/>
  </cellStyles>
  <dxfs count="10"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9"/>
    <tableColumn id="5" xr3:uid="{4278F9D8-E46F-44B9-A622-727B8E2C8EF1}" name="Mil m3 EU [2020]" dataDxfId="8"/>
    <tableColumn id="6" xr3:uid="{F2BDB73C-713D-4BC7-B762-048AA072F297}" name="Mrd m3 EU [2020]" dataDxfId="7">
      <calculatedColumnFormula>Table2[[#This Row],[Mil m3 EU '[2020']]]/1000</calculatedColumnFormula>
    </tableColumn>
    <tableColumn id="4" xr3:uid="{5BB2DA97-8C23-44BC-9268-BDBE2BCDBBC8}" name="TWh [2020]" dataDxfId="6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5"/>
    <tableColumn id="4" xr3:uid="{1618AAC4-0782-47C3-91CE-2FEB95FBDD58}" name="TWh [2020]" dataDxfId="4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3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2"/>
    <tableColumn id="4" xr3:uid="{60E83C2D-D521-4D6A-800D-160C3176DFC7}" name="TWh [2023]" dataDxfId="1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0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2" totalsRowShown="0">
  <autoFilter ref="A1:E92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G15" sqref="G15"/>
    </sheetView>
  </sheetViews>
  <sheetFormatPr defaultRowHeight="14.5"/>
  <sheetData>
    <row r="1" spans="1:13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104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104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104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104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104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104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104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104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104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104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104</v>
      </c>
      <c r="L13" t="str">
        <f t="shared" si="2"/>
        <v>UK_LNG</v>
      </c>
      <c r="M13" t="str">
        <f t="shared" si="3"/>
        <v>UK</v>
      </c>
    </row>
    <row r="14" spans="1:13">
      <c r="A14" t="s">
        <v>93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103</v>
      </c>
    </row>
    <row r="15" spans="1:13">
      <c r="A15" t="s">
        <v>132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104</v>
      </c>
      <c r="L15" t="str">
        <f t="shared" si="2"/>
        <v>EE_LNG</v>
      </c>
      <c r="M15" t="str">
        <f t="shared" si="3"/>
        <v>EE</v>
      </c>
    </row>
    <row r="16" spans="1:13">
      <c r="A16" t="s">
        <v>131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104</v>
      </c>
      <c r="L16" t="str">
        <f t="shared" si="2"/>
        <v>FI_LNG</v>
      </c>
      <c r="M16" t="str">
        <f t="shared" si="3"/>
        <v>FI</v>
      </c>
    </row>
    <row r="17" spans="1:13">
      <c r="A17" t="s">
        <v>133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104</v>
      </c>
      <c r="L17" t="str">
        <f t="shared" si="2"/>
        <v>DE_LNG</v>
      </c>
      <c r="M17" t="str">
        <f t="shared" si="3"/>
        <v>DE</v>
      </c>
    </row>
    <row r="18" spans="1:13">
      <c r="A18" t="s">
        <v>134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104</v>
      </c>
      <c r="L18" t="str">
        <f t="shared" si="2"/>
        <v>IE_LNG</v>
      </c>
      <c r="M18" t="str">
        <f t="shared" si="3"/>
        <v>IE</v>
      </c>
    </row>
    <row r="19" spans="1:13">
      <c r="A19" t="s">
        <v>135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104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85</v>
      </c>
    </row>
    <row r="48" spans="1:13">
      <c r="A48" t="s">
        <v>80</v>
      </c>
      <c r="B48" t="s">
        <v>91</v>
      </c>
    </row>
    <row r="49" spans="1:2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F42" sqref="F42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87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89</v>
      </c>
      <c r="B27" t="s">
        <v>90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88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136</v>
      </c>
    </row>
    <row r="51" spans="1:2">
      <c r="A51" t="s">
        <v>116</v>
      </c>
    </row>
    <row r="52" spans="1:2">
      <c r="A52" t="s">
        <v>117</v>
      </c>
      <c r="B52" t="s">
        <v>118</v>
      </c>
    </row>
    <row r="53" spans="1:2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abSelected="1"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138</v>
      </c>
      <c r="D1" t="s">
        <v>137</v>
      </c>
      <c r="E1" t="s">
        <v>111</v>
      </c>
      <c r="F1" t="s">
        <v>122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87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114</v>
      </c>
      <c r="B21" t="s">
        <v>93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115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89</v>
      </c>
      <c r="B27" t="s">
        <v>90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88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112</v>
      </c>
      <c r="B41" t="s">
        <v>113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121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136</v>
      </c>
    </row>
    <row r="51" spans="1:2">
      <c r="A51" t="s">
        <v>116</v>
      </c>
    </row>
    <row r="52" spans="1:2">
      <c r="A52" t="s">
        <v>117</v>
      </c>
      <c r="B52" t="s">
        <v>118</v>
      </c>
    </row>
    <row r="53" spans="1:2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2"/>
  <sheetViews>
    <sheetView workbookViewId="0">
      <selection activeCell="G95" sqref="G95"/>
    </sheetView>
  </sheetViews>
  <sheetFormatPr defaultRowHeight="14.5"/>
  <cols>
    <col min="3" max="3" width="8.90625" customWidth="1"/>
    <col min="4" max="4" width="8.81640625" customWidth="1"/>
  </cols>
  <sheetData>
    <row r="1" spans="1: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  <row r="91" spans="1:5">
      <c r="A91" s="4" t="s">
        <v>54</v>
      </c>
      <c r="B91" s="4" t="s">
        <v>36</v>
      </c>
      <c r="C91" s="4"/>
      <c r="D91" s="4">
        <f>C91*365</f>
        <v>0</v>
      </c>
      <c r="E91" s="4">
        <v>24.424999999999997</v>
      </c>
    </row>
    <row r="92" spans="1:5">
      <c r="A92" t="s">
        <v>36</v>
      </c>
      <c r="B92" t="s">
        <v>54</v>
      </c>
      <c r="D92">
        <f>C92*365</f>
        <v>0</v>
      </c>
      <c r="E92" s="4">
        <v>24.424999999999997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/>
  <sheetData>
    <row r="1" spans="1: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>
      <c r="A31" t="s">
        <v>41</v>
      </c>
      <c r="B31" t="s">
        <v>53</v>
      </c>
      <c r="F31" t="s">
        <v>130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102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102</v>
      </c>
    </row>
    <row r="37" spans="1:6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nodes_lng</vt:lpstr>
      <vt:lpstr>nodes_gas_prod</vt:lpstr>
      <vt:lpstr>nodes_demand_2020</vt:lpstr>
      <vt:lpstr>nodes_demand_2023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2025-02-19T07:40:49Z</dcterms:modified>
</cp:coreProperties>
</file>