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73892C0-654D-443E-8E9E-C458535F6BC3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9" l="1"/>
  <c r="G210" i="9"/>
  <c r="G216" i="9"/>
  <c r="G219" i="9"/>
  <c r="E209" i="9"/>
  <c r="E217" i="9"/>
  <c r="E220" i="9"/>
  <c r="E206" i="9"/>
  <c r="E207" i="9"/>
  <c r="E208" i="9"/>
  <c r="E210" i="9"/>
  <c r="E211" i="9"/>
  <c r="E212" i="9"/>
  <c r="E213" i="9"/>
  <c r="E214" i="9"/>
  <c r="E215" i="9"/>
  <c r="E216" i="9"/>
  <c r="E218" i="9"/>
  <c r="E219" i="9"/>
  <c r="E221" i="9"/>
  <c r="G206" i="9"/>
  <c r="G207" i="9"/>
  <c r="G208" i="9"/>
  <c r="G209" i="9"/>
  <c r="G211" i="9"/>
  <c r="G212" i="9"/>
  <c r="G213" i="9"/>
  <c r="G214" i="9"/>
  <c r="G215" i="9"/>
  <c r="G217" i="9"/>
  <c r="G218" i="9"/>
  <c r="G220" i="9"/>
  <c r="G221" i="9"/>
  <c r="E205" i="9"/>
  <c r="G205" i="9"/>
  <c r="E190" i="9"/>
  <c r="E192" i="9"/>
  <c r="E193" i="9"/>
  <c r="E196" i="9"/>
  <c r="E189" i="9"/>
  <c r="E191" i="9"/>
  <c r="E194" i="9"/>
  <c r="E195" i="9"/>
  <c r="E197" i="9"/>
  <c r="E198" i="9"/>
  <c r="E199" i="9"/>
  <c r="E200" i="9"/>
  <c r="E201" i="9"/>
  <c r="E202" i="9"/>
  <c r="E203" i="9"/>
  <c r="E204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E188" i="9"/>
  <c r="G188" i="9"/>
  <c r="G52" i="9"/>
  <c r="G51" i="9"/>
  <c r="G50" i="9"/>
  <c r="G49" i="9"/>
  <c r="E173" i="9"/>
  <c r="E175" i="9"/>
  <c r="E176" i="9"/>
  <c r="E179" i="9"/>
  <c r="E172" i="9"/>
  <c r="E174" i="9"/>
  <c r="E177" i="9"/>
  <c r="E178" i="9"/>
  <c r="E180" i="9"/>
  <c r="E181" i="9"/>
  <c r="E182" i="9"/>
  <c r="E183" i="9"/>
  <c r="E184" i="9"/>
  <c r="E185" i="9"/>
  <c r="E186" i="9"/>
  <c r="E187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E171" i="9"/>
  <c r="G171" i="9"/>
  <c r="E158" i="9"/>
  <c r="E162" i="9"/>
  <c r="E155" i="9"/>
  <c r="E156" i="9"/>
  <c r="E157" i="9"/>
  <c r="E159" i="9"/>
  <c r="E160" i="9"/>
  <c r="E161" i="9"/>
  <c r="E163" i="9"/>
  <c r="E164" i="9"/>
  <c r="E165" i="9"/>
  <c r="E166" i="9"/>
  <c r="E167" i="9"/>
  <c r="E168" i="9"/>
  <c r="E169" i="9"/>
  <c r="E170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E154" i="9"/>
  <c r="G154" i="9"/>
  <c r="G140" i="9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62" i="9"/>
  <c r="G63" i="9"/>
  <c r="G64" i="9"/>
  <c r="G65" i="9"/>
  <c r="G53" i="9"/>
  <c r="G54" i="9"/>
  <c r="G56" i="9"/>
  <c r="G57" i="9"/>
  <c r="G58" i="9"/>
  <c r="G59" i="9"/>
  <c r="G60" i="9"/>
  <c r="G61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<sst xmlns="http://schemas.openxmlformats.org/spreadsheetml/2006/main" count="1970" uniqueCount="265">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</sst>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21" totalsRowShown="0" headerRowDxfId="5" headerRowBorderDxfId="4" tableBorderDxfId="3" totalsRowBorderDxfId="2">
  <autoFilter ref="A1:I221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21"/>
  <sheetViews>
    <sheetView tabSelected="1" topLeftCell="A10" workbookViewId="0">
      <selection activeCell="M10" sqref="M10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  <c r="M7" t="s">
        <v>258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  <c r="M8" t="s">
        <v>260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  <c r="M9" t="s">
        <v>261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  <c r="M10" t="s">
        <v>264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F42">
        <v>8575</v>
      </c>
      <c r="G42">
        <f>LNG_global[[#This Row],[Distance '[miles']]]*1.60934449789256</f>
        <v>13800.129069428702</v>
      </c>
      <c r="I42" t="s">
        <v>259</v>
      </c>
    </row>
    <row r="43" spans="1:9">
      <c r="A43" t="s">
        <v>191</v>
      </c>
      <c r="B43" t="s">
        <v>190</v>
      </c>
      <c r="E43">
        <f t="shared" ref="E43:E48" si="4">D43/1000</f>
        <v>0</v>
      </c>
      <c r="F43">
        <v>8554</v>
      </c>
      <c r="G43">
        <f>LNG_global[[#This Row],[Distance '[miles']]]*1.60934449789256</f>
        <v>13766.332834972958</v>
      </c>
      <c r="I43" t="s">
        <v>246</v>
      </c>
    </row>
    <row r="44" spans="1:9">
      <c r="A44" t="s">
        <v>191</v>
      </c>
      <c r="B44" t="s">
        <v>193</v>
      </c>
      <c r="E44">
        <f t="shared" si="4"/>
        <v>0</v>
      </c>
      <c r="F44">
        <v>3175</v>
      </c>
      <c r="G44">
        <f>LNG_global[[#This Row],[Distance '[miles']]]*1.60934449789256</f>
        <v>5109.6687808088782</v>
      </c>
      <c r="I44" t="s">
        <v>248</v>
      </c>
    </row>
    <row r="45" spans="1:9">
      <c r="A45" t="s">
        <v>191</v>
      </c>
      <c r="B45" t="s">
        <v>194</v>
      </c>
      <c r="E45">
        <f t="shared" si="4"/>
        <v>0</v>
      </c>
      <c r="F45">
        <v>3033</v>
      </c>
      <c r="G45">
        <f>LNG_global[[#This Row],[Distance '[miles']]]*1.60934449789256</f>
        <v>4881.1418621081348</v>
      </c>
      <c r="I45" t="s">
        <v>249</v>
      </c>
    </row>
    <row r="46" spans="1:9">
      <c r="A46" t="s">
        <v>191</v>
      </c>
      <c r="B46" t="s">
        <v>195</v>
      </c>
      <c r="E46">
        <f t="shared" si="4"/>
        <v>0</v>
      </c>
      <c r="F46">
        <v>4180</v>
      </c>
      <c r="G46">
        <f>LNG_global[[#This Row],[Distance '[miles']]]*1.60934449789256</f>
        <v>6727.0600011909009</v>
      </c>
      <c r="I46" t="s">
        <v>257</v>
      </c>
    </row>
    <row r="47" spans="1:9">
      <c r="A47" t="s">
        <v>191</v>
      </c>
      <c r="B47" t="s">
        <v>196</v>
      </c>
      <c r="E47">
        <f t="shared" si="4"/>
        <v>0</v>
      </c>
      <c r="F47">
        <v>2612</v>
      </c>
      <c r="G47">
        <f>LNG_global[[#This Row],[Distance '[miles']]]*1.60934449789256</f>
        <v>4203.6078284953664</v>
      </c>
      <c r="I47" t="s">
        <v>251</v>
      </c>
    </row>
    <row r="48" spans="1:9">
      <c r="A48" t="s">
        <v>191</v>
      </c>
      <c r="B48" t="s">
        <v>197</v>
      </c>
      <c r="E48">
        <f t="shared" si="4"/>
        <v>0</v>
      </c>
      <c r="F48">
        <v>6655</v>
      </c>
      <c r="G48">
        <f>LNG_global[[#This Row],[Distance '[miles']]]*1.60934449789256</f>
        <v>10710.187633474987</v>
      </c>
      <c r="I48" t="s">
        <v>219</v>
      </c>
    </row>
    <row r="49" spans="1:9">
      <c r="A49" t="s">
        <v>199</v>
      </c>
      <c r="B49" t="s">
        <v>192</v>
      </c>
      <c r="E49">
        <f>D49/1000</f>
        <v>0</v>
      </c>
      <c r="F49">
        <v>7893</v>
      </c>
      <c r="G49">
        <f>LNG_global[[#This Row],[Distance '[miles']]]*1.60934449789256</f>
        <v>12702.556121865975</v>
      </c>
      <c r="I49" t="s">
        <v>245</v>
      </c>
    </row>
    <row r="50" spans="1:9">
      <c r="A50" t="s">
        <v>199</v>
      </c>
      <c r="B50" t="s">
        <v>190</v>
      </c>
      <c r="E50">
        <f t="shared" ref="E50:E55" si="5">D50/1000</f>
        <v>0</v>
      </c>
      <c r="F50">
        <v>7122</v>
      </c>
      <c r="G50">
        <f>LNG_global[[#This Row],[Distance '[miles']]]*1.60934449789256</f>
        <v>11461.751513990812</v>
      </c>
      <c r="I50" t="s">
        <v>246</v>
      </c>
    </row>
    <row r="51" spans="1:9">
      <c r="A51" t="s">
        <v>199</v>
      </c>
      <c r="B51" t="s">
        <v>193</v>
      </c>
      <c r="E51">
        <f t="shared" si="5"/>
        <v>0</v>
      </c>
      <c r="F51">
        <v>13641</v>
      </c>
      <c r="G51">
        <f>LNG_global[[#This Row],[Distance '[miles']]]*1.60934449789256</f>
        <v>21953.068295752411</v>
      </c>
      <c r="H51" t="s">
        <v>219</v>
      </c>
      <c r="I51" t="s">
        <v>248</v>
      </c>
    </row>
    <row r="52" spans="1:9">
      <c r="A52" t="s">
        <v>199</v>
      </c>
      <c r="B52" t="s">
        <v>194</v>
      </c>
      <c r="E52">
        <f t="shared" si="5"/>
        <v>0</v>
      </c>
      <c r="F52">
        <v>949</v>
      </c>
      <c r="G52">
        <f>LNG_global[[#This Row],[Distance '[miles']]]*1.60934449789256</f>
        <v>1527.2679285000395</v>
      </c>
      <c r="I52" t="s">
        <v>249</v>
      </c>
    </row>
    <row r="53" spans="1:9">
      <c r="A53" t="s">
        <v>199</v>
      </c>
      <c r="B53" t="s">
        <v>195</v>
      </c>
      <c r="E53">
        <f t="shared" si="5"/>
        <v>0</v>
      </c>
      <c r="F53">
        <v>8895</v>
      </c>
      <c r="G53">
        <f>LNG_global[[#This Row],[Distance '[miles']]]*1.60934449789256</f>
        <v>14315.119308754322</v>
      </c>
      <c r="H53" t="s">
        <v>219</v>
      </c>
      <c r="I53" t="s">
        <v>250</v>
      </c>
    </row>
    <row r="54" spans="1:9">
      <c r="A54" t="s">
        <v>199</v>
      </c>
      <c r="B54" t="s">
        <v>196</v>
      </c>
      <c r="E54">
        <f t="shared" si="5"/>
        <v>0</v>
      </c>
      <c r="F54">
        <v>11853</v>
      </c>
      <c r="G54">
        <f>LNG_global[[#This Row],[Distance '[miles']]]*1.60934449789256</f>
        <v>19075.560333520512</v>
      </c>
      <c r="H54" t="s">
        <v>219</v>
      </c>
      <c r="I54" t="s">
        <v>251</v>
      </c>
    </row>
    <row r="55" spans="1:9">
      <c r="A55" t="s">
        <v>199</v>
      </c>
      <c r="B55" t="s">
        <v>197</v>
      </c>
      <c r="E55">
        <f t="shared" si="5"/>
        <v>0</v>
      </c>
      <c r="F55">
        <v>6008</v>
      </c>
      <c r="G55">
        <f>LNG_global[[#This Row],[Distance '[miles']]]*1.60934449789256</f>
        <v>9668.9417433385006</v>
      </c>
      <c r="I55" t="s">
        <v>252</v>
      </c>
    </row>
    <row r="56" spans="1:9">
      <c r="A56" t="s">
        <v>197</v>
      </c>
      <c r="B56" t="s">
        <v>192</v>
      </c>
      <c r="E56">
        <f>D56/1000</f>
        <v>0</v>
      </c>
      <c r="F56">
        <v>6103</v>
      </c>
      <c r="G56">
        <f>LNG_global[[#This Row],[Distance '[miles']]]*1.60934449789256</f>
        <v>9821.8294706382931</v>
      </c>
      <c r="I56" t="s">
        <v>245</v>
      </c>
    </row>
    <row r="57" spans="1:9">
      <c r="A57" t="s">
        <v>197</v>
      </c>
      <c r="B57" t="s">
        <v>190</v>
      </c>
      <c r="E57">
        <f t="shared" ref="E57:E62" si="6">D57/1000</f>
        <v>0</v>
      </c>
      <c r="F57">
        <v>5250</v>
      </c>
      <c r="G57">
        <f>LNG_global[[#This Row],[Distance '[miles']]]*1.60934449789256</f>
        <v>8449.0586139359402</v>
      </c>
      <c r="I57" t="s">
        <v>246</v>
      </c>
    </row>
    <row r="58" spans="1:9">
      <c r="A58" t="s">
        <v>197</v>
      </c>
      <c r="B58" t="s">
        <v>193</v>
      </c>
      <c r="E58">
        <f t="shared" si="6"/>
        <v>0</v>
      </c>
      <c r="F58">
        <v>7546</v>
      </c>
      <c r="G58">
        <f>LNG_global[[#This Row],[Distance '[miles']]]*1.60934449789256</f>
        <v>12144.113581097257</v>
      </c>
      <c r="I58" t="s">
        <v>248</v>
      </c>
    </row>
    <row r="59" spans="1:9">
      <c r="A59" t="s">
        <v>197</v>
      </c>
      <c r="B59" t="s">
        <v>194</v>
      </c>
      <c r="E59">
        <f t="shared" si="6"/>
        <v>0</v>
      </c>
      <c r="F59">
        <v>7831</v>
      </c>
      <c r="G59">
        <f>LNG_global[[#This Row],[Distance '[miles']]]*1.60934449789256</f>
        <v>12602.776762996637</v>
      </c>
      <c r="I59" t="s">
        <v>249</v>
      </c>
    </row>
    <row r="60" spans="1:9">
      <c r="A60" t="s">
        <v>197</v>
      </c>
      <c r="B60" t="s">
        <v>195</v>
      </c>
      <c r="E60">
        <f t="shared" si="6"/>
        <v>0</v>
      </c>
      <c r="F60">
        <v>2800</v>
      </c>
      <c r="G60">
        <f>LNG_global[[#This Row],[Distance '[miles']]]*1.60934449789256</f>
        <v>4506.1645940991675</v>
      </c>
      <c r="I60" t="s">
        <v>250</v>
      </c>
    </row>
    <row r="61" spans="1:9">
      <c r="A61" t="s">
        <v>197</v>
      </c>
      <c r="B61" t="s">
        <v>196</v>
      </c>
      <c r="E61">
        <f t="shared" si="6"/>
        <v>0</v>
      </c>
      <c r="F61">
        <v>5758</v>
      </c>
      <c r="G61">
        <f>LNG_global[[#This Row],[Distance '[miles']]]*1.60934449789256</f>
        <v>9266.6056188653602</v>
      </c>
      <c r="I61" t="s">
        <v>251</v>
      </c>
    </row>
    <row r="62" spans="1:9">
      <c r="A62" t="s">
        <v>200</v>
      </c>
      <c r="B62" t="s">
        <v>192</v>
      </c>
      <c r="E62">
        <f t="shared" si="6"/>
        <v>0</v>
      </c>
      <c r="F62">
        <v>9163</v>
      </c>
      <c r="G62">
        <f>LNG_global[[#This Row],[Distance '[miles']]]*1.60934449789256</f>
        <v>14746.423634189527</v>
      </c>
      <c r="I62" t="s">
        <v>245</v>
      </c>
    </row>
    <row r="63" spans="1:9">
      <c r="A63" t="s">
        <v>200</v>
      </c>
      <c r="B63" t="s">
        <v>190</v>
      </c>
      <c r="E63">
        <f t="shared" ref="E63:E68" si="7">D63/1000</f>
        <v>0</v>
      </c>
      <c r="F63">
        <v>8354</v>
      </c>
      <c r="G63">
        <f>LNG_global[[#This Row],[Distance '[miles']]]*1.60934449789256</f>
        <v>13444.463935394446</v>
      </c>
      <c r="I63" t="s">
        <v>246</v>
      </c>
    </row>
    <row r="64" spans="1:9">
      <c r="A64" t="s">
        <v>200</v>
      </c>
      <c r="B64" t="s">
        <v>193</v>
      </c>
      <c r="E64">
        <f t="shared" si="7"/>
        <v>0</v>
      </c>
      <c r="F64">
        <v>2583</v>
      </c>
      <c r="G64">
        <f>LNG_global[[#This Row],[Distance '[miles']]]*1.60934449789256</f>
        <v>4156.936838056482</v>
      </c>
      <c r="I64" t="s">
        <v>248</v>
      </c>
    </row>
    <row r="65" spans="1:9">
      <c r="A65" t="s">
        <v>200</v>
      </c>
      <c r="B65" t="s">
        <v>194</v>
      </c>
      <c r="E65">
        <f t="shared" si="7"/>
        <v>0</v>
      </c>
      <c r="F65">
        <v>2657</v>
      </c>
      <c r="G65">
        <f>LNG_global[[#This Row],[Distance '[miles']]]*1.60934449789256</f>
        <v>4276.0283309005317</v>
      </c>
      <c r="I65" t="s">
        <v>249</v>
      </c>
    </row>
    <row r="66" spans="1:9">
      <c r="A66" t="s">
        <v>200</v>
      </c>
      <c r="B66" t="s">
        <v>195</v>
      </c>
      <c r="E66">
        <f t="shared" si="7"/>
        <v>0</v>
      </c>
      <c r="F66">
        <v>3463</v>
      </c>
      <c r="G66">
        <f>LNG_global[[#This Row],[Distance '[miles']]]*1.60934449789256</f>
        <v>5573.1599962019354</v>
      </c>
      <c r="I66" t="s">
        <v>257</v>
      </c>
    </row>
    <row r="67" spans="1:9">
      <c r="A67" t="s">
        <v>200</v>
      </c>
      <c r="B67" t="s">
        <v>196</v>
      </c>
      <c r="E67">
        <f t="shared" si="7"/>
        <v>0</v>
      </c>
      <c r="F67">
        <v>1775</v>
      </c>
      <c r="G67">
        <f>LNG_global[[#This Row],[Distance '[miles']]]*1.60934449789256</f>
        <v>2856.586483759294</v>
      </c>
      <c r="I67" t="s">
        <v>251</v>
      </c>
    </row>
    <row r="68" spans="1:9">
      <c r="A68" t="s">
        <v>200</v>
      </c>
      <c r="B68" t="s">
        <v>197</v>
      </c>
      <c r="E68">
        <f t="shared" si="7"/>
        <v>0</v>
      </c>
      <c r="F68">
        <v>5942</v>
      </c>
      <c r="G68">
        <f>LNG_global[[#This Row],[Distance '[miles']]]*1.60934449789256</f>
        <v>9562.7250064775908</v>
      </c>
      <c r="I68" t="s">
        <v>219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>
        <f>LNG_global[[#This Row],[Distance '[miles']]]*1.60934449789256</f>
        <v>6997.4298768368508</v>
      </c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>
        <f>LNG_global[[#This Row],[Distance '[miles']]]*1.60934449789256</f>
        <v>6480.8302930133386</v>
      </c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>
        <f>LNG_global[[#This Row],[Distance '[miles']]]*1.60934449789256</f>
        <v>7763.4778578337091</v>
      </c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>
        <f>LNG_global[[#This Row],[Distance '[miles']]]*1.60934449789256</f>
        <v>6768.9029581361074</v>
      </c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>
        <f>LNG_global[[#This Row],[Distance '[miles']]]*1.60934449789256</f>
        <v>7964.6459200702793</v>
      </c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>
        <f>LNG_global[[#This Row],[Distance '[miles']]]*1.60934449789256</f>
        <v>8500.5576378685018</v>
      </c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>
        <f>LNG_global[[#This Row],[Distance '[miles']]]*1.60934449789256</f>
        <v>7103.6466136977597</v>
      </c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>
        <f>LNG_global[[#This Row],[Distance '[miles']]]*1.60934449789256</f>
        <v>8193.1728387710227</v>
      </c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>
        <f>LNG_global[[#This Row],[Distance '[miles']]]*1.60934449789256</f>
        <v>5454.0685033578857</v>
      </c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>
        <f>LNG_global[[#This Row],[Distance '[miles']]]*1.60934449789256</f>
        <v>5405.7881684211088</v>
      </c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>
        <f>LNG_global[[#This Row],[Distance '[miles']]]*1.60934449789256</f>
        <v>8011.3169105091638</v>
      </c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>
        <f>LNG_global[[#This Row],[Distance '[miles']]]*1.60934449789256</f>
        <v>6698.0918002288345</v>
      </c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>
        <f>LNG_global[[#This Row],[Distance '[miles']]]*1.60934449789256</f>
        <v>8841.7386714217246</v>
      </c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>
        <f>LNG_global[[#This Row],[Distance '[miles']]]*1.60934449789256</f>
        <v>8841.7386714217246</v>
      </c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>
        <f>LNG_global[[#This Row],[Distance '[miles']]]*1.60934449789256</f>
        <v>7420.687479782594</v>
      </c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>
        <f>LNG_global[[#This Row],[Distance '[miles']]]*1.60934449789256</f>
        <v>6677.1703217562308</v>
      </c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>
        <f>LNG_global[[#This Row],[Distance '[miles']]]*1.60934449789256</f>
        <v>8745.1780015481709</v>
      </c>
      <c r="I153" t="s">
        <v>239</v>
      </c>
    </row>
    <row r="154" spans="1:9">
      <c r="A154" t="s">
        <v>191</v>
      </c>
      <c r="B154" t="s">
        <v>206</v>
      </c>
      <c r="E154">
        <f>D154/1000</f>
        <v>0</v>
      </c>
      <c r="F154">
        <v>9950</v>
      </c>
      <c r="G154">
        <f>LNG_global[[#This Row],[Distance '[miles']]]*1.60934449789256</f>
        <v>16012.977754030971</v>
      </c>
      <c r="H154" t="s">
        <v>219</v>
      </c>
      <c r="I154" t="s">
        <v>240</v>
      </c>
    </row>
    <row r="155" spans="1:9">
      <c r="A155" t="s">
        <v>191</v>
      </c>
      <c r="B155" t="s">
        <v>207</v>
      </c>
      <c r="E155">
        <f t="shared" ref="E155:E170" si="14">D155/1000</f>
        <v>0</v>
      </c>
      <c r="F155">
        <v>8254</v>
      </c>
      <c r="G155">
        <f>LNG_global[[#This Row],[Distance '[miles']]]*1.60934449789256</f>
        <v>13283.52948560519</v>
      </c>
      <c r="H155" t="s">
        <v>219</v>
      </c>
      <c r="I155" t="s">
        <v>220</v>
      </c>
    </row>
    <row r="156" spans="1:9">
      <c r="A156" t="s">
        <v>191</v>
      </c>
      <c r="B156" t="s">
        <v>208</v>
      </c>
      <c r="E156">
        <f t="shared" si="14"/>
        <v>0</v>
      </c>
      <c r="F156">
        <v>7341</v>
      </c>
      <c r="G156">
        <f>LNG_global[[#This Row],[Distance '[miles']]]*1.60934449789256</f>
        <v>11814.197959029283</v>
      </c>
      <c r="H156" t="s">
        <v>219</v>
      </c>
      <c r="I156" t="s">
        <v>221</v>
      </c>
    </row>
    <row r="157" spans="1:9">
      <c r="A157" t="s">
        <v>191</v>
      </c>
      <c r="B157" t="s">
        <v>209</v>
      </c>
      <c r="E157">
        <f t="shared" si="14"/>
        <v>0</v>
      </c>
      <c r="F157">
        <v>8125</v>
      </c>
      <c r="G157">
        <f>LNG_global[[#This Row],[Distance '[miles']]]*1.60934449789256</f>
        <v>13075.924045377049</v>
      </c>
      <c r="H157" t="s">
        <v>219</v>
      </c>
      <c r="I157" t="s">
        <v>222</v>
      </c>
    </row>
    <row r="158" spans="1:9">
      <c r="A158" t="s">
        <v>191</v>
      </c>
      <c r="B158" t="s">
        <v>210</v>
      </c>
      <c r="E158">
        <f t="shared" si="14"/>
        <v>0</v>
      </c>
      <c r="F158">
        <v>8000</v>
      </c>
      <c r="G158">
        <f>LNG_global[[#This Row],[Distance '[miles']]]*1.60934449789256</f>
        <v>12874.75598314048</v>
      </c>
      <c r="H158" t="s">
        <v>219</v>
      </c>
      <c r="I158" t="s">
        <v>223</v>
      </c>
    </row>
    <row r="159" spans="1:9">
      <c r="A159" t="s">
        <v>191</v>
      </c>
      <c r="B159" t="s">
        <v>211</v>
      </c>
      <c r="E159">
        <f t="shared" si="14"/>
        <v>0</v>
      </c>
      <c r="F159">
        <v>10884</v>
      </c>
      <c r="G159">
        <f>LNG_global[[#This Row],[Distance '[miles']]]*1.60934449789256</f>
        <v>17516.105515062623</v>
      </c>
      <c r="H159" t="s">
        <v>219</v>
      </c>
      <c r="I159" t="s">
        <v>224</v>
      </c>
    </row>
    <row r="160" spans="1:9">
      <c r="A160" t="s">
        <v>191</v>
      </c>
      <c r="B160" t="s">
        <v>212</v>
      </c>
      <c r="E160">
        <f t="shared" si="14"/>
        <v>0</v>
      </c>
      <c r="F160">
        <v>10016</v>
      </c>
      <c r="G160">
        <f>LNG_global[[#This Row],[Distance '[miles']]]*1.60934449789256</f>
        <v>16119.194490891881</v>
      </c>
      <c r="H160" t="s">
        <v>219</v>
      </c>
      <c r="I160" t="s">
        <v>225</v>
      </c>
    </row>
    <row r="161" spans="1:9">
      <c r="A161" t="s">
        <v>191</v>
      </c>
      <c r="B161" t="s">
        <v>213</v>
      </c>
      <c r="E161">
        <f t="shared" si="14"/>
        <v>0</v>
      </c>
      <c r="F161">
        <v>10693</v>
      </c>
      <c r="G161">
        <f>LNG_global[[#This Row],[Distance '[miles']]]*1.60934449789256</f>
        <v>17208.720715965144</v>
      </c>
      <c r="H161" t="s">
        <v>219</v>
      </c>
      <c r="I161" t="s">
        <v>226</v>
      </c>
    </row>
    <row r="162" spans="1:9">
      <c r="A162" t="s">
        <v>191</v>
      </c>
      <c r="B162" t="s">
        <v>214</v>
      </c>
      <c r="E162">
        <f t="shared" si="14"/>
        <v>0</v>
      </c>
      <c r="F162">
        <v>8939</v>
      </c>
      <c r="G162">
        <f>LNG_global[[#This Row],[Distance '[miles']]]*1.60934449789256</f>
        <v>14385.930466661594</v>
      </c>
      <c r="H162" t="s">
        <v>219</v>
      </c>
      <c r="I162" t="s">
        <v>227</v>
      </c>
    </row>
    <row r="163" spans="1:9">
      <c r="A163" t="s">
        <v>191</v>
      </c>
      <c r="B163" t="s">
        <v>215</v>
      </c>
      <c r="E163">
        <f t="shared" si="14"/>
        <v>0</v>
      </c>
      <c r="F163">
        <v>8330</v>
      </c>
      <c r="G163">
        <f>LNG_global[[#This Row],[Distance '[miles']]]*1.60934449789256</f>
        <v>13405.839667445025</v>
      </c>
      <c r="H163" t="s">
        <v>219</v>
      </c>
      <c r="I163" t="s">
        <v>228</v>
      </c>
    </row>
    <row r="164" spans="1:9">
      <c r="A164" t="s">
        <v>191</v>
      </c>
      <c r="B164" t="s">
        <v>216</v>
      </c>
      <c r="E164">
        <f t="shared" si="14"/>
        <v>0</v>
      </c>
      <c r="F164">
        <v>7340</v>
      </c>
      <c r="G164">
        <f>LNG_global[[#This Row],[Distance '[miles']]]*1.60934449789256</f>
        <v>11812.588614531391</v>
      </c>
      <c r="H164" t="s">
        <v>219</v>
      </c>
      <c r="I164" t="s">
        <v>229</v>
      </c>
    </row>
    <row r="165" spans="1:9">
      <c r="A165" t="s">
        <v>191</v>
      </c>
      <c r="B165" t="s">
        <v>217</v>
      </c>
      <c r="E165">
        <f t="shared" si="14"/>
        <v>0</v>
      </c>
      <c r="F165">
        <v>9764</v>
      </c>
      <c r="G165">
        <f>LNG_global[[#This Row],[Distance '[miles']]]*1.60934449789256</f>
        <v>15713.639677422956</v>
      </c>
      <c r="H165" t="s">
        <v>219</v>
      </c>
      <c r="I165" t="s">
        <v>244</v>
      </c>
    </row>
    <row r="166" spans="1:9">
      <c r="A166" t="s">
        <v>191</v>
      </c>
      <c r="B166" t="s">
        <v>230</v>
      </c>
      <c r="E166">
        <f t="shared" si="14"/>
        <v>0</v>
      </c>
      <c r="F166">
        <v>11096</v>
      </c>
      <c r="G166">
        <f>LNG_global[[#This Row],[Distance '[miles']]]*1.60934449789256</f>
        <v>17857.286548615844</v>
      </c>
      <c r="H166" t="s">
        <v>219</v>
      </c>
      <c r="I166" t="s">
        <v>235</v>
      </c>
    </row>
    <row r="167" spans="1:9">
      <c r="A167" t="s">
        <v>191</v>
      </c>
      <c r="B167" t="s">
        <v>231</v>
      </c>
      <c r="E167">
        <f t="shared" si="14"/>
        <v>0</v>
      </c>
      <c r="F167">
        <v>11096</v>
      </c>
      <c r="G167">
        <f>LNG_global[[#This Row],[Distance '[miles']]]*1.60934449789256</f>
        <v>17857.286548615844</v>
      </c>
      <c r="H167" t="s">
        <v>219</v>
      </c>
      <c r="I167" t="s">
        <v>236</v>
      </c>
    </row>
    <row r="168" spans="1:9">
      <c r="A168" t="s">
        <v>191</v>
      </c>
      <c r="B168" t="s">
        <v>232</v>
      </c>
      <c r="E168">
        <f t="shared" si="14"/>
        <v>0</v>
      </c>
      <c r="F168">
        <v>10213</v>
      </c>
      <c r="G168">
        <f>LNG_global[[#This Row],[Distance '[miles']]]*1.60934449789256</f>
        <v>16436.235356976715</v>
      </c>
      <c r="H168" t="s">
        <v>219</v>
      </c>
      <c r="I168" t="s">
        <v>237</v>
      </c>
    </row>
    <row r="169" spans="1:9">
      <c r="A169" t="s">
        <v>191</v>
      </c>
      <c r="B169" t="s">
        <v>233</v>
      </c>
      <c r="E169">
        <f t="shared" si="14"/>
        <v>0</v>
      </c>
      <c r="F169">
        <v>9751</v>
      </c>
      <c r="G169">
        <f>LNG_global[[#This Row],[Distance '[miles']]]*1.60934449789256</f>
        <v>15692.718198950352</v>
      </c>
      <c r="H169" t="s">
        <v>219</v>
      </c>
      <c r="I169" t="s">
        <v>238</v>
      </c>
    </row>
    <row r="170" spans="1:9">
      <c r="A170" t="s">
        <v>191</v>
      </c>
      <c r="B170" t="s">
        <v>234</v>
      </c>
      <c r="E170">
        <f t="shared" si="14"/>
        <v>0</v>
      </c>
      <c r="F170">
        <v>11036</v>
      </c>
      <c r="G170">
        <f>LNG_global[[#This Row],[Distance '[miles']]]*1.60934449789256</f>
        <v>17760.725878742291</v>
      </c>
      <c r="H170" t="s">
        <v>219</v>
      </c>
      <c r="I170" t="s">
        <v>239</v>
      </c>
    </row>
    <row r="171" spans="1:9">
      <c r="A171" t="s">
        <v>197</v>
      </c>
      <c r="B171" t="s">
        <v>206</v>
      </c>
      <c r="E171">
        <f>D171/1000</f>
        <v>0</v>
      </c>
      <c r="F171">
        <v>3208</v>
      </c>
      <c r="G171">
        <f>LNG_global[[#This Row],[Distance '[miles']]]*1.60934449789256</f>
        <v>5162.7771492393322</v>
      </c>
      <c r="I171" t="s">
        <v>240</v>
      </c>
    </row>
    <row r="172" spans="1:9">
      <c r="A172" t="s">
        <v>197</v>
      </c>
      <c r="B172" t="s">
        <v>207</v>
      </c>
      <c r="E172">
        <f t="shared" ref="E172:E187" si="15">D172/1000</f>
        <v>0</v>
      </c>
      <c r="F172">
        <v>1512</v>
      </c>
      <c r="G172">
        <f>LNG_global[[#This Row],[Distance '[miles']]]*1.60934449789256</f>
        <v>2433.3288808135508</v>
      </c>
      <c r="I172" t="s">
        <v>220</v>
      </c>
    </row>
    <row r="173" spans="1:9">
      <c r="A173" t="s">
        <v>197</v>
      </c>
      <c r="B173" t="s">
        <v>208</v>
      </c>
      <c r="E173">
        <f t="shared" si="15"/>
        <v>0</v>
      </c>
      <c r="F173">
        <v>599</v>
      </c>
      <c r="G173">
        <f>LNG_global[[#This Row],[Distance '[miles']]]*1.60934449789256</f>
        <v>963.99735423764344</v>
      </c>
      <c r="I173" t="s">
        <v>221</v>
      </c>
    </row>
    <row r="174" spans="1:9">
      <c r="A174" t="s">
        <v>197</v>
      </c>
      <c r="B174" t="s">
        <v>209</v>
      </c>
      <c r="E174">
        <f t="shared" si="15"/>
        <v>0</v>
      </c>
      <c r="F174">
        <v>1383</v>
      </c>
      <c r="G174">
        <f>LNG_global[[#This Row],[Distance '[miles']]]*1.60934449789256</f>
        <v>2225.7234405854106</v>
      </c>
      <c r="I174" t="s">
        <v>222</v>
      </c>
    </row>
    <row r="175" spans="1:9">
      <c r="A175" t="s">
        <v>197</v>
      </c>
      <c r="B175" t="s">
        <v>210</v>
      </c>
      <c r="E175">
        <f t="shared" si="15"/>
        <v>0</v>
      </c>
      <c r="F175">
        <v>1258</v>
      </c>
      <c r="G175">
        <f>LNG_global[[#This Row],[Distance '[miles']]]*1.60934449789256</f>
        <v>2024.5553783488403</v>
      </c>
      <c r="I175" t="s">
        <v>223</v>
      </c>
    </row>
    <row r="176" spans="1:9">
      <c r="A176" t="s">
        <v>197</v>
      </c>
      <c r="B176" t="s">
        <v>211</v>
      </c>
      <c r="E176">
        <f t="shared" si="15"/>
        <v>0</v>
      </c>
      <c r="F176">
        <v>4142</v>
      </c>
      <c r="G176">
        <f>LNG_global[[#This Row],[Distance '[miles']]]*1.60934449789256</f>
        <v>6665.9049102709832</v>
      </c>
      <c r="I176" t="s">
        <v>224</v>
      </c>
    </row>
    <row r="177" spans="1:9">
      <c r="A177" t="s">
        <v>197</v>
      </c>
      <c r="B177" t="s">
        <v>212</v>
      </c>
      <c r="E177">
        <f t="shared" si="15"/>
        <v>0</v>
      </c>
      <c r="F177">
        <v>3274</v>
      </c>
      <c r="G177">
        <f>LNG_global[[#This Row],[Distance '[miles']]]*1.60934449789256</f>
        <v>5268.9938861002411</v>
      </c>
      <c r="I177" t="s">
        <v>225</v>
      </c>
    </row>
    <row r="178" spans="1:9">
      <c r="A178" t="s">
        <v>197</v>
      </c>
      <c r="B178" t="s">
        <v>213</v>
      </c>
      <c r="E178">
        <f t="shared" si="15"/>
        <v>0</v>
      </c>
      <c r="F178">
        <v>3951</v>
      </c>
      <c r="G178">
        <f>LNG_global[[#This Row],[Distance '[miles']]]*1.60934449789256</f>
        <v>6358.5201111735041</v>
      </c>
      <c r="I178" t="s">
        <v>226</v>
      </c>
    </row>
    <row r="179" spans="1:9">
      <c r="A179" t="s">
        <v>197</v>
      </c>
      <c r="B179" t="s">
        <v>214</v>
      </c>
      <c r="E179">
        <f t="shared" si="15"/>
        <v>0</v>
      </c>
      <c r="F179">
        <v>2197</v>
      </c>
      <c r="G179">
        <f>LNG_global[[#This Row],[Distance '[miles']]]*1.60934449789256</f>
        <v>3535.7298618699542</v>
      </c>
      <c r="I179" t="s">
        <v>227</v>
      </c>
    </row>
    <row r="180" spans="1:9">
      <c r="A180" t="s">
        <v>197</v>
      </c>
      <c r="B180" t="s">
        <v>215</v>
      </c>
      <c r="E180">
        <f t="shared" si="15"/>
        <v>0</v>
      </c>
      <c r="F180">
        <v>1588</v>
      </c>
      <c r="G180">
        <f>LNG_global[[#This Row],[Distance '[miles']]]*1.60934449789256</f>
        <v>2555.6390626533853</v>
      </c>
      <c r="I180" t="s">
        <v>228</v>
      </c>
    </row>
    <row r="181" spans="1:9">
      <c r="A181" t="s">
        <v>197</v>
      </c>
      <c r="B181" t="s">
        <v>216</v>
      </c>
      <c r="E181">
        <f t="shared" si="15"/>
        <v>0</v>
      </c>
      <c r="F181">
        <v>598</v>
      </c>
      <c r="G181">
        <f>LNG_global[[#This Row],[Distance '[miles']]]*1.60934449789256</f>
        <v>962.38800973975083</v>
      </c>
      <c r="I181" t="s">
        <v>229</v>
      </c>
    </row>
    <row r="182" spans="1:9">
      <c r="A182" t="s">
        <v>197</v>
      </c>
      <c r="B182" t="s">
        <v>217</v>
      </c>
      <c r="E182">
        <f t="shared" si="15"/>
        <v>0</v>
      </c>
      <c r="F182">
        <v>3022</v>
      </c>
      <c r="G182">
        <f>LNG_global[[#This Row],[Distance '[miles']]]*1.60934449789256</f>
        <v>4863.4390726313159</v>
      </c>
      <c r="I182" t="s">
        <v>244</v>
      </c>
    </row>
    <row r="183" spans="1:9">
      <c r="A183" t="s">
        <v>197</v>
      </c>
      <c r="B183" t="s">
        <v>230</v>
      </c>
      <c r="E183">
        <f t="shared" si="15"/>
        <v>0</v>
      </c>
      <c r="F183">
        <v>4354</v>
      </c>
      <c r="G183">
        <f>LNG_global[[#This Row],[Distance '[miles']]]*1.60934449789256</f>
        <v>7007.085943824206</v>
      </c>
      <c r="I183" t="s">
        <v>235</v>
      </c>
    </row>
    <row r="184" spans="1:9">
      <c r="A184" t="s">
        <v>197</v>
      </c>
      <c r="B184" t="s">
        <v>231</v>
      </c>
      <c r="E184">
        <f t="shared" si="15"/>
        <v>0</v>
      </c>
      <c r="F184">
        <v>4354</v>
      </c>
      <c r="G184">
        <f>LNG_global[[#This Row],[Distance '[miles']]]*1.60934449789256</f>
        <v>7007.085943824206</v>
      </c>
      <c r="I184" t="s">
        <v>236</v>
      </c>
    </row>
    <row r="185" spans="1:9">
      <c r="A185" t="s">
        <v>197</v>
      </c>
      <c r="B185" t="s">
        <v>232</v>
      </c>
      <c r="E185">
        <f t="shared" si="15"/>
        <v>0</v>
      </c>
      <c r="F185">
        <v>3471</v>
      </c>
      <c r="G185">
        <f>LNG_global[[#This Row],[Distance '[miles']]]*1.60934449789256</f>
        <v>5586.0347521850754</v>
      </c>
      <c r="I185" t="s">
        <v>237</v>
      </c>
    </row>
    <row r="186" spans="1:9">
      <c r="A186" t="s">
        <v>197</v>
      </c>
      <c r="B186" t="s">
        <v>233</v>
      </c>
      <c r="E186">
        <f t="shared" si="15"/>
        <v>0</v>
      </c>
      <c r="F186">
        <v>3009</v>
      </c>
      <c r="G186">
        <f>LNG_global[[#This Row],[Distance '[miles']]]*1.60934449789256</f>
        <v>4842.5175941587131</v>
      </c>
      <c r="I186" t="s">
        <v>238</v>
      </c>
    </row>
    <row r="187" spans="1:9">
      <c r="A187" t="s">
        <v>197</v>
      </c>
      <c r="B187" t="s">
        <v>234</v>
      </c>
      <c r="E187">
        <f t="shared" si="15"/>
        <v>0</v>
      </c>
      <c r="F187">
        <v>4294</v>
      </c>
      <c r="G187">
        <f>LNG_global[[#This Row],[Distance '[miles']]]*1.60934449789256</f>
        <v>6910.5252739506523</v>
      </c>
      <c r="I187" t="s">
        <v>239</v>
      </c>
    </row>
    <row r="188" spans="1:9">
      <c r="A188" t="s">
        <v>200</v>
      </c>
      <c r="B188" t="s">
        <v>206</v>
      </c>
      <c r="E188">
        <f>D188/1000</f>
        <v>0</v>
      </c>
      <c r="F188">
        <v>9237</v>
      </c>
      <c r="G188">
        <f>LNG_global[[#This Row],[Distance '[miles']]]*1.60934449789256</f>
        <v>14865.515127033575</v>
      </c>
      <c r="H188" t="s">
        <v>219</v>
      </c>
      <c r="I188" t="s">
        <v>240</v>
      </c>
    </row>
    <row r="189" spans="1:9">
      <c r="A189" t="s">
        <v>200</v>
      </c>
      <c r="B189" t="s">
        <v>207</v>
      </c>
      <c r="E189">
        <f t="shared" ref="E189:E204" si="16">D189/1000</f>
        <v>0</v>
      </c>
      <c r="F189">
        <v>7541</v>
      </c>
      <c r="G189">
        <f>LNG_global[[#This Row],[Distance '[miles']]]*1.60934449789256</f>
        <v>12136.066858607795</v>
      </c>
      <c r="H189" t="s">
        <v>219</v>
      </c>
      <c r="I189" t="s">
        <v>220</v>
      </c>
    </row>
    <row r="190" spans="1:9">
      <c r="A190" t="s">
        <v>200</v>
      </c>
      <c r="B190" t="s">
        <v>208</v>
      </c>
      <c r="E190">
        <f t="shared" si="16"/>
        <v>0</v>
      </c>
      <c r="F190">
        <v>6628</v>
      </c>
      <c r="G190">
        <f>LNG_global[[#This Row],[Distance '[miles']]]*1.60934449789256</f>
        <v>10666.735332031887</v>
      </c>
      <c r="H190" t="s">
        <v>219</v>
      </c>
      <c r="I190" t="s">
        <v>221</v>
      </c>
    </row>
    <row r="191" spans="1:9">
      <c r="A191" t="s">
        <v>200</v>
      </c>
      <c r="B191" t="s">
        <v>209</v>
      </c>
      <c r="E191">
        <f t="shared" si="16"/>
        <v>0</v>
      </c>
      <c r="F191">
        <v>7412</v>
      </c>
      <c r="G191">
        <f>LNG_global[[#This Row],[Distance '[miles']]]*1.60934449789256</f>
        <v>11928.461418379655</v>
      </c>
      <c r="H191" t="s">
        <v>219</v>
      </c>
      <c r="I191" t="s">
        <v>222</v>
      </c>
    </row>
    <row r="192" spans="1:9">
      <c r="A192" t="s">
        <v>200</v>
      </c>
      <c r="B192" t="s">
        <v>210</v>
      </c>
      <c r="E192">
        <f t="shared" si="16"/>
        <v>0</v>
      </c>
      <c r="F192">
        <v>7287</v>
      </c>
      <c r="G192">
        <f>LNG_global[[#This Row],[Distance '[miles']]]*1.60934449789256</f>
        <v>11727.293356143084</v>
      </c>
      <c r="H192" t="s">
        <v>219</v>
      </c>
      <c r="I192" t="s">
        <v>223</v>
      </c>
    </row>
    <row r="193" spans="1:9">
      <c r="A193" t="s">
        <v>200</v>
      </c>
      <c r="B193" t="s">
        <v>211</v>
      </c>
      <c r="E193">
        <f t="shared" si="16"/>
        <v>0</v>
      </c>
      <c r="F193">
        <v>10171</v>
      </c>
      <c r="G193">
        <f>LNG_global[[#This Row],[Distance '[miles']]]*1.60934449789256</f>
        <v>16368.642888065227</v>
      </c>
      <c r="H193" t="s">
        <v>219</v>
      </c>
      <c r="I193" t="s">
        <v>224</v>
      </c>
    </row>
    <row r="194" spans="1:9">
      <c r="A194" t="s">
        <v>200</v>
      </c>
      <c r="B194" t="s">
        <v>212</v>
      </c>
      <c r="E194">
        <f t="shared" si="16"/>
        <v>0</v>
      </c>
      <c r="F194">
        <v>9303</v>
      </c>
      <c r="G194">
        <f>LNG_global[[#This Row],[Distance '[miles']]]*1.60934449789256</f>
        <v>14971.731863894485</v>
      </c>
      <c r="H194" t="s">
        <v>219</v>
      </c>
      <c r="I194" t="s">
        <v>225</v>
      </c>
    </row>
    <row r="195" spans="1:9">
      <c r="A195" t="s">
        <v>200</v>
      </c>
      <c r="B195" t="s">
        <v>213</v>
      </c>
      <c r="E195">
        <f t="shared" si="16"/>
        <v>0</v>
      </c>
      <c r="F195">
        <v>9980</v>
      </c>
      <c r="G195">
        <f>LNG_global[[#This Row],[Distance '[miles']]]*1.60934449789256</f>
        <v>16061.258088967748</v>
      </c>
      <c r="H195" t="s">
        <v>219</v>
      </c>
      <c r="I195" t="s">
        <v>226</v>
      </c>
    </row>
    <row r="196" spans="1:9">
      <c r="A196" t="s">
        <v>200</v>
      </c>
      <c r="B196" t="s">
        <v>214</v>
      </c>
      <c r="E196">
        <f t="shared" si="16"/>
        <v>0</v>
      </c>
      <c r="F196">
        <v>8226</v>
      </c>
      <c r="G196">
        <f>LNG_global[[#This Row],[Distance '[miles']]]*1.60934449789256</f>
        <v>13238.467839664198</v>
      </c>
      <c r="H196" t="s">
        <v>219</v>
      </c>
      <c r="I196" t="s">
        <v>227</v>
      </c>
    </row>
    <row r="197" spans="1:9">
      <c r="A197" t="s">
        <v>200</v>
      </c>
      <c r="B197" t="s">
        <v>215</v>
      </c>
      <c r="E197">
        <f t="shared" si="16"/>
        <v>0</v>
      </c>
      <c r="F197">
        <v>7617</v>
      </c>
      <c r="G197">
        <f>LNG_global[[#This Row],[Distance '[miles']]]*1.60934449789256</f>
        <v>12258.377040447629</v>
      </c>
      <c r="H197" t="s">
        <v>219</v>
      </c>
      <c r="I197" t="s">
        <v>228</v>
      </c>
    </row>
    <row r="198" spans="1:9">
      <c r="A198" t="s">
        <v>200</v>
      </c>
      <c r="B198" t="s">
        <v>216</v>
      </c>
      <c r="E198">
        <f t="shared" si="16"/>
        <v>0</v>
      </c>
      <c r="F198">
        <v>6627</v>
      </c>
      <c r="G198">
        <f>LNG_global[[#This Row],[Distance '[miles']]]*1.60934449789256</f>
        <v>10665.125987533995</v>
      </c>
      <c r="H198" t="s">
        <v>219</v>
      </c>
      <c r="I198" t="s">
        <v>229</v>
      </c>
    </row>
    <row r="199" spans="1:9">
      <c r="A199" t="s">
        <v>200</v>
      </c>
      <c r="B199" t="s">
        <v>217</v>
      </c>
      <c r="E199">
        <f t="shared" si="16"/>
        <v>0</v>
      </c>
      <c r="F199">
        <v>9051</v>
      </c>
      <c r="G199">
        <f>LNG_global[[#This Row],[Distance '[miles']]]*1.60934449789256</f>
        <v>14566.17705042556</v>
      </c>
      <c r="H199" t="s">
        <v>219</v>
      </c>
      <c r="I199" t="s">
        <v>244</v>
      </c>
    </row>
    <row r="200" spans="1:9">
      <c r="A200" t="s">
        <v>200</v>
      </c>
      <c r="B200" t="s">
        <v>230</v>
      </c>
      <c r="E200">
        <f t="shared" si="16"/>
        <v>0</v>
      </c>
      <c r="F200">
        <v>10383</v>
      </c>
      <c r="G200">
        <f>LNG_global[[#This Row],[Distance '[miles']]]*1.60934449789256</f>
        <v>16709.823921618448</v>
      </c>
      <c r="H200" t="s">
        <v>219</v>
      </c>
      <c r="I200" t="s">
        <v>235</v>
      </c>
    </row>
    <row r="201" spans="1:9">
      <c r="A201" t="s">
        <v>200</v>
      </c>
      <c r="B201" t="s">
        <v>231</v>
      </c>
      <c r="E201">
        <f t="shared" si="16"/>
        <v>0</v>
      </c>
      <c r="F201">
        <v>10383</v>
      </c>
      <c r="G201">
        <f>LNG_global[[#This Row],[Distance '[miles']]]*1.60934449789256</f>
        <v>16709.823921618448</v>
      </c>
      <c r="H201" t="s">
        <v>219</v>
      </c>
      <c r="I201" t="s">
        <v>236</v>
      </c>
    </row>
    <row r="202" spans="1:9">
      <c r="A202" t="s">
        <v>200</v>
      </c>
      <c r="B202" t="s">
        <v>232</v>
      </c>
      <c r="E202">
        <f t="shared" si="16"/>
        <v>0</v>
      </c>
      <c r="F202">
        <v>9500</v>
      </c>
      <c r="G202">
        <f>LNG_global[[#This Row],[Distance '[miles']]]*1.60934449789256</f>
        <v>15288.772729979319</v>
      </c>
      <c r="H202" t="s">
        <v>219</v>
      </c>
      <c r="I202" t="s">
        <v>237</v>
      </c>
    </row>
    <row r="203" spans="1:9">
      <c r="A203" t="s">
        <v>200</v>
      </c>
      <c r="B203" t="s">
        <v>233</v>
      </c>
      <c r="E203">
        <f t="shared" si="16"/>
        <v>0</v>
      </c>
      <c r="F203">
        <v>9038</v>
      </c>
      <c r="G203">
        <f>LNG_global[[#This Row],[Distance '[miles']]]*1.60934449789256</f>
        <v>14545.255571952957</v>
      </c>
      <c r="H203" t="s">
        <v>219</v>
      </c>
      <c r="I203" t="s">
        <v>238</v>
      </c>
    </row>
    <row r="204" spans="1:9">
      <c r="A204" t="s">
        <v>200</v>
      </c>
      <c r="B204" t="s">
        <v>234</v>
      </c>
      <c r="E204">
        <f t="shared" si="16"/>
        <v>0</v>
      </c>
      <c r="F204">
        <v>10323</v>
      </c>
      <c r="G204">
        <f>LNG_global[[#This Row],[Distance '[miles']]]*1.60934449789256</f>
        <v>16613.263251744895</v>
      </c>
      <c r="H204" t="s">
        <v>219</v>
      </c>
      <c r="I204" t="s">
        <v>239</v>
      </c>
    </row>
    <row r="205" spans="1:9">
      <c r="A205" t="s">
        <v>199</v>
      </c>
      <c r="B205" t="s">
        <v>206</v>
      </c>
      <c r="E205">
        <f>D205/1000</f>
        <v>0</v>
      </c>
      <c r="F205">
        <v>2843</v>
      </c>
      <c r="G205" s="13">
        <f>LNG_global[[#This Row],[Distance '[miles']]]*1.60934449789256</f>
        <v>4575.366407508548</v>
      </c>
      <c r="H205" s="13"/>
      <c r="I205" t="s">
        <v>240</v>
      </c>
    </row>
    <row r="206" spans="1:9">
      <c r="A206" t="s">
        <v>199</v>
      </c>
      <c r="B206" t="s">
        <v>207</v>
      </c>
      <c r="E206">
        <f t="shared" ref="E206:E221" si="17">D206/1000</f>
        <v>0</v>
      </c>
      <c r="F206">
        <v>2873</v>
      </c>
      <c r="G206" s="13">
        <f>LNG_global[[#This Row],[Distance '[miles']]]*1.60934449789256</f>
        <v>4623.6467424453249</v>
      </c>
      <c r="H206" s="13"/>
      <c r="I206" t="s">
        <v>263</v>
      </c>
    </row>
    <row r="207" spans="1:9">
      <c r="A207" t="s">
        <v>199</v>
      </c>
      <c r="B207" t="s">
        <v>208</v>
      </c>
      <c r="E207">
        <f t="shared" si="17"/>
        <v>0</v>
      </c>
      <c r="F207">
        <v>5582</v>
      </c>
      <c r="G207" s="13">
        <f>LNG_global[[#This Row],[Distance '[miles']]]*1.60934449789256</f>
        <v>8983.3609872362704</v>
      </c>
      <c r="H207" s="13"/>
      <c r="I207" t="s">
        <v>221</v>
      </c>
    </row>
    <row r="208" spans="1:9">
      <c r="A208" t="s">
        <v>199</v>
      </c>
      <c r="B208" t="s">
        <v>209</v>
      </c>
      <c r="E208">
        <f t="shared" si="17"/>
        <v>0</v>
      </c>
      <c r="F208">
        <v>4964</v>
      </c>
      <c r="G208" s="13">
        <f>LNG_global[[#This Row],[Distance '[miles']]]*1.60934449789256</f>
        <v>7988.7860875386677</v>
      </c>
      <c r="H208" s="13"/>
      <c r="I208" t="s">
        <v>222</v>
      </c>
    </row>
    <row r="209" spans="1:9">
      <c r="A209" t="s">
        <v>199</v>
      </c>
      <c r="B209" t="s">
        <v>210</v>
      </c>
      <c r="E209">
        <f t="shared" si="17"/>
        <v>0</v>
      </c>
      <c r="F209">
        <v>5707</v>
      </c>
      <c r="G209" s="13">
        <f>LNG_global[[#This Row],[Distance '[miles']]]*1.60934449789256</f>
        <v>9184.5290494728397</v>
      </c>
      <c r="H209" s="13"/>
      <c r="I209" t="s">
        <v>223</v>
      </c>
    </row>
    <row r="210" spans="1:9">
      <c r="A210" t="s">
        <v>199</v>
      </c>
      <c r="B210" t="s">
        <v>211</v>
      </c>
      <c r="E210">
        <f t="shared" si="17"/>
        <v>0</v>
      </c>
      <c r="F210">
        <v>3047</v>
      </c>
      <c r="G210" s="13">
        <f>LNG_global[[#This Row],[Distance '[miles']]]*1.60934449789256</f>
        <v>4903.6726850786299</v>
      </c>
      <c r="H210" s="13"/>
      <c r="I210" t="s">
        <v>224</v>
      </c>
    </row>
    <row r="211" spans="1:9">
      <c r="A211" t="s">
        <v>199</v>
      </c>
      <c r="B211" t="s">
        <v>212</v>
      </c>
      <c r="E211">
        <f t="shared" si="17"/>
        <v>0</v>
      </c>
      <c r="F211">
        <v>2827</v>
      </c>
      <c r="G211" s="13">
        <f>LNG_global[[#This Row],[Distance '[miles']]]*1.60934449789256</f>
        <v>4549.6168955422672</v>
      </c>
      <c r="H211" s="13"/>
      <c r="I211" t="s">
        <v>225</v>
      </c>
    </row>
    <row r="212" spans="1:9">
      <c r="A212" t="s">
        <v>199</v>
      </c>
      <c r="B212" t="s">
        <v>213</v>
      </c>
      <c r="E212">
        <f t="shared" si="17"/>
        <v>0</v>
      </c>
      <c r="F212">
        <v>2856</v>
      </c>
      <c r="G212" s="13">
        <f>LNG_global[[#This Row],[Distance '[miles']]]*1.60934449789256</f>
        <v>4596.2878859811508</v>
      </c>
      <c r="H212" s="13"/>
      <c r="I212" t="s">
        <v>226</v>
      </c>
    </row>
    <row r="213" spans="1:9">
      <c r="A213" t="s">
        <v>199</v>
      </c>
      <c r="B213" t="s">
        <v>214</v>
      </c>
      <c r="E213">
        <f t="shared" si="17"/>
        <v>0</v>
      </c>
      <c r="F213">
        <v>3840</v>
      </c>
      <c r="G213" s="13">
        <f>LNG_global[[#This Row],[Distance '[miles']]]*1.60934449789256</f>
        <v>6179.8828719074299</v>
      </c>
      <c r="H213" s="13"/>
      <c r="I213" t="s">
        <v>227</v>
      </c>
    </row>
    <row r="214" spans="1:9">
      <c r="A214" t="s">
        <v>199</v>
      </c>
      <c r="B214" t="s">
        <v>215</v>
      </c>
      <c r="E214">
        <f t="shared" si="17"/>
        <v>0</v>
      </c>
      <c r="F214">
        <v>3499</v>
      </c>
      <c r="G214" s="13">
        <f>LNG_global[[#This Row],[Distance '[miles']]]*1.60934449789256</f>
        <v>5631.0963981260675</v>
      </c>
      <c r="H214" s="13"/>
      <c r="I214" t="s">
        <v>243</v>
      </c>
    </row>
    <row r="215" spans="1:9">
      <c r="A215" t="s">
        <v>199</v>
      </c>
      <c r="B215" t="s">
        <v>216</v>
      </c>
      <c r="E215">
        <f t="shared" si="17"/>
        <v>0</v>
      </c>
      <c r="F215">
        <v>5736</v>
      </c>
      <c r="G215" s="13">
        <f>LNG_global[[#This Row],[Distance '[miles']]]*1.60934449789256</f>
        <v>9231.2000399117242</v>
      </c>
      <c r="H215" s="13"/>
      <c r="I215" t="s">
        <v>229</v>
      </c>
    </row>
    <row r="216" spans="1:9">
      <c r="A216" t="s">
        <v>199</v>
      </c>
      <c r="B216" t="s">
        <v>217</v>
      </c>
      <c r="E216">
        <f t="shared" si="17"/>
        <v>0</v>
      </c>
      <c r="F216">
        <v>2866</v>
      </c>
      <c r="G216" s="13">
        <f>LNG_global[[#This Row],[Distance '[miles']]]*1.60934449789256</f>
        <v>4612.3813309600764</v>
      </c>
      <c r="H216" s="13"/>
      <c r="I216" t="s">
        <v>262</v>
      </c>
    </row>
    <row r="217" spans="1:9">
      <c r="A217" t="s">
        <v>199</v>
      </c>
      <c r="B217" t="s">
        <v>230</v>
      </c>
      <c r="E217">
        <f t="shared" si="17"/>
        <v>0</v>
      </c>
      <c r="F217">
        <v>3259</v>
      </c>
      <c r="G217" s="13">
        <f>LNG_global[[#This Row],[Distance '[miles']]]*1.60934449789256</f>
        <v>5244.8537186318526</v>
      </c>
      <c r="H217" s="13"/>
      <c r="I217" t="s">
        <v>235</v>
      </c>
    </row>
    <row r="218" spans="1:9">
      <c r="A218" t="s">
        <v>199</v>
      </c>
      <c r="B218" t="s">
        <v>231</v>
      </c>
      <c r="E218">
        <f t="shared" si="17"/>
        <v>0</v>
      </c>
      <c r="F218">
        <v>3259</v>
      </c>
      <c r="G218" s="13">
        <f>LNG_global[[#This Row],[Distance '[miles']]]*1.60934449789256</f>
        <v>5244.8537186318526</v>
      </c>
      <c r="H218" s="13"/>
      <c r="I218" t="s">
        <v>236</v>
      </c>
    </row>
    <row r="219" spans="1:9">
      <c r="A219" t="s">
        <v>199</v>
      </c>
      <c r="B219" t="s">
        <v>232</v>
      </c>
      <c r="E219">
        <f t="shared" si="17"/>
        <v>0</v>
      </c>
      <c r="F219">
        <v>2730</v>
      </c>
      <c r="G219" s="13">
        <f>LNG_global[[#This Row],[Distance '[miles']]]*1.60934449789256</f>
        <v>4393.5104792466891</v>
      </c>
      <c r="H219" s="13"/>
      <c r="I219" t="s">
        <v>237</v>
      </c>
    </row>
    <row r="220" spans="1:9">
      <c r="A220" t="s">
        <v>199</v>
      </c>
      <c r="B220" t="s">
        <v>233</v>
      </c>
      <c r="E220">
        <f t="shared" si="17"/>
        <v>0</v>
      </c>
      <c r="F220">
        <v>3077</v>
      </c>
      <c r="G220" s="13">
        <f>LNG_global[[#This Row],[Distance '[miles']]]*1.60934449789256</f>
        <v>4951.9530200154068</v>
      </c>
      <c r="H220" s="13"/>
      <c r="I220" t="s">
        <v>238</v>
      </c>
    </row>
    <row r="221" spans="1:9">
      <c r="A221" t="s">
        <v>199</v>
      </c>
      <c r="B221" t="s">
        <v>234</v>
      </c>
      <c r="E221">
        <f t="shared" si="17"/>
        <v>0</v>
      </c>
      <c r="F221">
        <v>3199</v>
      </c>
      <c r="G221" s="13">
        <f>LNG_global[[#This Row],[Distance '[miles']]]*1.60934449789256</f>
        <v>5148.2930487582989</v>
      </c>
      <c r="H221" s="13"/>
      <c r="I221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2025-03-18T20:28:01Z</dcterms:modified>
</cp:coreProperties>
</file>