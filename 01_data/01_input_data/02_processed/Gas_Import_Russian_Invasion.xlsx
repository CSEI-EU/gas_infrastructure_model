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F8A5F5D9-A0E0-45BE-8B55-C8BCC82604FD}" xr6:coauthVersionLast="47" xr6:coauthVersionMax="47" xr10:uidLastSave="{00000000-0000-0000-0000-000000000000}"/>
  <bookViews>
    <workbookView xWindow="-110" yWindow="-110" windowWidth="19420" windowHeight="10300" firstSheet="8" activeTab="9" xr2:uid="{00000000-000D-0000-FFFF-FFFF00000000}"/>
  </bookViews>
  <sheets>
    <sheet name="nodes_lng_europe_2020" sheetId="1" r:id="rId1"/>
    <sheet name="nodes_lng_europe_2024" sheetId="15" r:id="rId2"/>
    <sheet name="nodes_gas_prod_europe_2020" sheetId="2" r:id="rId3"/>
    <sheet name="nodes_gas_prod_world_2020" sheetId="11" r:id="rId4"/>
    <sheet name="nodes_gas_prod_europe_2024" sheetId="7" r:id="rId5"/>
    <sheet name="nodes_gas_prod_world_2024" sheetId="12" r:id="rId6"/>
    <sheet name="nodes_demand_europe_2020" sheetId="3" r:id="rId7"/>
    <sheet name="nodes_demand_world_2020" sheetId="13" r:id="rId8"/>
    <sheet name="nodes_demand_europe_2024" sheetId="6" r:id="rId9"/>
    <sheet name="nodes_demand_world_2024" sheetId="14" r:id="rId10"/>
    <sheet name="Connections_2020" sheetId="4" r:id="rId11"/>
    <sheet name="Import_Connections_EU" sheetId="5" r:id="rId12"/>
    <sheet name="Connections_2024" sheetId="8" r:id="rId13"/>
    <sheet name="Global_Connections" sheetId="10" r:id="rId14"/>
    <sheet name="global_LNG_connections_2020" sheetId="9" r:id="rId15"/>
    <sheet name="global_LNG_connections_2024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G2" i="3"/>
  <c r="F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3" i="11"/>
  <c r="E2" i="16"/>
  <c r="G2" i="16"/>
  <c r="E3" i="16"/>
  <c r="G3" i="16"/>
  <c r="E4" i="16"/>
  <c r="G4" i="16"/>
  <c r="E5" i="16"/>
  <c r="G5" i="16"/>
  <c r="E6" i="16"/>
  <c r="G6" i="16"/>
  <c r="E7" i="16"/>
  <c r="G7" i="16"/>
  <c r="E8" i="16"/>
  <c r="G8" i="16"/>
  <c r="E9" i="16"/>
  <c r="G9" i="16"/>
  <c r="E10" i="16"/>
  <c r="G10" i="16"/>
  <c r="E11" i="16"/>
  <c r="G11" i="16"/>
  <c r="E12" i="16"/>
  <c r="G12" i="16"/>
  <c r="E13" i="16"/>
  <c r="G13" i="16"/>
  <c r="E14" i="16"/>
  <c r="G14" i="16"/>
  <c r="E15" i="16"/>
  <c r="G15" i="16"/>
  <c r="E9" i="12"/>
  <c r="G9" i="12"/>
  <c r="E9" i="11"/>
  <c r="G9" i="11"/>
  <c r="F9" i="11" s="1"/>
  <c r="G215" i="16"/>
  <c r="E215" i="16"/>
  <c r="G214" i="16"/>
  <c r="E214" i="16"/>
  <c r="G213" i="16"/>
  <c r="E213" i="16"/>
  <c r="G212" i="16"/>
  <c r="E212" i="16"/>
  <c r="G211" i="16"/>
  <c r="E211" i="16"/>
  <c r="G210" i="16"/>
  <c r="E210" i="16"/>
  <c r="G209" i="16"/>
  <c r="E209" i="16"/>
  <c r="G208" i="16"/>
  <c r="E208" i="16"/>
  <c r="G207" i="16"/>
  <c r="E207" i="16"/>
  <c r="G206" i="16"/>
  <c r="E206" i="16"/>
  <c r="G205" i="16"/>
  <c r="E205" i="16"/>
  <c r="G204" i="16"/>
  <c r="E204" i="16"/>
  <c r="G203" i="16"/>
  <c r="E203" i="16"/>
  <c r="G202" i="16"/>
  <c r="E202" i="16"/>
  <c r="G201" i="16"/>
  <c r="E201" i="16"/>
  <c r="G200" i="16"/>
  <c r="E200" i="16"/>
  <c r="G199" i="16"/>
  <c r="E199" i="16"/>
  <c r="G198" i="16"/>
  <c r="E198" i="16"/>
  <c r="G197" i="16"/>
  <c r="E197" i="16"/>
  <c r="G196" i="16"/>
  <c r="E196" i="16"/>
  <c r="G195" i="16"/>
  <c r="E195" i="16"/>
  <c r="G194" i="16"/>
  <c r="E194" i="16"/>
  <c r="G193" i="16"/>
  <c r="E193" i="16"/>
  <c r="G192" i="16"/>
  <c r="E192" i="16"/>
  <c r="G191" i="16"/>
  <c r="E191" i="16"/>
  <c r="G190" i="16"/>
  <c r="E190" i="16"/>
  <c r="G189" i="16"/>
  <c r="E189" i="16"/>
  <c r="G188" i="16"/>
  <c r="E188" i="16"/>
  <c r="G187" i="16"/>
  <c r="E187" i="16"/>
  <c r="G186" i="16"/>
  <c r="E186" i="16"/>
  <c r="G185" i="16"/>
  <c r="E185" i="16"/>
  <c r="G184" i="16"/>
  <c r="E184" i="16"/>
  <c r="G183" i="16"/>
  <c r="E183" i="16"/>
  <c r="G182" i="16"/>
  <c r="E182" i="16"/>
  <c r="G181" i="16"/>
  <c r="E181" i="16"/>
  <c r="G180" i="16"/>
  <c r="E180" i="16"/>
  <c r="G179" i="16"/>
  <c r="E179" i="16"/>
  <c r="G178" i="16"/>
  <c r="E178" i="16"/>
  <c r="G177" i="16"/>
  <c r="E177" i="16"/>
  <c r="G176" i="16"/>
  <c r="E176" i="16"/>
  <c r="G175" i="16"/>
  <c r="E175" i="16"/>
  <c r="G174" i="16"/>
  <c r="E174" i="16"/>
  <c r="G173" i="16"/>
  <c r="E173" i="16"/>
  <c r="G172" i="16"/>
  <c r="E172" i="16"/>
  <c r="G171" i="16"/>
  <c r="E171" i="16"/>
  <c r="G170" i="16"/>
  <c r="E170" i="16"/>
  <c r="G169" i="16"/>
  <c r="E169" i="16"/>
  <c r="G168" i="16"/>
  <c r="E168" i="16"/>
  <c r="G167" i="16"/>
  <c r="E167" i="16"/>
  <c r="G166" i="16"/>
  <c r="E166" i="16"/>
  <c r="G165" i="16"/>
  <c r="E165" i="16"/>
  <c r="G164" i="16"/>
  <c r="E164" i="16"/>
  <c r="G163" i="16"/>
  <c r="E163" i="16"/>
  <c r="G162" i="16"/>
  <c r="E162" i="16"/>
  <c r="G161" i="16"/>
  <c r="E161" i="16"/>
  <c r="G160" i="16"/>
  <c r="E160" i="16"/>
  <c r="G159" i="16"/>
  <c r="E159" i="16"/>
  <c r="G158" i="16"/>
  <c r="E158" i="16"/>
  <c r="G157" i="16"/>
  <c r="E157" i="16"/>
  <c r="G156" i="16"/>
  <c r="E156" i="16"/>
  <c r="G155" i="16"/>
  <c r="E155" i="16"/>
  <c r="G154" i="16"/>
  <c r="E154" i="16"/>
  <c r="G153" i="16"/>
  <c r="E153" i="16"/>
  <c r="G152" i="16"/>
  <c r="E152" i="16"/>
  <c r="G151" i="16"/>
  <c r="E151" i="16"/>
  <c r="G150" i="16"/>
  <c r="E150" i="16"/>
  <c r="G149" i="16"/>
  <c r="E149" i="16"/>
  <c r="G148" i="16"/>
  <c r="E148" i="16"/>
  <c r="G147" i="16"/>
  <c r="E147" i="16"/>
  <c r="G146" i="16"/>
  <c r="E146" i="16"/>
  <c r="G145" i="16"/>
  <c r="E145" i="16"/>
  <c r="G144" i="16"/>
  <c r="E144" i="16"/>
  <c r="G143" i="16"/>
  <c r="E143" i="16"/>
  <c r="G142" i="16"/>
  <c r="E142" i="16"/>
  <c r="G141" i="16"/>
  <c r="E141" i="16"/>
  <c r="G140" i="16"/>
  <c r="E140" i="16"/>
  <c r="G139" i="16"/>
  <c r="E139" i="16"/>
  <c r="G138" i="16"/>
  <c r="E138" i="16"/>
  <c r="G137" i="16"/>
  <c r="E137" i="16"/>
  <c r="G136" i="16"/>
  <c r="E136" i="16"/>
  <c r="G135" i="16"/>
  <c r="E135" i="16"/>
  <c r="G134" i="16"/>
  <c r="E134" i="16"/>
  <c r="G133" i="16"/>
  <c r="E133" i="16"/>
  <c r="G132" i="16"/>
  <c r="E132" i="16"/>
  <c r="G131" i="16"/>
  <c r="E131" i="16"/>
  <c r="G130" i="16"/>
  <c r="E130" i="16"/>
  <c r="G129" i="16"/>
  <c r="E129" i="16"/>
  <c r="G128" i="16"/>
  <c r="E128" i="16"/>
  <c r="G127" i="16"/>
  <c r="E127" i="16"/>
  <c r="G126" i="16"/>
  <c r="E126" i="16"/>
  <c r="G125" i="16"/>
  <c r="E125" i="16"/>
  <c r="G124" i="16"/>
  <c r="E124" i="16"/>
  <c r="G123" i="16"/>
  <c r="E123" i="16"/>
  <c r="G122" i="16"/>
  <c r="E122" i="16"/>
  <c r="G121" i="16"/>
  <c r="E121" i="16"/>
  <c r="G120" i="16"/>
  <c r="E120" i="16"/>
  <c r="G119" i="16"/>
  <c r="E119" i="16"/>
  <c r="G118" i="16"/>
  <c r="E118" i="16"/>
  <c r="G117" i="16"/>
  <c r="E117" i="16"/>
  <c r="G116" i="16"/>
  <c r="E116" i="16"/>
  <c r="G115" i="16"/>
  <c r="E115" i="16"/>
  <c r="G114" i="16"/>
  <c r="E114" i="16"/>
  <c r="G113" i="16"/>
  <c r="E113" i="16"/>
  <c r="G112" i="16"/>
  <c r="E112" i="16"/>
  <c r="G111" i="16"/>
  <c r="E111" i="16"/>
  <c r="G110" i="16"/>
  <c r="E110" i="16"/>
  <c r="G109" i="16"/>
  <c r="E109" i="16"/>
  <c r="G108" i="16"/>
  <c r="E108" i="16"/>
  <c r="G107" i="16"/>
  <c r="E107" i="16"/>
  <c r="G106" i="16"/>
  <c r="E106" i="16"/>
  <c r="G105" i="16"/>
  <c r="E105" i="16"/>
  <c r="G104" i="16"/>
  <c r="E104" i="16"/>
  <c r="G103" i="16"/>
  <c r="E103" i="16"/>
  <c r="G102" i="16"/>
  <c r="E102" i="16"/>
  <c r="G101" i="16"/>
  <c r="E101" i="16"/>
  <c r="G100" i="16"/>
  <c r="E100" i="16"/>
  <c r="G99" i="16"/>
  <c r="E99" i="16"/>
  <c r="G98" i="16"/>
  <c r="E98" i="16"/>
  <c r="G97" i="16"/>
  <c r="E97" i="16"/>
  <c r="G96" i="16"/>
  <c r="E96" i="16"/>
  <c r="G95" i="16"/>
  <c r="E95" i="16"/>
  <c r="G94" i="16"/>
  <c r="E94" i="16"/>
  <c r="G93" i="16"/>
  <c r="E93" i="16"/>
  <c r="G92" i="16"/>
  <c r="E92" i="16"/>
  <c r="G91" i="16"/>
  <c r="E91" i="16"/>
  <c r="G90" i="16"/>
  <c r="E90" i="16"/>
  <c r="G89" i="16"/>
  <c r="E89" i="16"/>
  <c r="G88" i="16"/>
  <c r="E88" i="16"/>
  <c r="G87" i="16"/>
  <c r="E87" i="16"/>
  <c r="G86" i="16"/>
  <c r="E86" i="16"/>
  <c r="G85" i="16"/>
  <c r="E85" i="16"/>
  <c r="G84" i="16"/>
  <c r="E84" i="16"/>
  <c r="G83" i="16"/>
  <c r="E83" i="16"/>
  <c r="G82" i="16"/>
  <c r="E82" i="16"/>
  <c r="G81" i="16"/>
  <c r="E81" i="16"/>
  <c r="G80" i="16"/>
  <c r="E80" i="16"/>
  <c r="G79" i="16"/>
  <c r="E79" i="16"/>
  <c r="G78" i="16"/>
  <c r="E78" i="16"/>
  <c r="G77" i="16"/>
  <c r="E77" i="16"/>
  <c r="G76" i="16"/>
  <c r="E76" i="16"/>
  <c r="G75" i="16"/>
  <c r="E75" i="16"/>
  <c r="G74" i="16"/>
  <c r="E74" i="16"/>
  <c r="G73" i="16"/>
  <c r="E73" i="16"/>
  <c r="G72" i="16"/>
  <c r="E72" i="16"/>
  <c r="G71" i="16"/>
  <c r="E71" i="16"/>
  <c r="G70" i="16"/>
  <c r="E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G42" i="16"/>
  <c r="E42" i="16"/>
  <c r="G41" i="16"/>
  <c r="E41" i="16"/>
  <c r="G40" i="16"/>
  <c r="E40" i="16"/>
  <c r="G39" i="16"/>
  <c r="E39" i="16"/>
  <c r="G38" i="16"/>
  <c r="E38" i="16"/>
  <c r="G37" i="16"/>
  <c r="E37" i="16"/>
  <c r="G36" i="16"/>
  <c r="E36" i="16"/>
  <c r="G35" i="16"/>
  <c r="E35" i="16"/>
  <c r="G34" i="16"/>
  <c r="E34" i="16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H3" i="1"/>
  <c r="H4" i="1"/>
  <c r="H5" i="1"/>
  <c r="H6" i="1"/>
  <c r="H7" i="1"/>
  <c r="H8" i="1"/>
  <c r="H9" i="1"/>
  <c r="H10" i="1"/>
  <c r="H11" i="1"/>
  <c r="H12" i="1"/>
  <c r="H13" i="1"/>
  <c r="H14" i="1"/>
  <c r="H2" i="1"/>
  <c r="F63" i="4"/>
  <c r="G63" i="4" s="1"/>
  <c r="D106" i="4"/>
  <c r="F113" i="8"/>
  <c r="F44" i="8"/>
  <c r="N19" i="15"/>
  <c r="M19" i="15"/>
  <c r="G19" i="15"/>
  <c r="H19" i="15" s="1"/>
  <c r="E19" i="15"/>
  <c r="N18" i="15"/>
  <c r="M18" i="15"/>
  <c r="G18" i="15"/>
  <c r="H18" i="15" s="1"/>
  <c r="E18" i="15"/>
  <c r="N17" i="15"/>
  <c r="M17" i="15"/>
  <c r="G17" i="15"/>
  <c r="H17" i="15" s="1"/>
  <c r="E17" i="15"/>
  <c r="N16" i="15"/>
  <c r="M16" i="15"/>
  <c r="G16" i="15"/>
  <c r="H16" i="15" s="1"/>
  <c r="E16" i="15"/>
  <c r="N15" i="15"/>
  <c r="M15" i="15"/>
  <c r="G15" i="15"/>
  <c r="H15" i="15" s="1"/>
  <c r="E15" i="15"/>
  <c r="G14" i="15"/>
  <c r="H14" i="15" s="1"/>
  <c r="E14" i="15"/>
  <c r="N13" i="15"/>
  <c r="M13" i="15"/>
  <c r="G13" i="15"/>
  <c r="H13" i="15" s="1"/>
  <c r="E13" i="15"/>
  <c r="N12" i="15"/>
  <c r="M12" i="15"/>
  <c r="G12" i="15"/>
  <c r="H12" i="15" s="1"/>
  <c r="E12" i="15"/>
  <c r="N11" i="15"/>
  <c r="M11" i="15"/>
  <c r="H11" i="15"/>
  <c r="G11" i="15"/>
  <c r="E11" i="15"/>
  <c r="N10" i="15"/>
  <c r="M10" i="15"/>
  <c r="G10" i="15"/>
  <c r="H10" i="15" s="1"/>
  <c r="E10" i="15"/>
  <c r="N9" i="15"/>
  <c r="M9" i="15"/>
  <c r="G9" i="15"/>
  <c r="H9" i="15" s="1"/>
  <c r="E9" i="15"/>
  <c r="N8" i="15"/>
  <c r="M8" i="15"/>
  <c r="G8" i="15"/>
  <c r="H8" i="15" s="1"/>
  <c r="E8" i="15"/>
  <c r="N7" i="15"/>
  <c r="M7" i="15"/>
  <c r="G7" i="15"/>
  <c r="H7" i="15" s="1"/>
  <c r="E7" i="15"/>
  <c r="N6" i="15"/>
  <c r="M6" i="15"/>
  <c r="G6" i="15"/>
  <c r="H6" i="15" s="1"/>
  <c r="E6" i="15"/>
  <c r="N5" i="15"/>
  <c r="M5" i="15"/>
  <c r="G5" i="15"/>
  <c r="H5" i="15" s="1"/>
  <c r="E5" i="15"/>
  <c r="N4" i="15"/>
  <c r="M4" i="15"/>
  <c r="G4" i="15"/>
  <c r="H4" i="15" s="1"/>
  <c r="E4" i="15"/>
  <c r="N3" i="15"/>
  <c r="M3" i="15"/>
  <c r="H3" i="15"/>
  <c r="G3" i="15"/>
  <c r="E3" i="15"/>
  <c r="N2" i="15"/>
  <c r="M2" i="15"/>
  <c r="G2" i="15"/>
  <c r="H2" i="15" s="1"/>
  <c r="E2" i="15"/>
  <c r="G6" i="10"/>
  <c r="F2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E2" i="14"/>
  <c r="G2" i="14"/>
  <c r="C3" i="14"/>
  <c r="G3" i="14" s="1"/>
  <c r="E3" i="14"/>
  <c r="C4" i="14"/>
  <c r="E4" i="14"/>
  <c r="G4" i="14"/>
  <c r="E5" i="14"/>
  <c r="G5" i="14"/>
  <c r="C6" i="14"/>
  <c r="G6" i="14" s="1"/>
  <c r="E6" i="14"/>
  <c r="E7" i="14"/>
  <c r="G7" i="14"/>
  <c r="C8" i="14"/>
  <c r="G8" i="14" s="1"/>
  <c r="E8" i="14"/>
  <c r="E9" i="14"/>
  <c r="G9" i="14"/>
  <c r="C10" i="14"/>
  <c r="E10" i="14"/>
  <c r="G10" i="14"/>
  <c r="C11" i="14"/>
  <c r="G11" i="14" s="1"/>
  <c r="E11" i="14"/>
  <c r="E12" i="14"/>
  <c r="G12" i="14"/>
  <c r="E13" i="14"/>
  <c r="C14" i="14"/>
  <c r="G14" i="14" s="1"/>
  <c r="E14" i="14"/>
  <c r="E15" i="14"/>
  <c r="G15" i="14"/>
  <c r="E16" i="14"/>
  <c r="G16" i="14"/>
  <c r="E17" i="14"/>
  <c r="G17" i="14"/>
  <c r="E18" i="14"/>
  <c r="G18" i="14"/>
  <c r="E19" i="14"/>
  <c r="G19" i="14"/>
  <c r="E20" i="14"/>
  <c r="G20" i="14"/>
  <c r="C21" i="14"/>
  <c r="G21" i="14" s="1"/>
  <c r="E21" i="14"/>
  <c r="E22" i="14"/>
  <c r="G22" i="14"/>
  <c r="E2" i="13"/>
  <c r="G2" i="13"/>
  <c r="C3" i="13"/>
  <c r="E3" i="13"/>
  <c r="G3" i="13"/>
  <c r="C4" i="13"/>
  <c r="E4" i="13"/>
  <c r="G4" i="13"/>
  <c r="C5" i="13"/>
  <c r="G5" i="13" s="1"/>
  <c r="E5" i="13"/>
  <c r="C6" i="13"/>
  <c r="E6" i="13"/>
  <c r="G6" i="13"/>
  <c r="E7" i="13"/>
  <c r="G7" i="13"/>
  <c r="C8" i="13"/>
  <c r="G8" i="13" s="1"/>
  <c r="E8" i="13"/>
  <c r="E9" i="13"/>
  <c r="G9" i="13"/>
  <c r="E10" i="13"/>
  <c r="G10" i="13"/>
  <c r="C11" i="13"/>
  <c r="G11" i="13" s="1"/>
  <c r="E11" i="13"/>
  <c r="E12" i="13"/>
  <c r="G12" i="13"/>
  <c r="E13" i="13"/>
  <c r="C14" i="13"/>
  <c r="G14" i="13" s="1"/>
  <c r="E14" i="13"/>
  <c r="E15" i="13"/>
  <c r="G15" i="13"/>
  <c r="E16" i="13"/>
  <c r="G16" i="13"/>
  <c r="E17" i="13"/>
  <c r="G17" i="13"/>
  <c r="E18" i="13"/>
  <c r="G18" i="13"/>
  <c r="E19" i="13"/>
  <c r="G19" i="13"/>
  <c r="E20" i="13"/>
  <c r="G20" i="13"/>
  <c r="C21" i="13"/>
  <c r="E21" i="13"/>
  <c r="G21" i="13"/>
  <c r="E22" i="13"/>
  <c r="G22" i="13"/>
  <c r="E2" i="12"/>
  <c r="G2" i="12"/>
  <c r="C3" i="12"/>
  <c r="E3" i="12"/>
  <c r="G3" i="12"/>
  <c r="C4" i="12"/>
  <c r="G4" i="12" s="1"/>
  <c r="E4" i="12"/>
  <c r="E5" i="12"/>
  <c r="G5" i="12"/>
  <c r="C6" i="12"/>
  <c r="E6" i="12"/>
  <c r="G6" i="12"/>
  <c r="E7" i="12"/>
  <c r="G7" i="12"/>
  <c r="C8" i="12"/>
  <c r="G8" i="12" s="1"/>
  <c r="E8" i="12"/>
  <c r="E10" i="12"/>
  <c r="G10" i="12"/>
  <c r="E11" i="12"/>
  <c r="G11" i="12"/>
  <c r="E12" i="12"/>
  <c r="G12" i="12"/>
  <c r="E13" i="12"/>
  <c r="G13" i="12"/>
  <c r="E14" i="12"/>
  <c r="C15" i="12"/>
  <c r="E15" i="12"/>
  <c r="G15" i="12"/>
  <c r="E16" i="12"/>
  <c r="G16" i="12"/>
  <c r="C17" i="12"/>
  <c r="C14" i="12" s="1"/>
  <c r="G14" i="12" s="1"/>
  <c r="E17" i="12"/>
  <c r="F11" i="11"/>
  <c r="F12" i="11"/>
  <c r="F13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F2" i="11" s="1"/>
  <c r="C3" i="11"/>
  <c r="G3" i="11" s="1"/>
  <c r="E3" i="11"/>
  <c r="C4" i="11"/>
  <c r="G4" i="11" s="1"/>
  <c r="F4" i="11" s="1"/>
  <c r="E4" i="11"/>
  <c r="E5" i="11"/>
  <c r="G5" i="11"/>
  <c r="F5" i="11" s="1"/>
  <c r="C6" i="11"/>
  <c r="G6" i="11" s="1"/>
  <c r="F6" i="11" s="1"/>
  <c r="E6" i="11"/>
  <c r="E7" i="11"/>
  <c r="G7" i="11"/>
  <c r="F7" i="11" s="1"/>
  <c r="C8" i="11"/>
  <c r="G8" i="11" s="1"/>
  <c r="F8" i="11" s="1"/>
  <c r="E8" i="11"/>
  <c r="E10" i="11"/>
  <c r="G10" i="11"/>
  <c r="F10" i="11" s="1"/>
  <c r="E11" i="11"/>
  <c r="G11" i="11"/>
  <c r="E12" i="11"/>
  <c r="G12" i="11"/>
  <c r="E13" i="11"/>
  <c r="G13" i="11"/>
  <c r="E14" i="11"/>
  <c r="C15" i="11"/>
  <c r="G15" i="11" s="1"/>
  <c r="F15" i="11" s="1"/>
  <c r="E15" i="11"/>
  <c r="E16" i="11"/>
  <c r="G16" i="11"/>
  <c r="F16" i="11" s="1"/>
  <c r="C17" i="11"/>
  <c r="C14" i="11" s="1"/>
  <c r="G14" i="11" s="1"/>
  <c r="F14" i="11" s="1"/>
  <c r="E17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164" i="9"/>
  <c r="G170" i="9"/>
  <c r="E163" i="9"/>
  <c r="E160" i="9"/>
  <c r="E161" i="9"/>
  <c r="E162" i="9"/>
  <c r="E164" i="9"/>
  <c r="E165" i="9"/>
  <c r="E166" i="9"/>
  <c r="E167" i="9"/>
  <c r="E168" i="9"/>
  <c r="E169" i="9"/>
  <c r="E170" i="9"/>
  <c r="G160" i="9"/>
  <c r="G161" i="9"/>
  <c r="G162" i="9"/>
  <c r="G163" i="9"/>
  <c r="G165" i="9"/>
  <c r="G166" i="9"/>
  <c r="G167" i="9"/>
  <c r="G168" i="9"/>
  <c r="G169" i="9"/>
  <c r="E159" i="9"/>
  <c r="G159" i="9"/>
  <c r="E149" i="9"/>
  <c r="E151" i="9"/>
  <c r="E152" i="9"/>
  <c r="E155" i="9"/>
  <c r="E148" i="9"/>
  <c r="E150" i="9"/>
  <c r="E153" i="9"/>
  <c r="E154" i="9"/>
  <c r="E156" i="9"/>
  <c r="E157" i="9"/>
  <c r="E158" i="9"/>
  <c r="G148" i="9"/>
  <c r="G149" i="9"/>
  <c r="G150" i="9"/>
  <c r="G151" i="9"/>
  <c r="G152" i="9"/>
  <c r="G153" i="9"/>
  <c r="G154" i="9"/>
  <c r="G155" i="9"/>
  <c r="G156" i="9"/>
  <c r="G157" i="9"/>
  <c r="G158" i="9"/>
  <c r="E147" i="9"/>
  <c r="G147" i="9"/>
  <c r="G46" i="9"/>
  <c r="G45" i="9"/>
  <c r="G44" i="9"/>
  <c r="G43" i="9"/>
  <c r="E137" i="9"/>
  <c r="E139" i="9"/>
  <c r="E140" i="9"/>
  <c r="E143" i="9"/>
  <c r="E136" i="9"/>
  <c r="E138" i="9"/>
  <c r="E141" i="9"/>
  <c r="E142" i="9"/>
  <c r="E144" i="9"/>
  <c r="E145" i="9"/>
  <c r="E146" i="9"/>
  <c r="G136" i="9"/>
  <c r="G137" i="9"/>
  <c r="G138" i="9"/>
  <c r="G139" i="9"/>
  <c r="G140" i="9"/>
  <c r="G141" i="9"/>
  <c r="G142" i="9"/>
  <c r="G143" i="9"/>
  <c r="G144" i="9"/>
  <c r="G145" i="9"/>
  <c r="G146" i="9"/>
  <c r="E135" i="9"/>
  <c r="G135" i="9"/>
  <c r="E127" i="9"/>
  <c r="E131" i="9"/>
  <c r="E124" i="9"/>
  <c r="E125" i="9"/>
  <c r="E126" i="9"/>
  <c r="E128" i="9"/>
  <c r="E129" i="9"/>
  <c r="E130" i="9"/>
  <c r="E132" i="9"/>
  <c r="E133" i="9"/>
  <c r="E134" i="9"/>
  <c r="G124" i="9"/>
  <c r="G125" i="9"/>
  <c r="G126" i="9"/>
  <c r="G127" i="9"/>
  <c r="G128" i="9"/>
  <c r="G129" i="9"/>
  <c r="G130" i="9"/>
  <c r="G131" i="9"/>
  <c r="G132" i="9"/>
  <c r="G133" i="9"/>
  <c r="G134" i="9"/>
  <c r="E123" i="9"/>
  <c r="G123" i="9"/>
  <c r="G114" i="9"/>
  <c r="E118" i="9"/>
  <c r="E111" i="9"/>
  <c r="E112" i="9"/>
  <c r="E113" i="9"/>
  <c r="E114" i="9"/>
  <c r="E115" i="9"/>
  <c r="E116" i="9"/>
  <c r="E117" i="9"/>
  <c r="E119" i="9"/>
  <c r="E120" i="9"/>
  <c r="E121" i="9"/>
  <c r="E122" i="9"/>
  <c r="G111" i="9"/>
  <c r="G112" i="9"/>
  <c r="G113" i="9"/>
  <c r="G115" i="9"/>
  <c r="G116" i="9"/>
  <c r="G117" i="9"/>
  <c r="G118" i="9"/>
  <c r="G119" i="9"/>
  <c r="G120" i="9"/>
  <c r="G121" i="9"/>
  <c r="G122" i="9"/>
  <c r="E105" i="9"/>
  <c r="E106" i="9"/>
  <c r="E107" i="9"/>
  <c r="E100" i="9"/>
  <c r="E101" i="9"/>
  <c r="E102" i="9"/>
  <c r="E103" i="9"/>
  <c r="E104" i="9"/>
  <c r="E108" i="9"/>
  <c r="E109" i="9"/>
  <c r="E110" i="9"/>
  <c r="G100" i="9"/>
  <c r="G101" i="9"/>
  <c r="G102" i="9"/>
  <c r="G103" i="9"/>
  <c r="G104" i="9"/>
  <c r="G105" i="9"/>
  <c r="G106" i="9"/>
  <c r="G107" i="9"/>
  <c r="G108" i="9"/>
  <c r="G109" i="9"/>
  <c r="G110" i="9"/>
  <c r="E99" i="9"/>
  <c r="G99" i="9"/>
  <c r="E89" i="9"/>
  <c r="E91" i="9"/>
  <c r="E92" i="9"/>
  <c r="E95" i="9"/>
  <c r="E88" i="9"/>
  <c r="E90" i="9"/>
  <c r="E93" i="9"/>
  <c r="E94" i="9"/>
  <c r="E96" i="9"/>
  <c r="E97" i="9"/>
  <c r="E98" i="9"/>
  <c r="G88" i="9"/>
  <c r="G89" i="9"/>
  <c r="G90" i="9"/>
  <c r="G91" i="9"/>
  <c r="G92" i="9"/>
  <c r="G93" i="9"/>
  <c r="G94" i="9"/>
  <c r="G95" i="9"/>
  <c r="G96" i="9"/>
  <c r="G97" i="9"/>
  <c r="G98" i="9"/>
  <c r="E87" i="9"/>
  <c r="G87" i="9"/>
  <c r="E77" i="9"/>
  <c r="E79" i="9"/>
  <c r="E80" i="9"/>
  <c r="E81" i="9"/>
  <c r="E83" i="9"/>
  <c r="E76" i="9"/>
  <c r="E78" i="9"/>
  <c r="E82" i="9"/>
  <c r="E84" i="9"/>
  <c r="E85" i="9"/>
  <c r="E86" i="9"/>
  <c r="G76" i="9"/>
  <c r="G77" i="9"/>
  <c r="G78" i="9"/>
  <c r="G79" i="9"/>
  <c r="G80" i="9"/>
  <c r="G81" i="9"/>
  <c r="G82" i="9"/>
  <c r="G83" i="9"/>
  <c r="G84" i="9"/>
  <c r="G85" i="9"/>
  <c r="G86" i="9"/>
  <c r="E75" i="9"/>
  <c r="G75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3" i="8"/>
  <c r="G83" i="8" s="1"/>
  <c r="F63" i="8"/>
  <c r="G63" i="8" s="1"/>
  <c r="F103" i="8"/>
  <c r="G103" i="8" s="1"/>
  <c r="F37" i="8"/>
  <c r="G37" i="8" s="1"/>
  <c r="F82" i="8"/>
  <c r="G82" i="8" s="1"/>
  <c r="F51" i="8"/>
  <c r="G51" i="8" s="1"/>
  <c r="G17" i="12" l="1"/>
  <c r="C13" i="14"/>
  <c r="G13" i="14" s="1"/>
  <c r="C13" i="13"/>
  <c r="G13" i="13" s="1"/>
  <c r="G17" i="11"/>
  <c r="F17" i="11" s="1"/>
  <c r="F75" i="8"/>
  <c r="G75" i="8" s="1"/>
  <c r="F80" i="8"/>
  <c r="G80" i="8" s="1"/>
  <c r="F12" i="8"/>
  <c r="G12" i="8" s="1"/>
  <c r="F20" i="8"/>
  <c r="G20" i="8" s="1"/>
  <c r="F72" i="8"/>
  <c r="G72" i="8" s="1"/>
  <c r="F97" i="8"/>
  <c r="G97" i="8" s="1"/>
  <c r="F88" i="8"/>
  <c r="G88" i="8" s="1"/>
  <c r="F104" i="8"/>
  <c r="G104" i="8" s="1"/>
  <c r="F96" i="8"/>
  <c r="G96" i="8" s="1"/>
  <c r="F17" i="8"/>
  <c r="G17" i="8" s="1"/>
  <c r="F41" i="8"/>
  <c r="G41" i="8" s="1"/>
  <c r="F112" i="8"/>
  <c r="G112" i="8" s="1"/>
  <c r="F58" i="8"/>
  <c r="G58" i="8" s="1"/>
  <c r="F26" i="8"/>
  <c r="G26" i="8" s="1"/>
  <c r="F7" i="8"/>
  <c r="G7" i="8" s="1"/>
  <c r="F54" i="8"/>
  <c r="G54" i="8" s="1"/>
  <c r="F61" i="8"/>
  <c r="G61" i="8" s="1"/>
  <c r="F6" i="8"/>
  <c r="G6" i="8" s="1"/>
  <c r="F38" i="8"/>
  <c r="G38" i="8" s="1"/>
  <c r="F68" i="8"/>
  <c r="G68" i="8" s="1"/>
  <c r="F64" i="8"/>
  <c r="G64" i="8" s="1"/>
  <c r="F16" i="8"/>
  <c r="G16" i="8" s="1"/>
  <c r="F57" i="8"/>
  <c r="G57" i="8" s="1"/>
  <c r="F71" i="8"/>
  <c r="G71" i="8" s="1"/>
  <c r="F111" i="8"/>
  <c r="G111" i="8" s="1"/>
  <c r="F15" i="8"/>
  <c r="G15" i="8" s="1"/>
  <c r="F56" i="8"/>
  <c r="G56" i="8" s="1"/>
  <c r="F47" i="8"/>
  <c r="G47" i="8" s="1"/>
  <c r="F19" i="8"/>
  <c r="G19" i="8" s="1"/>
  <c r="F110" i="8"/>
  <c r="G110" i="8" s="1"/>
  <c r="F25" i="8"/>
  <c r="G25" i="8" s="1"/>
  <c r="F35" i="8"/>
  <c r="G35" i="8" s="1"/>
  <c r="F115" i="8"/>
  <c r="G115" i="8" s="1"/>
  <c r="F79" i="8"/>
  <c r="G79" i="8" s="1"/>
  <c r="F34" i="8"/>
  <c r="G34" i="8" s="1"/>
  <c r="F11" i="8"/>
  <c r="G11" i="8" s="1"/>
  <c r="F14" i="8"/>
  <c r="G14" i="8" s="1"/>
  <c r="F109" i="8"/>
  <c r="G109" i="8" s="1"/>
  <c r="F87" i="8"/>
  <c r="G87" i="8" s="1"/>
  <c r="F40" i="8"/>
  <c r="G40" i="8" s="1"/>
  <c r="F43" i="8"/>
  <c r="G43" i="8" s="1"/>
  <c r="F95" i="8"/>
  <c r="G95" i="8" s="1"/>
  <c r="F62" i="8"/>
  <c r="G62" i="8" s="1"/>
  <c r="F10" i="8"/>
  <c r="G10" i="8" s="1"/>
  <c r="F33" i="8"/>
  <c r="G33" i="8" s="1"/>
  <c r="F18" i="8"/>
  <c r="G18" i="8" s="1"/>
  <c r="F67" i="8"/>
  <c r="G67" i="8" s="1"/>
  <c r="F69" i="8"/>
  <c r="G69" i="8" s="1"/>
  <c r="F105" i="8"/>
  <c r="G105" i="8" s="1"/>
  <c r="F2" i="8"/>
  <c r="G2" i="8" s="1"/>
  <c r="F99" i="8"/>
  <c r="G99" i="8" s="1"/>
  <c r="F23" i="8"/>
  <c r="G23" i="8" s="1"/>
  <c r="F5" i="8"/>
  <c r="G5" i="8" s="1"/>
  <c r="F114" i="8"/>
  <c r="G114" i="8" s="1"/>
  <c r="F91" i="8"/>
  <c r="G91" i="8" s="1"/>
  <c r="F108" i="8"/>
  <c r="G108" i="8" s="1"/>
  <c r="F86" i="8"/>
  <c r="G86" i="8" s="1"/>
  <c r="F102" i="8"/>
  <c r="G102" i="8" s="1"/>
  <c r="F53" i="8"/>
  <c r="G53" i="8" s="1"/>
  <c r="F4" i="8"/>
  <c r="G4" i="8" s="1"/>
  <c r="F55" i="8"/>
  <c r="G55" i="8" s="1"/>
  <c r="F98" i="8"/>
  <c r="G98" i="8" s="1"/>
  <c r="F107" i="8"/>
  <c r="G107" i="8" s="1"/>
  <c r="F13" i="8"/>
  <c r="G13" i="8" s="1"/>
  <c r="F78" i="8"/>
  <c r="G78" i="8" s="1"/>
  <c r="F46" i="8"/>
  <c r="G46" i="8" s="1"/>
  <c r="F22" i="8"/>
  <c r="G22" i="8" s="1"/>
  <c r="F32" i="8"/>
  <c r="G32" i="8" s="1"/>
  <c r="F9" i="8"/>
  <c r="G9" i="8" s="1"/>
  <c r="F42" i="8"/>
  <c r="G42" i="8" s="1"/>
  <c r="F94" i="8"/>
  <c r="G94" i="8" s="1"/>
  <c r="F39" i="8"/>
  <c r="G39" i="8" s="1"/>
  <c r="F70" i="8"/>
  <c r="G70" i="8" s="1"/>
  <c r="F84" i="8"/>
  <c r="G84" i="8" s="1"/>
  <c r="F52" i="8"/>
  <c r="G52" i="8" s="1"/>
  <c r="F48" i="8"/>
  <c r="G48" i="8" s="1"/>
  <c r="F66" i="8"/>
  <c r="G66" i="8" s="1"/>
  <c r="F31" i="8"/>
  <c r="G31" i="8" s="1"/>
  <c r="F77" i="8"/>
  <c r="G77" i="8" s="1"/>
  <c r="F93" i="8"/>
  <c r="G93" i="8" s="1"/>
  <c r="F24" i="8"/>
  <c r="G24" i="8" s="1"/>
  <c r="F81" i="8"/>
  <c r="G81" i="8" s="1"/>
  <c r="F36" i="8"/>
  <c r="G36" i="8" s="1"/>
  <c r="F21" i="8"/>
  <c r="G21" i="8" s="1"/>
  <c r="F3" i="8"/>
  <c r="G3" i="8" s="1"/>
  <c r="F74" i="8"/>
  <c r="G74" i="8" s="1"/>
  <c r="F8" i="8"/>
  <c r="G8" i="8" s="1"/>
  <c r="F101" i="8"/>
  <c r="G101" i="8" s="1"/>
  <c r="F30" i="8"/>
  <c r="G30" i="8" s="1"/>
  <c r="F50" i="8"/>
  <c r="G50" i="8" s="1"/>
  <c r="F60" i="8"/>
  <c r="G60" i="8" s="1"/>
  <c r="F29" i="8"/>
  <c r="G29" i="8" s="1"/>
  <c r="F92" i="8"/>
  <c r="G92" i="8" s="1"/>
  <c r="F106" i="8"/>
  <c r="G106" i="8" s="1"/>
  <c r="F85" i="8"/>
  <c r="G85" i="8" s="1"/>
  <c r="F45" i="8"/>
  <c r="G45" i="8" s="1"/>
  <c r="F90" i="8"/>
  <c r="G90" i="8" s="1"/>
  <c r="F65" i="8"/>
  <c r="G65" i="8" s="1"/>
  <c r="F76" i="8"/>
  <c r="G76" i="8" s="1"/>
  <c r="F49" i="8"/>
  <c r="G49" i="8" s="1"/>
  <c r="F28" i="8"/>
  <c r="G28" i="8" s="1"/>
  <c r="F73" i="8"/>
  <c r="G73" i="8" s="1"/>
  <c r="G113" i="8"/>
  <c r="F89" i="8"/>
  <c r="G89" i="8" s="1"/>
  <c r="F100" i="8"/>
  <c r="G100" i="8" s="1"/>
  <c r="F59" i="8"/>
  <c r="G59" i="8" s="1"/>
  <c r="F27" i="8"/>
  <c r="G27" i="8" s="1"/>
  <c r="G44" i="8"/>
  <c r="F40" i="4"/>
  <c r="G40" i="4" s="1"/>
  <c r="F37" i="4"/>
  <c r="G37" i="4" s="1"/>
  <c r="F76" i="4"/>
  <c r="G76" i="4" s="1"/>
  <c r="F39" i="4"/>
  <c r="G39" i="4" s="1"/>
  <c r="F86" i="4"/>
  <c r="G86" i="4" s="1"/>
  <c r="F67" i="4"/>
  <c r="G67" i="4" s="1"/>
  <c r="F87" i="4"/>
  <c r="G87" i="4" s="1"/>
  <c r="F84" i="4"/>
  <c r="G84" i="4" s="1"/>
  <c r="F43" i="4"/>
  <c r="G43" i="4" s="1"/>
  <c r="F92" i="4"/>
  <c r="G92" i="4" s="1"/>
  <c r="F103" i="4"/>
  <c r="G103" i="4" s="1"/>
  <c r="F69" i="4"/>
  <c r="G69" i="4" s="1"/>
  <c r="F20" i="4"/>
  <c r="G20" i="4" s="1"/>
  <c r="F47" i="4"/>
  <c r="G47" i="4" s="1"/>
  <c r="F41" i="4"/>
  <c r="G41" i="4" s="1"/>
  <c r="F10" i="4"/>
  <c r="G10" i="4" s="1"/>
  <c r="F62" i="4"/>
  <c r="G62" i="4" s="1"/>
  <c r="F91" i="4"/>
  <c r="G91" i="4" s="1"/>
  <c r="F109" i="4" l="1"/>
  <c r="G109" i="4" s="1"/>
  <c r="F72" i="4"/>
  <c r="G72" i="4" s="1"/>
  <c r="F27" i="4"/>
  <c r="G27" i="4" s="1"/>
  <c r="F57" i="4"/>
  <c r="G57" i="4" s="1"/>
  <c r="F95" i="4"/>
  <c r="G95" i="4" s="1"/>
  <c r="F107" i="4"/>
  <c r="G107" i="4" s="1"/>
  <c r="F70" i="4"/>
  <c r="G70" i="4" s="1"/>
  <c r="F28" i="4"/>
  <c r="G28" i="4" s="1"/>
  <c r="F48" i="4"/>
  <c r="G48" i="4" s="1"/>
  <c r="F73" i="4"/>
  <c r="G73" i="4" s="1"/>
  <c r="F85" i="4"/>
  <c r="G85" i="4" s="1"/>
  <c r="F44" i="4"/>
  <c r="G44" i="4" s="1"/>
  <c r="F80" i="4"/>
  <c r="G80" i="4" s="1"/>
  <c r="F100" i="4"/>
  <c r="G100" i="4" s="1"/>
  <c r="F29" i="4"/>
  <c r="G29" i="4" s="1"/>
  <c r="F58" i="4"/>
  <c r="G58" i="4" s="1"/>
  <c r="F49" i="4"/>
  <c r="G49" i="4" s="1"/>
  <c r="F30" i="4"/>
  <c r="G30" i="4" s="1"/>
  <c r="F96" i="4"/>
  <c r="G96" i="4" s="1"/>
  <c r="F8" i="4"/>
  <c r="G8" i="4" s="1"/>
  <c r="F71" i="4"/>
  <c r="G71" i="4" s="1"/>
  <c r="F3" i="4"/>
  <c r="G3" i="4" s="1"/>
  <c r="F21" i="4"/>
  <c r="G21" i="4" s="1"/>
  <c r="F36" i="4"/>
  <c r="G36" i="4" s="1"/>
  <c r="F78" i="4"/>
  <c r="G78" i="4" s="1"/>
  <c r="F24" i="4"/>
  <c r="G24" i="4" s="1"/>
  <c r="F88" i="4"/>
  <c r="G88" i="4" s="1"/>
  <c r="F74" i="4"/>
  <c r="G74" i="4" s="1"/>
  <c r="F31" i="4"/>
  <c r="G31" i="4" s="1"/>
  <c r="F50" i="4"/>
  <c r="G50" i="4" s="1"/>
  <c r="F79" i="4"/>
  <c r="G79" i="4" s="1"/>
  <c r="F38" i="4"/>
  <c r="G38" i="4" s="1"/>
  <c r="F89" i="4"/>
  <c r="G89" i="4" s="1"/>
  <c r="F9" i="4"/>
  <c r="G9" i="4" s="1"/>
  <c r="F32" i="4"/>
  <c r="G32" i="4" s="1"/>
  <c r="F22" i="4"/>
  <c r="G22" i="4" s="1"/>
  <c r="F45" i="4"/>
  <c r="G45" i="4" s="1"/>
  <c r="F75" i="4"/>
  <c r="G75" i="4" s="1"/>
  <c r="F13" i="4"/>
  <c r="G13" i="4" s="1"/>
  <c r="F101" i="4"/>
  <c r="G101" i="4" s="1"/>
  <c r="F93" i="4"/>
  <c r="G93" i="4" s="1"/>
  <c r="F53" i="4"/>
  <c r="G53" i="4" s="1"/>
  <c r="F4" i="4"/>
  <c r="G4" i="4" s="1"/>
  <c r="F51" i="4"/>
  <c r="G51" i="4" s="1"/>
  <c r="F97" i="4"/>
  <c r="G97" i="4" s="1"/>
  <c r="F81" i="4"/>
  <c r="G81" i="4" s="1"/>
  <c r="F102" i="4"/>
  <c r="G102" i="4" s="1"/>
  <c r="F108" i="4"/>
  <c r="G108" i="4" s="1"/>
  <c r="F5" i="4"/>
  <c r="G5" i="4" s="1"/>
  <c r="F23" i="4"/>
  <c r="G23" i="4" s="1"/>
  <c r="F94" i="4"/>
  <c r="G94" i="4" s="1"/>
  <c r="F2" i="4"/>
  <c r="G2" i="4" s="1"/>
  <c r="F99" i="4"/>
  <c r="G99" i="4" s="1"/>
  <c r="F66" i="4"/>
  <c r="G66" i="4" s="1"/>
  <c r="F64" i="4"/>
  <c r="G64" i="4" s="1"/>
  <c r="F18" i="4"/>
  <c r="G18" i="4" s="1"/>
  <c r="F33" i="4"/>
  <c r="G33" i="4" s="1"/>
  <c r="F60" i="4"/>
  <c r="G60" i="4" s="1"/>
  <c r="F90" i="4"/>
  <c r="G90" i="4" s="1"/>
  <c r="F82" i="4"/>
  <c r="G82" i="4" s="1"/>
  <c r="F14" i="4"/>
  <c r="G14" i="4" s="1"/>
  <c r="F11" i="4"/>
  <c r="G11" i="4" s="1"/>
  <c r="F34" i="4"/>
  <c r="G34" i="4" s="1"/>
  <c r="F35" i="4"/>
  <c r="G35" i="4" s="1"/>
  <c r="F25" i="4"/>
  <c r="G25" i="4" s="1"/>
  <c r="F104" i="4"/>
  <c r="G104" i="4" s="1"/>
  <c r="F19" i="4"/>
  <c r="G19" i="4" s="1"/>
  <c r="F46" i="4"/>
  <c r="G46" i="4" s="1"/>
  <c r="F54" i="4"/>
  <c r="G54" i="4" s="1"/>
  <c r="F15" i="4"/>
  <c r="G15" i="4" s="1"/>
  <c r="F105" i="4"/>
  <c r="G105" i="4" s="1"/>
  <c r="F68" i="4"/>
  <c r="G68" i="4" s="1"/>
  <c r="F55" i="4"/>
  <c r="G55" i="4" s="1"/>
  <c r="F16" i="4"/>
  <c r="G16" i="4" s="1"/>
  <c r="F61" i="4"/>
  <c r="G61" i="4" s="1"/>
  <c r="F65" i="4"/>
  <c r="G65" i="4" s="1"/>
  <c r="F6" i="4"/>
  <c r="G6" i="4" s="1"/>
  <c r="F59" i="4"/>
  <c r="G59" i="4" s="1"/>
  <c r="F52" i="4"/>
  <c r="G52" i="4" s="1"/>
  <c r="F7" i="4"/>
  <c r="G7" i="4" s="1"/>
  <c r="F26" i="4"/>
  <c r="G26" i="4" s="1"/>
  <c r="F56" i="4"/>
  <c r="G56" i="4" s="1"/>
  <c r="F106" i="4"/>
  <c r="G106" i="4" s="1"/>
  <c r="F17" i="4"/>
  <c r="G17" i="4" s="1"/>
  <c r="F98" i="4"/>
  <c r="G98" i="4" s="1"/>
  <c r="F83" i="4"/>
  <c r="G83" i="4" s="1"/>
  <c r="F12" i="4"/>
  <c r="G12" i="4" s="1"/>
  <c r="F77" i="4"/>
  <c r="G77" i="4" s="1"/>
  <c r="F42" i="4"/>
  <c r="G42" i="4" s="1"/>
  <c r="D44" i="7"/>
  <c r="C44" i="7"/>
  <c r="N42" i="7"/>
  <c r="M42" i="7"/>
  <c r="E42" i="7"/>
  <c r="G42" i="7" s="1"/>
  <c r="N41" i="7"/>
  <c r="M41" i="7"/>
  <c r="G41" i="7"/>
  <c r="E41" i="7"/>
  <c r="N40" i="7"/>
  <c r="M40" i="7"/>
  <c r="E40" i="7"/>
  <c r="G40" i="7" s="1"/>
  <c r="N39" i="7"/>
  <c r="M39" i="7"/>
  <c r="G39" i="7"/>
  <c r="E39" i="7"/>
  <c r="N38" i="7"/>
  <c r="M38" i="7"/>
  <c r="E38" i="7"/>
  <c r="G38" i="7" s="1"/>
  <c r="N37" i="7"/>
  <c r="M37" i="7"/>
  <c r="G37" i="7"/>
  <c r="E37" i="7"/>
  <c r="N36" i="7"/>
  <c r="M36" i="7"/>
  <c r="G36" i="7"/>
  <c r="E36" i="7"/>
  <c r="N35" i="7"/>
  <c r="M35" i="7"/>
  <c r="G35" i="7"/>
  <c r="E35" i="7"/>
  <c r="N34" i="7"/>
  <c r="M34" i="7"/>
  <c r="N33" i="7"/>
  <c r="M33" i="7"/>
  <c r="G33" i="7"/>
  <c r="E33" i="7"/>
  <c r="N32" i="7"/>
  <c r="M32" i="7"/>
  <c r="G32" i="7"/>
  <c r="E32" i="7"/>
  <c r="N31" i="7"/>
  <c r="M31" i="7"/>
  <c r="G31" i="7"/>
  <c r="E31" i="7"/>
  <c r="N30" i="7"/>
  <c r="M30" i="7"/>
  <c r="E30" i="7"/>
  <c r="G30" i="7" s="1"/>
  <c r="N29" i="7"/>
  <c r="M29" i="7"/>
  <c r="G29" i="7"/>
  <c r="E29" i="7"/>
  <c r="N28" i="7"/>
  <c r="M28" i="7"/>
  <c r="G28" i="7"/>
  <c r="E28" i="7"/>
  <c r="N27" i="7"/>
  <c r="M27" i="7"/>
  <c r="E27" i="7"/>
  <c r="G27" i="7" s="1"/>
  <c r="N26" i="7"/>
  <c r="M26" i="7"/>
  <c r="G26" i="7"/>
  <c r="E26" i="7"/>
  <c r="N25" i="7"/>
  <c r="M25" i="7"/>
  <c r="E25" i="7"/>
  <c r="G25" i="7" s="1"/>
  <c r="N24" i="7"/>
  <c r="M24" i="7"/>
  <c r="G24" i="7"/>
  <c r="E24" i="7"/>
  <c r="N23" i="7"/>
  <c r="M23" i="7"/>
  <c r="G23" i="7"/>
  <c r="E23" i="7"/>
  <c r="N22" i="7"/>
  <c r="M22" i="7"/>
  <c r="G22" i="7"/>
  <c r="E22" i="7"/>
  <c r="N21" i="7"/>
  <c r="M21" i="7"/>
  <c r="G21" i="7"/>
  <c r="E21" i="7"/>
  <c r="N20" i="7"/>
  <c r="M20" i="7"/>
  <c r="G20" i="7"/>
  <c r="E20" i="7"/>
  <c r="N19" i="7"/>
  <c r="M19" i="7"/>
  <c r="E19" i="7"/>
  <c r="G19" i="7" s="1"/>
  <c r="N18" i="7"/>
  <c r="M18" i="7"/>
  <c r="E18" i="7"/>
  <c r="G18" i="7" s="1"/>
  <c r="N17" i="7"/>
  <c r="M17" i="7"/>
  <c r="E17" i="7"/>
  <c r="G17" i="7" s="1"/>
  <c r="N16" i="7"/>
  <c r="M16" i="7"/>
  <c r="N15" i="7"/>
  <c r="M15" i="7"/>
  <c r="G15" i="7"/>
  <c r="E15" i="7"/>
  <c r="N14" i="7"/>
  <c r="M14" i="7"/>
  <c r="E14" i="7"/>
  <c r="G14" i="7" s="1"/>
  <c r="N13" i="7"/>
  <c r="M13" i="7"/>
  <c r="G13" i="7"/>
  <c r="E13" i="7"/>
  <c r="N12" i="7"/>
  <c r="M12" i="7"/>
  <c r="G12" i="7"/>
  <c r="E12" i="7"/>
  <c r="N11" i="7"/>
  <c r="M11" i="7"/>
  <c r="E11" i="7"/>
  <c r="G11" i="7" s="1"/>
  <c r="N10" i="7"/>
  <c r="M10" i="7"/>
  <c r="E10" i="7"/>
  <c r="G10" i="7" s="1"/>
  <c r="N9" i="7"/>
  <c r="M9" i="7"/>
  <c r="E9" i="7"/>
  <c r="G9" i="7" s="1"/>
  <c r="N8" i="7"/>
  <c r="M8" i="7"/>
  <c r="E8" i="7"/>
  <c r="G8" i="7" s="1"/>
  <c r="N7" i="7"/>
  <c r="M7" i="7"/>
  <c r="G7" i="7"/>
  <c r="E7" i="7"/>
  <c r="N6" i="7"/>
  <c r="M6" i="7"/>
  <c r="E6" i="7"/>
  <c r="G6" i="7" s="1"/>
  <c r="N5" i="7"/>
  <c r="M5" i="7"/>
  <c r="G5" i="7"/>
  <c r="E5" i="7"/>
  <c r="N4" i="7"/>
  <c r="M4" i="7"/>
  <c r="E4" i="7"/>
  <c r="G4" i="7" s="1"/>
  <c r="N3" i="7"/>
  <c r="M3" i="7"/>
  <c r="G3" i="7"/>
  <c r="E3" i="7"/>
  <c r="N2" i="7"/>
  <c r="M2" i="7"/>
  <c r="E2" i="7"/>
  <c r="G2" i="7" s="1"/>
  <c r="E2" i="2"/>
  <c r="G2" i="2" s="1"/>
  <c r="E40" i="2"/>
  <c r="G40" i="2" s="1"/>
  <c r="G18" i="6"/>
  <c r="G34" i="6"/>
  <c r="F17" i="3"/>
  <c r="D42" i="6"/>
  <c r="D41" i="6"/>
  <c r="D40" i="6"/>
  <c r="G40" i="6" s="1"/>
  <c r="D39" i="6"/>
  <c r="G39" i="6" s="1"/>
  <c r="D38" i="6"/>
  <c r="G38" i="6" s="1"/>
  <c r="D37" i="6"/>
  <c r="G37" i="6" s="1"/>
  <c r="D36" i="6"/>
  <c r="G36" i="6" s="1"/>
  <c r="D35" i="6"/>
  <c r="G35" i="6" s="1"/>
  <c r="D34" i="6"/>
  <c r="D33" i="6"/>
  <c r="G33" i="6" s="1"/>
  <c r="D32" i="6"/>
  <c r="D31" i="6"/>
  <c r="D30" i="6"/>
  <c r="G30" i="6" s="1"/>
  <c r="D29" i="6"/>
  <c r="G29" i="6" s="1"/>
  <c r="D28" i="6"/>
  <c r="G28" i="6" s="1"/>
  <c r="D27" i="6"/>
  <c r="G27" i="6" s="1"/>
  <c r="D26" i="6"/>
  <c r="G26" i="6" s="1"/>
  <c r="D25" i="6"/>
  <c r="G25" i="6" s="1"/>
  <c r="D24" i="6"/>
  <c r="G24" i="6" s="1"/>
  <c r="D23" i="6"/>
  <c r="D22" i="6"/>
  <c r="D21" i="6"/>
  <c r="D20" i="6"/>
  <c r="G20" i="6" s="1"/>
  <c r="D19" i="6"/>
  <c r="G19" i="6" s="1"/>
  <c r="D18" i="6"/>
  <c r="D17" i="6"/>
  <c r="G17" i="6" s="1"/>
  <c r="D16" i="6"/>
  <c r="G16" i="6" s="1"/>
  <c r="D15" i="6"/>
  <c r="G15" i="6" s="1"/>
  <c r="D14" i="6"/>
  <c r="G14" i="6" s="1"/>
  <c r="D13" i="6"/>
  <c r="G13" i="6" s="1"/>
  <c r="D12" i="6"/>
  <c r="G12" i="6" s="1"/>
  <c r="D11" i="6"/>
  <c r="G11" i="6" s="1"/>
  <c r="D10" i="6"/>
  <c r="G10" i="6" s="1"/>
  <c r="D9" i="6"/>
  <c r="G9" i="6" s="1"/>
  <c r="D8" i="6"/>
  <c r="G8" i="6" s="1"/>
  <c r="D7" i="6"/>
  <c r="G7" i="6" s="1"/>
  <c r="D6" i="6"/>
  <c r="G6" i="6" s="1"/>
  <c r="D5" i="6"/>
  <c r="D4" i="6"/>
  <c r="G4" i="6" s="1"/>
  <c r="D3" i="6"/>
  <c r="G3" i="6" s="1"/>
  <c r="D2" i="6"/>
  <c r="G14" i="1"/>
  <c r="I14" i="1" s="1"/>
  <c r="G12" i="1"/>
  <c r="G9" i="1"/>
  <c r="I9" i="1" s="1"/>
  <c r="G8" i="1"/>
  <c r="I8" i="1" s="1"/>
  <c r="G5" i="1"/>
  <c r="I5" i="1" s="1"/>
  <c r="G4" i="1"/>
  <c r="I4" i="1" s="1"/>
  <c r="G3" i="1"/>
  <c r="I3" i="1" s="1"/>
  <c r="G6" i="1"/>
  <c r="I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2" i="3"/>
  <c r="E27" i="3" s="1"/>
  <c r="F31" i="3" s="1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F19" i="3" s="1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I12" i="1"/>
  <c r="G7" i="1"/>
  <c r="I7" i="1" s="1"/>
  <c r="G10" i="1"/>
  <c r="I10" i="1" s="1"/>
  <c r="G11" i="1"/>
  <c r="I11" i="1" s="1"/>
  <c r="G13" i="1"/>
  <c r="I13" i="1" s="1"/>
  <c r="G2" i="1"/>
  <c r="I2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E44" i="2" l="1"/>
  <c r="G34" i="2"/>
  <c r="E34" i="7"/>
  <c r="G34" i="7" s="1"/>
  <c r="E16" i="7"/>
  <c r="E44" i="7"/>
  <c r="G16" i="7"/>
  <c r="E27" i="6"/>
  <c r="F32" i="3"/>
  <c r="F23" i="3"/>
  <c r="F42" i="3"/>
  <c r="F41" i="3"/>
  <c r="F22" i="3"/>
  <c r="F21" i="3"/>
  <c r="F5" i="3"/>
  <c r="F2" i="3"/>
  <c r="G22" i="6" l="1"/>
  <c r="G42" i="6"/>
  <c r="G2" i="6"/>
  <c r="G23" i="6"/>
  <c r="G21" i="6"/>
  <c r="G31" i="6"/>
  <c r="G5" i="6"/>
  <c r="G41" i="6"/>
  <c r="G32" i="6"/>
</calcChain>
</file>

<file path=xl/sharedStrings.xml><?xml version="1.0" encoding="utf-8"?>
<sst xmlns="http://schemas.openxmlformats.org/spreadsheetml/2006/main" count="2657" uniqueCount="289">
  <si>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</si>
  <si>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</si>
  <si>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</si>
  <si>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</si>
  <si>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</si>
  <si>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</si>
  <si>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</si>
  <si>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</si>
  <si>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</si>
  <si>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</si>
  <si>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</si>
  <si>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</si>
  <si>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</si>
  <si>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</si>
  <si>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</si>
  <si>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</si>
  <si>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</si>
  <si>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</si>
  <si>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</si>
  <si>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</si>
  <si>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</si>
  <si>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</si>
  <si>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</si>
  <si>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</si>
  <si>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</si>
  <si>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</si>
  <si>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</si>
  <si>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</si>
  <si>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</si>
  <si>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</si>
  <si>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</si>
  <si>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</si>
  <si>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</si>
  <si>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</si>
  <si>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</si>
  <si>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</si>
  <si>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</si>
  <si>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</si>
  <si>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</si>
  <si>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</si>
  <si>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</si>
  <si>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</si>
  <si>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</si>
  <si>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</si>
  <si>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</si>
  <si>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</si>
  <si>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</si>
  <si>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</si>
  <si>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</si>
  <si>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</si>
  <si>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</si>
  <si>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</si>
  <si>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</si>
  <si>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</si>
  <si>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</si>
  <si>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</si>
  <si>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</si>
  <si>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</si>
  <si>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</si>
  <si>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</si>
  <si>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</si>
  <si>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</si>
  <si>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</si>
  <si>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</si>
  <si>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</si>
  <si>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</si>
  <si>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</si>
  <si>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</si>
  <si>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</si>
  <si>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</si>
  <si>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</si>
  <si>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</si>
  <si>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</si>
  <si>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</si>
  <si>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</si>
  <si>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</si>
  <si>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</si>
  <si>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</si>
  <si>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</si>
  <si>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</si>
  <si>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</si>
  <si>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</si>
  <si>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</si>
  <si>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</si>
  <si>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</si>
  <si>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</si>
  <si>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</si>
  <si>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</si>
  <si>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</si>
  <si>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</si>
  <si>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</si>
  <si>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</si>
  <si>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</si>
  <si>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</si>
  <si>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</si>
  <si>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</si>
  <si>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</si>
  <si>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</si>
  <si>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</si>
  <si>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</si>
  <si>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</si>
  <si>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</si>
  <si>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</si>
  <si>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</si>
  <si>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</si>
  <si>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</si>
  <si>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</si>
  <si>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</si>
  <si>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</si>
  <si>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</si>
  <si>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</si>
  <si>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</si>
  <si>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</si>
  <si>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</si>
  <si>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</si>
  <si>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</si>
  <si>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</si>
  <si>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</si>
  <si>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</si>
  <si>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</si>
  <si>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</si>
  <si>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</si>
  <si>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</si>
  <si>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</si>
  <si>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</si>
  <si>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</si>
  <si>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</si>
  <si>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</si>
  <si>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</si>
  <si>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</si>
  <si>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</si>
  <si>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</si>
  <si>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</si>
  <si>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</si>
  <si>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</si>
  <si>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</si>
  <si>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</si>
  <si>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</si>
  <si>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</si>
  <si>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</si>
  <si>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</si>
  <si>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</si>
  <si>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</si>
  <si>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</si>
  <si>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</si>
  <si>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</si>
  <si>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</si>
  <si>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</si>
  <si>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</si>
  <si>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</si>
  <si>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</si>
  <si>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</si>
  <si>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</si>
  <si>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</si>
  <si>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</si>
  <si>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</si>
  <si>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</si>
  <si>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</si>
  <si>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</si>
  <si>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</si>
  <si>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</si>
  <si>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</si>
  <si>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</si>
  <si>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</si>
  <si>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</si>
  <si>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</si>
  <si>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</si>
  <si>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</si>
  <si>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</si>
  <si>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</si>
  <si>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</si>
  <si>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</si>
  <si>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</si>
  <si>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</si>
  <si>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</si>
  <si>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</si>
  <si>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</si>
  <si>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</si>
  <si>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</si>
  <si>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</si>
  <si>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</si>
  <si>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</si>
  <si>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</si>
  <si>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</si>
  <si>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</si>
  <si>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</si>
  <si>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</si>
  <si>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</si>
  <si>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</si>
  <si>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</si>
  <si>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</si>
  <si>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</si>
  <si>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</si>
  <si>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</si>
  <si>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</si>
  <si>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</si>
  <si>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</si>
  <si>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</si>
  <si>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</si>
  <si>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</si>
  <si>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</si>
  <si>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</si>
  <si>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</si>
  <si>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</si>
  <si>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</si>
  <si>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</si>
  <si>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</si>
  <si>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</si>
  <si>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</si>
  <si>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</si>
  <si>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</si>
  <si>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</si>
  <si>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</si>
  <si>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</si>
  <si>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</si>
  <si>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</si>
  <si>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</si>
  <si>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</si>
  <si>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</si>
  <si>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</si>
  <si>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</si>
  <si>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</si>
  <si>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</si>
  <si>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</si>
  <si>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</si>
  <si>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</si>
  <si>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</si>
  <si>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</si>
  <si>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</si>
  <si>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</si>
  <si>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</si>
  <si>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</si>
  <si>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</si>
  <si>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</si>
  <si>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</si>
  <si>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</si>
  <si>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</si>
  <si>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</si>
  <si>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</si>
  <si>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</si>
  <si>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</si>
  <si>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</si>
  <si>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</si>
  <si>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</si>
  <si>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</si>
  <si>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</si>
  <si>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Trinidad from Point Fortin</t>
  </si>
  <si>
    <t>ME from Das Island (UAE)</t>
  </si>
  <si>
    <t>Huelva</t>
  </si>
  <si>
    <t>AU from Darwin</t>
  </si>
  <si>
    <t>Quintero (Chile)</t>
  </si>
  <si>
    <t xml:space="preserve">IM from Balikpapan (bestguess  in the middle) </t>
  </si>
  <si>
    <t>Dunkirk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</si>
  <si>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</si>
  <si>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</si>
  <si>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</si>
  <si>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</si>
  <si>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</si>
  <si>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</si>
  <si>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</si>
  <si>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</si>
  <si>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</si>
  <si>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</si>
  <si>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</si>
  <si>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</si>
  <si>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</si>
  <si>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</si>
  <si>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</si>
  <si>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EL_LNG</t>
  </si>
  <si>
    <t>assumption for distance</t>
  </si>
  <si>
    <t>https://www.gem.wiki/Torzhok-Minsk-Ivatsevichy_Gas_Pipeline</t>
  </si>
  <si>
    <t>distance [km]</t>
  </si>
  <si>
    <t>distance [miles]</t>
  </si>
  <si>
    <t>https://www.statista.com/statistics/1538667/natural-gas-production-in-morocco-by-field/</t>
  </si>
  <si>
    <t>for Morroco</t>
  </si>
  <si>
    <t>Tianjin</t>
  </si>
  <si>
    <t>Livorno</t>
  </si>
  <si>
    <t>Hong Kong</t>
  </si>
  <si>
    <t>Wadi Feiran</t>
  </si>
  <si>
    <t>Montoir</t>
  </si>
  <si>
    <t>Istanbul</t>
  </si>
  <si>
    <t>Isle of Grain</t>
  </si>
  <si>
    <t>AF from Bonny Inshore Terminal (Nigeria)</t>
  </si>
  <si>
    <t>Cartagena</t>
  </si>
  <si>
    <t>EG from Port Said and Alexandria</t>
  </si>
  <si>
    <t>Shanghai</t>
  </si>
  <si>
    <t>Kavala</t>
  </si>
  <si>
    <t>Venice</t>
  </si>
  <si>
    <t xml:space="preserve">RU from Sabetta (Murmansk plus 1200 mi to west, minus 1200 mi to east as Murmansk is the closest port) except for JS, there it's from Vladivostok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</si>
</sst>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6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  <xf numFmtId="164" fontId="0" fillId="4" borderId="0" xfId="0" applyNumberFormat="1" applyFill="1" applyBorder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58">
    <dxf>
      <numFmt numFmtId="0" formatCode="General"/>
    </dxf>
    <dxf>
      <numFmt numFmtId="164" formatCode="0.0"/>
    </dxf>
    <dxf>
      <numFmt numFmtId="164" formatCode="0.0"/>
    </dxf>
    <dxf>
      <numFmt numFmtId="164" formatCode="0.0"/>
    </dxf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57"/>
    <tableColumn id="5" xr3:uid="{4278F9D8-E46F-44B9-A622-727B8E2C8EF1}" name="Mil m3 EU [2020]" dataDxfId="56"/>
    <tableColumn id="6" xr3:uid="{F2BDB73C-713D-4BC7-B762-048AA072F297}" name="Mrd m3 EU [2020]" dataDxfId="55">
      <calculatedColumnFormula>Table2[[#This Row],[Mil m3 EU '[2020']]]/1000</calculatedColumnFormula>
    </tableColumn>
    <tableColumn id="7" xr3:uid="{337F5DC2-FD6B-445B-A2F7-5464B34B589E}" name="GWh [2020]" dataDxfId="54">
      <calculatedColumnFormula>Table2[[#This Row],[TWh '[2020']2]]*1000</calculatedColumnFormula>
    </tableColumn>
    <tableColumn id="4" xr3:uid="{5BB2DA97-8C23-44BC-9268-BDBE2BCDBBC8}" name="TWh [2020]2" dataDxfId="53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7" totalsRowShown="0" headerRowDxfId="52" headerRowBorderDxfId="51" tableBorderDxfId="50">
  <autoFilter ref="A1:G17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49">
      <calculatedColumnFormula>Table7[[#This Row],[Mil m3 '[2020']]]/1000</calculatedColumnFormula>
    </tableColumn>
    <tableColumn id="7" xr3:uid="{4A1E0E2A-2ECC-45EB-9D63-EC01B197BAA8}" name="GWh [2020]" dataDxfId="48">
      <calculatedColumnFormula>Table7[[#This Row],[TWh '[2020']2]]*1000</calculatedColumnFormula>
    </tableColumn>
    <tableColumn id="6" xr3:uid="{ECFA587C-DE79-4510-9945-328AB8DBC35F}" name="TWh [2020]2" dataDxfId="47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46"/>
    <tableColumn id="5" xr3:uid="{42F1A333-D727-4655-B618-A9AB5617745F}" name="Mil m3 EU [2020]" dataDxfId="45"/>
    <tableColumn id="6" xr3:uid="{326B3A9A-70B2-4D34-8E01-54CBBD0565E6}" name="Mrd m3 EU [2020]" dataDxfId="44">
      <calculatedColumnFormula>Table26[[#This Row],[Mil m3 EU '[2020']]]/1000</calculatedColumnFormula>
    </tableColumn>
    <tableColumn id="7" xr3:uid="{7EF7045A-D72E-40AA-A523-1A389D57AAF5}" name="GWh [2020]" dataDxfId="3">
      <calculatedColumnFormula>Table26[[#This Row],[TWh '[2020']]]*1000</calculatedColumnFormula>
    </tableColumn>
    <tableColumn id="4" xr3:uid="{DC1916A1-B3CC-4586-AE6D-12CF46A9C0F0}" name="TWh [2020]" dataDxfId="43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G17" totalsRowShown="0" headerRowDxfId="42" headerRowBorderDxfId="41" tableBorderDxfId="40">
  <autoFilter ref="A1:G17" xr:uid="{FA14358E-0A26-44DE-ADCA-3F13E2A3D0D9}"/>
  <tableColumns count="7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39">
      <calculatedColumnFormula>Table79[[#This Row],[Mil m3 '[2020']]]/1000</calculatedColumnFormula>
    </tableColumn>
    <tableColumn id="7" xr3:uid="{A1AF1224-2FA6-47E0-9ECD-AB8B46DF628B}" name="GWh [2020]" dataDxfId="2">
      <calculatedColumnFormula>Table79[[#This Row],[TWh '[2020']]]*1000</calculatedColumnFormula>
    </tableColumn>
    <tableColumn id="6" xr3:uid="{0CF67BB6-4E02-4893-BB83-4858F32AB909}" name="TWh [2020]" dataDxfId="38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37"/>
    <tableColumn id="4" xr3:uid="{1618AAC4-0782-47C3-91CE-2FEB95FBDD58}" name="TWh [2020]" dataDxfId="36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35">
      <calculatedColumnFormula>IF(Table1[[#This Row],[TWh '[2020']]]=0,$D$27*(E2/$E$27),0)</calculatedColumnFormula>
    </tableColumn>
    <tableColumn id="7" xr3:uid="{53C148C2-CAF7-47BC-9950-964805B82325}" name="GWh [2020]" dataDxfId="34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33" headerRowBorderDxfId="32" tableBorderDxfId="31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30">
      <calculatedColumnFormula>Table7910[[#This Row],[Mil m3 '[2020']]]/1000</calculatedColumnFormula>
    </tableColumn>
    <tableColumn id="7" xr3:uid="{95C698CF-3EBE-40E8-840D-A6C3E41CFB2C}" name="GWh [2020]" dataDxfId="29">
      <calculatedColumnFormula>Table7910[[#This Row],[TWh '[2020']]]*1000</calculatedColumnFormula>
    </tableColumn>
    <tableColumn id="6" xr3:uid="{44160680-3C35-4A7A-9677-B7F78304684A}" name="TWh [2020]" dataDxfId="28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27"/>
    <tableColumn id="4" xr3:uid="{60E83C2D-D521-4D6A-800D-160C3176DFC7}" name="TWh [2023]" dataDxfId="26">
      <calculatedColumnFormula>Table15[[#This Row],[Mrd m3 '[2023']]]*9.77*-1</calculatedColumnFormula>
    </tableColumn>
    <tableColumn id="5" xr3:uid="{1EC72689-3FEE-4998-85C2-E4533CF3E650}" name="Population 2020 [Tsd]"/>
    <tableColumn id="7" xr3:uid="{9AD7149D-CE4C-40DA-896B-BFCD92F06B1A}" name="GWh [2020]" dataDxfId="0">
      <calculatedColumnFormula>MIN(Table15[[#This Row],[TWh '[2023']]],Table15[[#This Row],[TWh by share]])*1000</calculatedColumnFormula>
    </tableColumn>
    <tableColumn id="6" xr3:uid="{EA1A4D0E-E13A-491B-8024-93E1A98AD8DD}" name="TWh by share" dataDxfId="25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G22" totalsRowShown="0" headerRowDxfId="24" headerRowBorderDxfId="23" tableBorderDxfId="22">
  <autoFilter ref="A1:G22" xr:uid="{F8148266-610F-49B2-B97A-CC785A7B2E24}"/>
  <tableColumns count="7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21">
      <calculatedColumnFormula>Table791011[[#This Row],[Mil m3 '[2020']]]/1000</calculatedColumnFormula>
    </tableColumn>
    <tableColumn id="7" xr3:uid="{800E9158-5DB0-43C4-A644-BF3466322E9E}" name="GWh [2020]" dataDxfId="1">
      <calculatedColumnFormula>Table791011[[#This Row],[TWh '[2020']]]*1000</calculatedColumnFormula>
    </tableColumn>
    <tableColumn id="6" xr3:uid="{28EBAF35-966D-44B9-8859-9AC70136DAAC}" name="TWh [2020]" dataDxfId="20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19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5" totalsRowShown="0">
  <autoFilter ref="A1:H115" xr:uid="{E12C0BEF-3C88-4803-B1D2-BF2F4DD3F518}"/>
  <sortState xmlns:xlrd2="http://schemas.microsoft.com/office/spreadsheetml/2017/richdata2" ref="A2:H115">
    <sortCondition ref="A1:A115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18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17">
      <calculatedColumnFormula>C2*9.77*1000</calculatedColumnFormula>
    </tableColumn>
    <tableColumn id="5" xr3:uid="{01416B1F-02D4-4015-854F-1DF81E1DF7B6}" name="TWh/a" dataDxfId="16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0" totalsRowShown="0" headerRowDxfId="15" headerRowBorderDxfId="14" tableBorderDxfId="13" totalsRowBorderDxfId="12">
  <autoFilter ref="A1:I170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11">
      <calculatedColumnFormula>LNG_global[[#This Row],[Distance '[miles']]]*1.60934449789256</calculatedColumnFormula>
    </tableColumn>
    <tableColumn id="9" xr3:uid="{DD9D70F1-D00A-43D9-9F09-037C2573E34A}" name="Suez or Panama" dataDxfId="10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41F31BC-0CA5-4B1A-808E-7A8A6507019C}" name="LNG_global14" displayName="LNG_global14" ref="A1:I215" totalsRowShown="0" headerRowDxfId="9" headerRowBorderDxfId="8" tableBorderDxfId="7" totalsRowBorderDxfId="6">
  <autoFilter ref="A1:I215" xr:uid="{CA4061AA-5D26-4056-B170-4E1336D4AD38}"/>
  <tableColumns count="9">
    <tableColumn id="1" xr3:uid="{D01CBB17-E8FF-44A2-B87B-A0B5AC3337BA}" name="From"/>
    <tableColumn id="2" xr3:uid="{2B10426C-1F03-4DCD-8E1F-B75B14040753}" name="To"/>
    <tableColumn id="3" xr3:uid="{22CC2043-CD18-4BAE-A48A-9DB7CF2F3E2F}" name="GWh/d [capacity]"/>
    <tableColumn id="6" xr3:uid="{CECFE5AF-5D48-42EE-A4E2-71EE0E776650}" name="GWh/a">
      <calculatedColumnFormula>MIN(Table37[[#This Row],[GWh/d '[capacity map']]:[GWh/d '[transparency map']]])*365</calculatedColumnFormula>
    </tableColumn>
    <tableColumn id="7" xr3:uid="{A980C55B-694D-4EBF-88F4-17D741B2E286}" name="TWh/a">
      <calculatedColumnFormula>D2/1000</calculatedColumnFormula>
    </tableColumn>
    <tableColumn id="5" xr3:uid="{B6C8563B-B70E-4D32-A7CA-353FAC6B7501}" name="Distance [miles]"/>
    <tableColumn id="4" xr3:uid="{DB3ABB11-1F6C-4F58-B946-9343785CF33A}" name="Distance [km]" dataDxfId="5">
      <calculatedColumnFormula>LNG_global14[[#This Row],[Distance '[miles']]]*1.60934449789256</calculatedColumnFormula>
    </tableColumn>
    <tableColumn id="9" xr3:uid="{601054B1-1B08-47CB-880D-0D80ED1BD0EA}" name="Suez or Panama" dataDxfId="4"/>
    <tableColumn id="8" xr3:uid="{F8768BD8-8B11-4BD9-B074-AD5ADFFDF447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workbookViewId="0">
      <selection activeCell="A7" sqref="A7"/>
    </sheetView>
  </sheetViews>
  <sheetFormatPr defaultRowHeight="14.5"/>
  <sheetData>
    <row r="1" spans="1:15">
      <c r="A1" t="s">
        <v>12</v>
      </c>
      <c r="B1" t="s">
        <v>94</v>
      </c>
      <c r="C1" t="s">
        <v>15</v>
      </c>
      <c r="D1" t="s">
        <v>91</v>
      </c>
      <c r="E1" t="s">
        <v>13</v>
      </c>
      <c r="F1" t="s">
        <v>14</v>
      </c>
      <c r="G1" t="s">
        <v>103</v>
      </c>
      <c r="H1" t="s">
        <v>106</v>
      </c>
      <c r="I1" t="s">
        <v>104</v>
      </c>
      <c r="N1" t="s">
        <v>93</v>
      </c>
      <c r="O1" t="s">
        <v>94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IF(C2&gt;F2,C2,F2)</f>
        <v>11.4</v>
      </c>
      <c r="H2">
        <f>I2*1000</f>
        <v>111378</v>
      </c>
      <c r="I2">
        <f t="shared" ref="I2:I14" si="0">G2*9.77</f>
        <v>111.378</v>
      </c>
      <c r="K2" t="s">
        <v>17</v>
      </c>
      <c r="L2" t="s">
        <v>101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4" si="1">D3/C3</f>
        <v>0.59393939393939399</v>
      </c>
      <c r="F3">
        <v>33</v>
      </c>
      <c r="G3">
        <f>IF(C3&gt;F3,C3,F3)</f>
        <v>33</v>
      </c>
      <c r="H3">
        <f t="shared" ref="H3:H14" si="2">I3*1000</f>
        <v>322409.99999999994</v>
      </c>
      <c r="I3">
        <f t="shared" si="0"/>
        <v>322.40999999999997</v>
      </c>
      <c r="K3" t="s">
        <v>25</v>
      </c>
      <c r="L3" t="s">
        <v>101</v>
      </c>
      <c r="N3" t="str">
        <f t="shared" ref="N3:N13" si="3">_xlfn.CONCAT(K3,L3)</f>
        <v>FR_LNG</v>
      </c>
      <c r="O3" t="str">
        <f t="shared" ref="O3:O13" si="4">K3</f>
        <v>FR</v>
      </c>
    </row>
    <row r="4" spans="1:15">
      <c r="A4" t="s">
        <v>3</v>
      </c>
      <c r="B4" t="s">
        <v>265</v>
      </c>
      <c r="C4">
        <v>7</v>
      </c>
      <c r="D4">
        <v>2.5</v>
      </c>
      <c r="E4" s="1">
        <f t="shared" si="1"/>
        <v>0.35714285714285715</v>
      </c>
      <c r="F4">
        <v>7.5</v>
      </c>
      <c r="G4">
        <f>IF(C4&gt;F4,C4,F4)</f>
        <v>7.5</v>
      </c>
      <c r="H4">
        <f t="shared" si="2"/>
        <v>73274.999999999985</v>
      </c>
      <c r="I4">
        <f t="shared" si="0"/>
        <v>73.274999999999991</v>
      </c>
      <c r="K4" t="s">
        <v>265</v>
      </c>
      <c r="L4" t="s">
        <v>101</v>
      </c>
      <c r="N4" t="str">
        <f t="shared" si="3"/>
        <v>EL_LNG</v>
      </c>
      <c r="O4" t="str">
        <f t="shared" si="4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1"/>
        <v>0.75862068965517238</v>
      </c>
      <c r="F5">
        <v>15.8</v>
      </c>
      <c r="G5">
        <f>IF(C5&gt;F5,C5,F5)</f>
        <v>15.95</v>
      </c>
      <c r="H5">
        <f t="shared" si="2"/>
        <v>155831.49999999997</v>
      </c>
      <c r="I5">
        <f t="shared" si="0"/>
        <v>155.83149999999998</v>
      </c>
      <c r="K5" t="s">
        <v>21</v>
      </c>
      <c r="L5" t="s">
        <v>101</v>
      </c>
      <c r="N5" t="str">
        <f t="shared" si="3"/>
        <v>IT_LNG</v>
      </c>
      <c r="O5" t="str">
        <f t="shared" si="4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1"/>
        <v>0.15384615384615385</v>
      </c>
      <c r="F6">
        <v>2.6</v>
      </c>
      <c r="G6">
        <f t="shared" ref="G6:G14" si="5">IF(C6&gt;F6,C6,F6)</f>
        <v>2.6</v>
      </c>
      <c r="H6">
        <f t="shared" si="2"/>
        <v>25402</v>
      </c>
      <c r="I6">
        <f t="shared" si="0"/>
        <v>25.402000000000001</v>
      </c>
      <c r="K6" t="s">
        <v>24</v>
      </c>
      <c r="L6" t="s">
        <v>101</v>
      </c>
      <c r="N6" t="str">
        <f t="shared" si="3"/>
        <v>HR_LNG</v>
      </c>
      <c r="O6" t="str">
        <f t="shared" si="4"/>
        <v>HR</v>
      </c>
    </row>
    <row r="7" spans="1:15">
      <c r="A7" t="s">
        <v>6</v>
      </c>
      <c r="B7" t="s">
        <v>35</v>
      </c>
      <c r="C7">
        <v>4</v>
      </c>
      <c r="D7">
        <v>1.6</v>
      </c>
      <c r="E7" s="1">
        <f t="shared" si="1"/>
        <v>0.4</v>
      </c>
      <c r="F7">
        <v>4</v>
      </c>
      <c r="G7">
        <f t="shared" si="5"/>
        <v>4</v>
      </c>
      <c r="H7">
        <f t="shared" si="2"/>
        <v>39080</v>
      </c>
      <c r="I7">
        <f t="shared" si="0"/>
        <v>39.08</v>
      </c>
      <c r="K7" t="s">
        <v>35</v>
      </c>
      <c r="L7" t="s">
        <v>101</v>
      </c>
      <c r="N7" t="str">
        <f t="shared" si="3"/>
        <v>LT_LNG</v>
      </c>
      <c r="O7" t="str">
        <f t="shared" si="4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1"/>
        <v>0.68333333333333324</v>
      </c>
      <c r="F8">
        <v>12.5</v>
      </c>
      <c r="G8">
        <f t="shared" si="5"/>
        <v>12.5</v>
      </c>
      <c r="H8">
        <f t="shared" si="2"/>
        <v>122125</v>
      </c>
      <c r="I8">
        <f t="shared" si="0"/>
        <v>122.125</v>
      </c>
      <c r="K8" t="s">
        <v>18</v>
      </c>
      <c r="L8" t="s">
        <v>101</v>
      </c>
      <c r="N8" t="str">
        <f t="shared" si="3"/>
        <v>NL_LNG</v>
      </c>
      <c r="O8" t="str">
        <f t="shared" si="4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1"/>
        <v>0.66129032258064513</v>
      </c>
      <c r="F9">
        <v>5.8</v>
      </c>
      <c r="G9">
        <f t="shared" si="5"/>
        <v>6.2</v>
      </c>
      <c r="H9">
        <f t="shared" si="2"/>
        <v>60574</v>
      </c>
      <c r="I9">
        <f t="shared" si="0"/>
        <v>60.573999999999998</v>
      </c>
      <c r="K9" t="s">
        <v>27</v>
      </c>
      <c r="L9" t="s">
        <v>101</v>
      </c>
      <c r="N9" t="str">
        <f t="shared" si="3"/>
        <v>PL_LNG</v>
      </c>
      <c r="O9" t="str">
        <f t="shared" si="4"/>
        <v>PL</v>
      </c>
    </row>
    <row r="10" spans="1:15">
      <c r="A10" t="s">
        <v>1</v>
      </c>
      <c r="B10" t="s">
        <v>38</v>
      </c>
      <c r="C10">
        <v>7.6</v>
      </c>
      <c r="D10">
        <v>6.1</v>
      </c>
      <c r="E10" s="1">
        <f t="shared" si="1"/>
        <v>0.80263157894736836</v>
      </c>
      <c r="F10">
        <v>7.3</v>
      </c>
      <c r="G10">
        <f t="shared" si="5"/>
        <v>7.6</v>
      </c>
      <c r="H10">
        <f t="shared" si="2"/>
        <v>74252</v>
      </c>
      <c r="I10">
        <f t="shared" si="0"/>
        <v>74.251999999999995</v>
      </c>
      <c r="K10" t="s">
        <v>38</v>
      </c>
      <c r="L10" t="s">
        <v>101</v>
      </c>
      <c r="N10" t="str">
        <f t="shared" si="3"/>
        <v>PT_LNG</v>
      </c>
      <c r="O10" t="str">
        <f t="shared" si="4"/>
        <v>PT</v>
      </c>
    </row>
    <row r="11" spans="1:15">
      <c r="A11" t="s">
        <v>9</v>
      </c>
      <c r="B11" t="s">
        <v>37</v>
      </c>
      <c r="C11">
        <v>60.1</v>
      </c>
      <c r="D11">
        <v>20.9</v>
      </c>
      <c r="E11" s="1">
        <f t="shared" si="1"/>
        <v>0.3477537437603993</v>
      </c>
      <c r="F11">
        <v>67.099999999999994</v>
      </c>
      <c r="G11">
        <f t="shared" si="5"/>
        <v>67.099999999999994</v>
      </c>
      <c r="H11">
        <f t="shared" si="2"/>
        <v>655566.99999999988</v>
      </c>
      <c r="I11">
        <f t="shared" si="0"/>
        <v>655.56699999999989</v>
      </c>
      <c r="K11" t="s">
        <v>37</v>
      </c>
      <c r="L11" t="s">
        <v>101</v>
      </c>
      <c r="N11" t="str">
        <f t="shared" si="3"/>
        <v>ES_LNG</v>
      </c>
      <c r="O11" t="str">
        <f t="shared" si="4"/>
        <v>ES</v>
      </c>
    </row>
    <row r="12" spans="1:15">
      <c r="A12" t="s">
        <v>10</v>
      </c>
      <c r="B12" t="s">
        <v>47</v>
      </c>
      <c r="C12">
        <v>43.6</v>
      </c>
      <c r="D12">
        <v>14.8</v>
      </c>
      <c r="E12" s="1">
        <f t="shared" si="1"/>
        <v>0.33944954128440369</v>
      </c>
      <c r="F12">
        <v>14.8</v>
      </c>
      <c r="G12">
        <f t="shared" si="5"/>
        <v>43.6</v>
      </c>
      <c r="H12">
        <f t="shared" si="2"/>
        <v>425972</v>
      </c>
      <c r="I12">
        <f t="shared" si="0"/>
        <v>425.97199999999998</v>
      </c>
      <c r="K12" t="s">
        <v>47</v>
      </c>
      <c r="L12" t="s">
        <v>101</v>
      </c>
      <c r="N12" t="str">
        <f t="shared" si="3"/>
        <v>TR_LNG</v>
      </c>
      <c r="O12" t="str">
        <f t="shared" si="4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1"/>
        <v>0.38669438669438672</v>
      </c>
      <c r="F13">
        <v>52.3</v>
      </c>
      <c r="G13">
        <f t="shared" si="5"/>
        <v>52.3</v>
      </c>
      <c r="H13">
        <f t="shared" si="2"/>
        <v>510970.99999999994</v>
      </c>
      <c r="I13">
        <f t="shared" si="0"/>
        <v>510.97099999999995</v>
      </c>
      <c r="K13" t="s">
        <v>11</v>
      </c>
      <c r="L13" t="s">
        <v>101</v>
      </c>
      <c r="N13" t="str">
        <f t="shared" si="3"/>
        <v>UK_LNG</v>
      </c>
      <c r="O13" t="str">
        <f t="shared" si="4"/>
        <v>UK</v>
      </c>
    </row>
    <row r="14" spans="1:15">
      <c r="A14" t="s">
        <v>92</v>
      </c>
      <c r="B14" t="s">
        <v>100</v>
      </c>
      <c r="C14">
        <v>0.7</v>
      </c>
      <c r="E14" s="1">
        <f t="shared" si="1"/>
        <v>0</v>
      </c>
      <c r="G14">
        <f t="shared" si="5"/>
        <v>0.7</v>
      </c>
      <c r="H14">
        <f t="shared" si="2"/>
        <v>6838.9999999999991</v>
      </c>
      <c r="I14">
        <f t="shared" si="0"/>
        <v>6.8389999999999995</v>
      </c>
      <c r="K14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N19"/>
  <sheetViews>
    <sheetView topLeftCell="A4" workbookViewId="0">
      <selection activeCell="B1" sqref="B1:B19"/>
    </sheetView>
  </sheetViews>
  <sheetFormatPr defaultRowHeight="14.5"/>
  <sheetData>
    <row r="1" spans="1:14">
      <c r="A1" t="s">
        <v>12</v>
      </c>
      <c r="B1" t="s">
        <v>94</v>
      </c>
      <c r="C1" t="s">
        <v>15</v>
      </c>
      <c r="D1" t="s">
        <v>91</v>
      </c>
      <c r="E1" t="s">
        <v>13</v>
      </c>
      <c r="F1" t="s">
        <v>14</v>
      </c>
      <c r="G1" t="s">
        <v>103</v>
      </c>
      <c r="H1" t="s">
        <v>104</v>
      </c>
      <c r="M1" t="s">
        <v>93</v>
      </c>
      <c r="N1" t="s">
        <v>94</v>
      </c>
    </row>
    <row r="2" spans="1:14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IF(C2&gt;F2,C2,F2)</f>
        <v>11.4</v>
      </c>
      <c r="H2">
        <f>G2*9.77</f>
        <v>111.378</v>
      </c>
      <c r="J2" t="s">
        <v>17</v>
      </c>
      <c r="K2" t="s">
        <v>101</v>
      </c>
      <c r="M2" t="str">
        <f>_xlfn.CONCAT(J2,K2)</f>
        <v>BE_LNG</v>
      </c>
      <c r="N2" t="str">
        <f>J2</f>
        <v>BE</v>
      </c>
    </row>
    <row r="3" spans="1:14">
      <c r="A3" t="s">
        <v>2</v>
      </c>
      <c r="B3" t="s">
        <v>25</v>
      </c>
      <c r="C3">
        <v>33</v>
      </c>
      <c r="D3">
        <v>19.600000000000001</v>
      </c>
      <c r="E3" s="1">
        <f t="shared" ref="E3:E19" si="0">D3/C3</f>
        <v>0.59393939393939399</v>
      </c>
      <c r="F3">
        <v>33</v>
      </c>
      <c r="G3">
        <f>IF(C3&gt;F3,C3,F3)</f>
        <v>33</v>
      </c>
      <c r="H3">
        <f t="shared" ref="H3:H19" si="1">G3*9.77</f>
        <v>322.40999999999997</v>
      </c>
      <c r="J3" t="s">
        <v>25</v>
      </c>
      <c r="K3" t="s">
        <v>101</v>
      </c>
      <c r="M3" t="str">
        <f t="shared" ref="M3:M19" si="2">_xlfn.CONCAT(J3,K3)</f>
        <v>FR_LNG</v>
      </c>
      <c r="N3" t="str">
        <f t="shared" ref="N3:N19" si="3">J3</f>
        <v>FR</v>
      </c>
    </row>
    <row r="4" spans="1:14">
      <c r="A4" t="s">
        <v>3</v>
      </c>
      <c r="B4" t="s">
        <v>265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>IF(C4&gt;F4,C4,F4)</f>
        <v>7.5</v>
      </c>
      <c r="H4">
        <f t="shared" si="1"/>
        <v>73.274999999999991</v>
      </c>
      <c r="J4" t="s">
        <v>265</v>
      </c>
      <c r="K4" t="s">
        <v>101</v>
      </c>
      <c r="M4" t="str">
        <f t="shared" si="2"/>
        <v>EL_LNG</v>
      </c>
      <c r="N4" t="str">
        <f t="shared" si="3"/>
        <v>EL</v>
      </c>
    </row>
    <row r="5" spans="1:14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>IF(C5&gt;F5,C5,F5)</f>
        <v>15.95</v>
      </c>
      <c r="H5">
        <f t="shared" si="1"/>
        <v>155.83149999999998</v>
      </c>
      <c r="J5" t="s">
        <v>21</v>
      </c>
      <c r="K5" t="s">
        <v>101</v>
      </c>
      <c r="M5" t="str">
        <f t="shared" si="2"/>
        <v>IT_LNG</v>
      </c>
      <c r="N5" t="str">
        <f t="shared" si="3"/>
        <v>IT</v>
      </c>
    </row>
    <row r="6" spans="1:14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ref="G6:G19" si="4">IF(C6&gt;F6,C6,F6)</f>
        <v>2.6</v>
      </c>
      <c r="H6">
        <f t="shared" si="1"/>
        <v>25.402000000000001</v>
      </c>
      <c r="J6" t="s">
        <v>24</v>
      </c>
      <c r="K6" t="s">
        <v>101</v>
      </c>
      <c r="M6" t="str">
        <f t="shared" si="2"/>
        <v>HR_LNG</v>
      </c>
      <c r="N6" t="str">
        <f t="shared" si="3"/>
        <v>HR</v>
      </c>
    </row>
    <row r="7" spans="1:14">
      <c r="A7" t="s">
        <v>6</v>
      </c>
      <c r="B7" t="s">
        <v>35</v>
      </c>
      <c r="C7">
        <v>4</v>
      </c>
      <c r="D7">
        <v>1.6</v>
      </c>
      <c r="E7" s="1">
        <f t="shared" si="0"/>
        <v>0.4</v>
      </c>
      <c r="F7">
        <v>4</v>
      </c>
      <c r="G7">
        <f t="shared" si="4"/>
        <v>4</v>
      </c>
      <c r="H7">
        <f t="shared" si="1"/>
        <v>39.08</v>
      </c>
      <c r="J7" t="s">
        <v>35</v>
      </c>
      <c r="K7" t="s">
        <v>101</v>
      </c>
      <c r="M7" t="str">
        <f t="shared" si="2"/>
        <v>LT_LNG</v>
      </c>
      <c r="N7" t="str">
        <f t="shared" si="3"/>
        <v>LT</v>
      </c>
    </row>
    <row r="8" spans="1:14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4"/>
        <v>12.5</v>
      </c>
      <c r="H8">
        <f t="shared" si="1"/>
        <v>122.125</v>
      </c>
      <c r="J8" t="s">
        <v>18</v>
      </c>
      <c r="K8" t="s">
        <v>101</v>
      </c>
      <c r="M8" t="str">
        <f t="shared" si="2"/>
        <v>NL_LNG</v>
      </c>
      <c r="N8" t="str">
        <f t="shared" si="3"/>
        <v>NL</v>
      </c>
    </row>
    <row r="9" spans="1:14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4"/>
        <v>6.2</v>
      </c>
      <c r="H9">
        <f t="shared" si="1"/>
        <v>60.573999999999998</v>
      </c>
      <c r="J9" t="s">
        <v>27</v>
      </c>
      <c r="K9" t="s">
        <v>101</v>
      </c>
      <c r="M9" t="str">
        <f t="shared" si="2"/>
        <v>PL_LNG</v>
      </c>
      <c r="N9" t="str">
        <f t="shared" si="3"/>
        <v>PL</v>
      </c>
    </row>
    <row r="10" spans="1:14">
      <c r="A10" t="s">
        <v>1</v>
      </c>
      <c r="B10" t="s">
        <v>38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4"/>
        <v>7.6</v>
      </c>
      <c r="H10">
        <f t="shared" si="1"/>
        <v>74.251999999999995</v>
      </c>
      <c r="J10" t="s">
        <v>38</v>
      </c>
      <c r="K10" t="s">
        <v>101</v>
      </c>
      <c r="M10" t="str">
        <f t="shared" si="2"/>
        <v>PT_LNG</v>
      </c>
      <c r="N10" t="str">
        <f t="shared" si="3"/>
        <v>PT</v>
      </c>
    </row>
    <row r="11" spans="1:14">
      <c r="A11" t="s">
        <v>9</v>
      </c>
      <c r="B11" t="s">
        <v>37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4"/>
        <v>67.099999999999994</v>
      </c>
      <c r="H11">
        <f t="shared" si="1"/>
        <v>655.56699999999989</v>
      </c>
      <c r="J11" t="s">
        <v>37</v>
      </c>
      <c r="K11" t="s">
        <v>101</v>
      </c>
      <c r="M11" t="str">
        <f t="shared" si="2"/>
        <v>ES_LNG</v>
      </c>
      <c r="N11" t="str">
        <f t="shared" si="3"/>
        <v>ES</v>
      </c>
    </row>
    <row r="12" spans="1:14">
      <c r="A12" t="s">
        <v>10</v>
      </c>
      <c r="B12" t="s">
        <v>47</v>
      </c>
      <c r="C12">
        <v>43.6</v>
      </c>
      <c r="D12">
        <v>14.8</v>
      </c>
      <c r="E12" s="1">
        <f t="shared" si="0"/>
        <v>0.33944954128440369</v>
      </c>
      <c r="F12">
        <v>14.8</v>
      </c>
      <c r="G12">
        <f t="shared" si="4"/>
        <v>43.6</v>
      </c>
      <c r="H12">
        <f t="shared" si="1"/>
        <v>425.97199999999998</v>
      </c>
      <c r="J12" t="s">
        <v>47</v>
      </c>
      <c r="K12" t="s">
        <v>101</v>
      </c>
      <c r="M12" t="str">
        <f t="shared" si="2"/>
        <v>TR_LNG</v>
      </c>
      <c r="N12" t="str">
        <f t="shared" si="3"/>
        <v>TR</v>
      </c>
    </row>
    <row r="13" spans="1:14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4"/>
        <v>52.3</v>
      </c>
      <c r="H13">
        <f t="shared" si="1"/>
        <v>510.97099999999995</v>
      </c>
      <c r="J13" t="s">
        <v>11</v>
      </c>
      <c r="K13" t="s">
        <v>101</v>
      </c>
      <c r="M13" t="str">
        <f t="shared" si="2"/>
        <v>UK_LNG</v>
      </c>
      <c r="N13" t="str">
        <f t="shared" si="3"/>
        <v>UK</v>
      </c>
    </row>
    <row r="14" spans="1:14">
      <c r="A14" t="s">
        <v>92</v>
      </c>
      <c r="B14" t="s">
        <v>100</v>
      </c>
      <c r="C14">
        <v>0.7</v>
      </c>
      <c r="E14" s="1">
        <f t="shared" si="0"/>
        <v>0</v>
      </c>
      <c r="G14">
        <f t="shared" si="4"/>
        <v>0.7</v>
      </c>
      <c r="H14">
        <f t="shared" si="1"/>
        <v>6.8389999999999995</v>
      </c>
      <c r="J14" t="s">
        <v>100</v>
      </c>
    </row>
    <row r="15" spans="1:14">
      <c r="A15" t="s">
        <v>129</v>
      </c>
      <c r="B15" t="s">
        <v>54</v>
      </c>
      <c r="C15">
        <v>2.5</v>
      </c>
      <c r="E15" s="1">
        <f t="shared" si="0"/>
        <v>0</v>
      </c>
      <c r="G15">
        <f t="shared" si="4"/>
        <v>2.5</v>
      </c>
      <c r="H15">
        <f t="shared" si="1"/>
        <v>24.424999999999997</v>
      </c>
      <c r="J15" t="s">
        <v>54</v>
      </c>
      <c r="K15" t="s">
        <v>101</v>
      </c>
      <c r="M15" t="str">
        <f t="shared" si="2"/>
        <v>EE_LNG</v>
      </c>
      <c r="N15" t="str">
        <f t="shared" si="3"/>
        <v>EE</v>
      </c>
    </row>
    <row r="16" spans="1:14">
      <c r="A16" t="s">
        <v>128</v>
      </c>
      <c r="B16" t="s">
        <v>55</v>
      </c>
      <c r="C16">
        <v>5</v>
      </c>
      <c r="E16" s="1">
        <f t="shared" si="0"/>
        <v>0</v>
      </c>
      <c r="G16">
        <f t="shared" si="4"/>
        <v>5</v>
      </c>
      <c r="H16">
        <f t="shared" si="1"/>
        <v>48.849999999999994</v>
      </c>
      <c r="J16" t="s">
        <v>55</v>
      </c>
      <c r="K16" t="s">
        <v>101</v>
      </c>
      <c r="M16" t="str">
        <f t="shared" si="2"/>
        <v>FI_LNG</v>
      </c>
      <c r="N16" t="str">
        <f t="shared" si="3"/>
        <v>FI</v>
      </c>
    </row>
    <row r="17" spans="1:14">
      <c r="A17" t="s">
        <v>130</v>
      </c>
      <c r="B17" t="s">
        <v>19</v>
      </c>
      <c r="C17">
        <v>31.2</v>
      </c>
      <c r="E17" s="1">
        <f t="shared" si="0"/>
        <v>0</v>
      </c>
      <c r="G17">
        <f t="shared" si="4"/>
        <v>31.2</v>
      </c>
      <c r="H17">
        <f t="shared" si="1"/>
        <v>304.82399999999996</v>
      </c>
      <c r="J17" t="s">
        <v>19</v>
      </c>
      <c r="K17" t="s">
        <v>101</v>
      </c>
      <c r="M17" t="str">
        <f t="shared" si="2"/>
        <v>DE_LNG</v>
      </c>
      <c r="N17" t="str">
        <f t="shared" si="3"/>
        <v>DE</v>
      </c>
    </row>
    <row r="18" spans="1:14">
      <c r="A18" t="s">
        <v>131</v>
      </c>
      <c r="B18" t="s">
        <v>44</v>
      </c>
      <c r="C18">
        <v>2.6</v>
      </c>
      <c r="E18" s="1">
        <f t="shared" si="0"/>
        <v>0</v>
      </c>
      <c r="G18">
        <f t="shared" si="4"/>
        <v>2.6</v>
      </c>
      <c r="H18">
        <f t="shared" si="1"/>
        <v>25.402000000000001</v>
      </c>
      <c r="J18" t="s">
        <v>44</v>
      </c>
      <c r="K18" t="s">
        <v>101</v>
      </c>
      <c r="M18" t="str">
        <f t="shared" si="2"/>
        <v>IE_LNG</v>
      </c>
      <c r="N18" t="str">
        <f t="shared" si="3"/>
        <v>IE</v>
      </c>
    </row>
    <row r="19" spans="1:14">
      <c r="A19" t="s">
        <v>132</v>
      </c>
      <c r="B19" t="s">
        <v>36</v>
      </c>
      <c r="C19">
        <v>1.5</v>
      </c>
      <c r="E19" s="1">
        <f t="shared" si="0"/>
        <v>0</v>
      </c>
      <c r="G19">
        <f t="shared" si="4"/>
        <v>1.5</v>
      </c>
      <c r="H19">
        <f t="shared" si="1"/>
        <v>14.654999999999999</v>
      </c>
      <c r="J19" t="s">
        <v>36</v>
      </c>
      <c r="K19" t="s">
        <v>101</v>
      </c>
      <c r="M19" t="str">
        <f t="shared" si="2"/>
        <v>LV_LNG</v>
      </c>
      <c r="N19" t="str">
        <f t="shared" si="3"/>
        <v>LV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7" workbookViewId="0">
      <selection activeCell="B7" sqref="B7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14">
      <c r="A1" t="s">
        <v>16</v>
      </c>
      <c r="B1" t="s">
        <v>56</v>
      </c>
      <c r="C1" t="s">
        <v>85</v>
      </c>
      <c r="D1" t="s">
        <v>120</v>
      </c>
      <c r="E1" t="s">
        <v>122</v>
      </c>
      <c r="F1" t="s">
        <v>267</v>
      </c>
      <c r="G1" t="s">
        <v>266</v>
      </c>
      <c r="M1" t="s">
        <v>93</v>
      </c>
      <c r="N1" t="s">
        <v>94</v>
      </c>
    </row>
    <row r="2" spans="1:14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102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265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44</v>
      </c>
      <c r="B18" t="s">
        <v>136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133</v>
      </c>
    </row>
    <row r="48" spans="1:14">
      <c r="A48" t="s">
        <v>80</v>
      </c>
      <c r="B48" t="s">
        <v>90</v>
      </c>
      <c r="I48" t="s">
        <v>138</v>
      </c>
    </row>
    <row r="49" spans="1:2">
      <c r="A49" t="s">
        <v>123</v>
      </c>
      <c r="B49" t="s">
        <v>121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21"/>
  <sheetViews>
    <sheetView workbookViewId="0">
      <selection activeCell="F4" sqref="F4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7">
      <c r="A1" s="12" t="s">
        <v>16</v>
      </c>
      <c r="B1" s="12" t="s">
        <v>56</v>
      </c>
      <c r="C1" s="12" t="s">
        <v>85</v>
      </c>
      <c r="D1" s="12" t="s">
        <v>171</v>
      </c>
      <c r="E1" s="12" t="s">
        <v>172</v>
      </c>
      <c r="F1" s="13" t="s">
        <v>267</v>
      </c>
      <c r="G1" s="13" t="s">
        <v>266</v>
      </c>
    </row>
    <row r="2" spans="1:7">
      <c r="A2" t="s">
        <v>150</v>
      </c>
      <c r="B2" s="6" t="s">
        <v>150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197</v>
      </c>
      <c r="B3" t="s">
        <v>161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151</v>
      </c>
      <c r="B4" t="s">
        <v>162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152</v>
      </c>
      <c r="B5" t="s">
        <v>163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153</v>
      </c>
      <c r="B6" t="s">
        <v>164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154</v>
      </c>
      <c r="B7" t="s">
        <v>175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155</v>
      </c>
      <c r="B8" t="s">
        <v>165</v>
      </c>
      <c r="C8" s="2">
        <f>231.909048813308-nodes_gas_prod_europe_2020!C21-nodes_gas_prod_europe_2020!C3-nodes_gas_prod_europe_2020!C37-C16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97</v>
      </c>
      <c r="B9" t="s">
        <v>176</v>
      </c>
      <c r="C9" s="2">
        <v>7.0000000000000007E-2</v>
      </c>
      <c r="E9" s="2">
        <f>Table7[[#This Row],[Mil m3 '[2020']]]/1000</f>
        <v>0</v>
      </c>
      <c r="F9" s="2">
        <f>Table7[[#This Row],[TWh '[2020']2]]*1000</f>
        <v>683.90000000000009</v>
      </c>
      <c r="G9" s="3">
        <f>IF(Table7[[#This Row],[Mil m3 '[2020']]]&gt;0,Table7[[#This Row],[Mrd m3 '[2020']2]],Table7[[#This Row],[Mrd m3 '[2020']]])*9.77</f>
        <v>0.68390000000000006</v>
      </c>
    </row>
    <row r="10" spans="1:7">
      <c r="A10" t="s">
        <v>156</v>
      </c>
      <c r="B10" t="s">
        <v>166</v>
      </c>
      <c r="C10">
        <v>145.71638020075315</v>
      </c>
      <c r="E10" s="2">
        <f>Table7[[#This Row],[Mil m3 '[2020']]]/1000</f>
        <v>0</v>
      </c>
      <c r="F10" s="2">
        <f>Table7[[#This Row],[TWh '[2020']2]]*1000</f>
        <v>1423649.0345613582</v>
      </c>
      <c r="G10" s="3">
        <f>IF(Table7[[#This Row],[Mil m3 '[2020']]]&gt;0,Table7[[#This Row],[Mrd m3 '[2020']2]],Table7[[#This Row],[Mrd m3 '[2020']]])*9.77</f>
        <v>1423.6490345613581</v>
      </c>
    </row>
    <row r="11" spans="1:7">
      <c r="A11" t="s">
        <v>157</v>
      </c>
      <c r="B11" t="s">
        <v>167</v>
      </c>
      <c r="C11">
        <v>194.00921828908548</v>
      </c>
      <c r="E11" s="2">
        <f>Table7[[#This Row],[Mil m3 '[2020']]]/1000</f>
        <v>0</v>
      </c>
      <c r="F11" s="2">
        <f>Table7[[#This Row],[TWh '[2020']2]]*1000</f>
        <v>1895470.0626843651</v>
      </c>
      <c r="G11" s="3">
        <f>IF(Table7[[#This Row],[Mil m3 '[2020']]]&gt;0,Table7[[#This Row],[Mrd m3 '[2020']2]],Table7[[#This Row],[Mrd m3 '[2020']]])*9.77</f>
        <v>1895.4700626843651</v>
      </c>
    </row>
    <row r="12" spans="1:7">
      <c r="A12" t="s">
        <v>158</v>
      </c>
      <c r="B12" t="s">
        <v>168</v>
      </c>
      <c r="C12">
        <v>0</v>
      </c>
      <c r="E12" s="2">
        <f>Table7[[#This Row],[Mil m3 '[2020']]]/1000</f>
        <v>0</v>
      </c>
      <c r="F12" s="2">
        <f>Table7[[#This Row],[TWh '[2020']2]]*1000</f>
        <v>0</v>
      </c>
      <c r="G12" s="3">
        <f>IF(Table7[[#This Row],[Mil m3 '[2020']]]&gt;0,Table7[[#This Row],[Mrd m3 '[2020']2]],Table7[[#This Row],[Mrd m3 '[2020']]])*9.77</f>
        <v>0</v>
      </c>
    </row>
    <row r="13" spans="1:7">
      <c r="A13" t="s">
        <v>159</v>
      </c>
      <c r="B13" t="s">
        <v>169</v>
      </c>
      <c r="C13">
        <v>23.760626555099513</v>
      </c>
      <c r="E13" s="2">
        <f>Table7[[#This Row],[Mil m3 '[2020']]]/1000</f>
        <v>0</v>
      </c>
      <c r="F13" s="2">
        <f>Table7[[#This Row],[TWh '[2020']2]]*1000</f>
        <v>232141.32144332223</v>
      </c>
      <c r="G13" s="3">
        <f>IF(Table7[[#This Row],[Mil m3 '[2020']]]&gt;0,Table7[[#This Row],[Mrd m3 '[2020']2]],Table7[[#This Row],[Mrd m3 '[2020']]])*9.77</f>
        <v>232.14132144332223</v>
      </c>
    </row>
    <row r="14" spans="1:7">
      <c r="A14" t="s">
        <v>160</v>
      </c>
      <c r="B14" t="s">
        <v>170</v>
      </c>
      <c r="C14">
        <f>656.2735508682-C13-C11-C10-C12-C17</f>
        <v>154.99710695848057</v>
      </c>
      <c r="E14" s="2">
        <f>Table7[[#This Row],[Mil m3 '[2020']]]/1000</f>
        <v>0</v>
      </c>
      <c r="F14" s="2">
        <f>Table7[[#This Row],[TWh '[2020']2]]*1000</f>
        <v>1514321.734984355</v>
      </c>
      <c r="G14" s="3">
        <f>IF(Table7[[#This Row],[Mil m3 '[2020']]]&gt;0,Table7[[#This Row],[Mrd m3 '[2020']2]],Table7[[#This Row],[Mrd m3 '[2020']]])*9.77</f>
        <v>1514.3217349843551</v>
      </c>
    </row>
    <row r="15" spans="1:7">
      <c r="A15" t="s">
        <v>173</v>
      </c>
      <c r="B15" t="s">
        <v>174</v>
      </c>
      <c r="C15">
        <f>808.357450256401-638.446656032448</f>
        <v>169.91079422395296</v>
      </c>
      <c r="E15" s="2">
        <f>Table7[[#This Row],[Mil m3 '[2020']]]/1000</f>
        <v>0</v>
      </c>
      <c r="F15" s="2">
        <f>Table7[[#This Row],[TWh '[2020']2]]*1000</f>
        <v>1660028.4595680204</v>
      </c>
      <c r="G15" s="3">
        <f>IF(Table7[[#This Row],[Mil m3 '[2020']]]&gt;0,Table7[[#This Row],[Mrd m3 '[2020']2]],Table7[[#This Row],[Mrd m3 '[2020']]])*9.77</f>
        <v>1660.0284595680205</v>
      </c>
    </row>
    <row r="16" spans="1:7">
      <c r="A16" t="s">
        <v>178</v>
      </c>
      <c r="B16" t="s">
        <v>179</v>
      </c>
      <c r="C16">
        <v>58.465174157714841</v>
      </c>
      <c r="E16" s="2">
        <f>Table7[[#This Row],[Mil m3 '[2020']]]/1000</f>
        <v>0</v>
      </c>
      <c r="F16" s="2">
        <f>Table7[[#This Row],[TWh '[2020']2]]*1000</f>
        <v>571204.75152087398</v>
      </c>
      <c r="G16" s="3">
        <f>IF(Table7[[#This Row],[Mil m3 '[2020']]]&gt;0,Table7[[#This Row],[Mrd m3 '[2020']2]],Table7[[#This Row],[Mrd m3 '[2020']]])*9.77</f>
        <v>571.20475152087397</v>
      </c>
    </row>
    <row r="17" spans="1:7">
      <c r="A17" t="s">
        <v>193</v>
      </c>
      <c r="B17" t="s">
        <v>196</v>
      </c>
      <c r="C17">
        <f>64.6974253845862+73.0927934801951</f>
        <v>137.79021886478131</v>
      </c>
      <c r="E17" s="2">
        <f>Table7[[#This Row],[Mil m3 '[2020']]]/1000</f>
        <v>0</v>
      </c>
      <c r="F17" s="2">
        <f>Table7[[#This Row],[TWh '[2020']2]]*1000</f>
        <v>1346210.4383089133</v>
      </c>
      <c r="G17" s="3">
        <f>IF(Table7[[#This Row],[Mil m3 '[2020']]]&gt;0,Table7[[#This Row],[Mrd m3 '[2020']2]],Table7[[#This Row],[Mrd m3 '[2020']]])*9.77</f>
        <v>1346.2104383089134</v>
      </c>
    </row>
    <row r="20" spans="1:7">
      <c r="A20" t="s">
        <v>133</v>
      </c>
    </row>
    <row r="21" spans="1:7">
      <c r="A21" t="s">
        <v>273</v>
      </c>
      <c r="B21" t="s">
        <v>274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N49"/>
  <sheetViews>
    <sheetView workbookViewId="0">
      <selection activeCell="F3" sqref="F3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14">
      <c r="A1" t="s">
        <v>16</v>
      </c>
      <c r="B1" t="s">
        <v>56</v>
      </c>
      <c r="C1" t="s">
        <v>85</v>
      </c>
      <c r="D1" t="s">
        <v>120</v>
      </c>
      <c r="E1" t="s">
        <v>122</v>
      </c>
      <c r="F1" t="s">
        <v>267</v>
      </c>
      <c r="G1" t="s">
        <v>105</v>
      </c>
      <c r="M1" t="s">
        <v>93</v>
      </c>
      <c r="N1" t="s">
        <v>94</v>
      </c>
    </row>
    <row r="2" spans="1:14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2">
        <f>Table26[[#This Row],[TWh '[2020']]]*1000</f>
        <v>527.10126999999989</v>
      </c>
      <c r="G2" s="3">
        <f>IF(Table26[[#This Row],[Mil m3 EU '[2020']]]&gt;0,Table26[[#This Row],[Mrd m3 EU '[2020']]],Table26[[#This Row],[Mrd m3 '[2020']]])*9.77</f>
        <v>0.52710126999999984</v>
      </c>
      <c r="H2" s="2"/>
      <c r="J2" t="s">
        <v>102</v>
      </c>
      <c r="M2" t="str">
        <f t="shared" ref="M2:M42" si="0">_xlfn.CONCAT(A2,$J$2)</f>
        <v>AL_Prod</v>
      </c>
      <c r="N2" t="str">
        <f>Table26[[#This Row],[Country]]</f>
        <v>AL</v>
      </c>
    </row>
    <row r="3" spans="1:14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2">
        <f>Table26[[#This Row],[TWh '[2020']]]*1000</f>
        <v>992082.4375</v>
      </c>
      <c r="G3" s="3">
        <f>IF(Table26[[#This Row],[Mil m3 EU '[2020']]]&gt;0,Table26[[#This Row],[Mrd m3 EU '[2020']]],Table26[[#This Row],[Mrd m3 '[2020']]])*9.77</f>
        <v>992.08243749999997</v>
      </c>
      <c r="H3" s="2"/>
      <c r="M3" t="str">
        <f t="shared" si="0"/>
        <v>DZ_Prod</v>
      </c>
      <c r="N3" t="str">
        <f>Table26[[#This Row],[Country]]</f>
        <v>DZ</v>
      </c>
    </row>
    <row r="4" spans="1:14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2">
        <f>Table26[[#This Row],[TWh '[2020']]]*1000</f>
        <v>5354.6634399999994</v>
      </c>
      <c r="G4" s="3">
        <f>IF(Table26[[#This Row],[Mil m3 EU '[2020']]]&gt;0,Table26[[#This Row],[Mrd m3 EU '[2020']]],Table26[[#This Row],[Mrd m3 '[2020']]])*9.77</f>
        <v>5.3546634399999995</v>
      </c>
      <c r="H4" s="2"/>
      <c r="M4" t="str">
        <f t="shared" si="0"/>
        <v>AT_Prod</v>
      </c>
      <c r="N4" t="str">
        <f>Table26[[#This Row],[Country]]</f>
        <v>AT</v>
      </c>
    </row>
    <row r="5" spans="1:14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2">
        <f>Table26[[#This Row],[TWh '[2020']]]*1000</f>
        <v>0</v>
      </c>
      <c r="G5" s="3">
        <f>IF(Table26[[#This Row],[Mil m3 EU '[2020']]]&gt;0,Table26[[#This Row],[Mrd m3 EU '[2020']]],Table26[[#This Row],[Mrd m3 '[2020']]])*9.77</f>
        <v>0</v>
      </c>
      <c r="H5" s="2"/>
      <c r="M5" t="str">
        <f t="shared" si="0"/>
        <v>BY_Prod</v>
      </c>
      <c r="N5" t="str">
        <f>Table26[[#This Row],[Country]]</f>
        <v>BY</v>
      </c>
    </row>
    <row r="6" spans="1:14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2">
        <f>Table26[[#This Row],[TWh '[2020']]]*1000</f>
        <v>146.54999999999998</v>
      </c>
      <c r="G6" s="3">
        <f>IF(Table26[[#This Row],[Mil m3 EU '[2020']]]&gt;0,Table26[[#This Row],[Mrd m3 EU '[2020']]],Table26[[#This Row],[Mrd m3 '[2020']]])*9.77</f>
        <v>0.14654999999999999</v>
      </c>
      <c r="H6" s="2"/>
      <c r="M6" t="str">
        <f t="shared" si="0"/>
        <v>BE_Prod</v>
      </c>
      <c r="N6" t="str">
        <f>Table26[[#This Row],[Country]]</f>
        <v>BE</v>
      </c>
    </row>
    <row r="7" spans="1:14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2">
        <f>Table26[[#This Row],[TWh '[2020']]]*1000</f>
        <v>0</v>
      </c>
      <c r="G7" s="3">
        <f>IF(Table26[[#This Row],[Mil m3 EU '[2020']]]&gt;0,Table26[[#This Row],[Mrd m3 EU '[2020']]],Table26[[#This Row],[Mrd m3 '[2020']]])*9.77</f>
        <v>0</v>
      </c>
      <c r="H7" s="2"/>
      <c r="M7" t="str">
        <f t="shared" si="0"/>
        <v>BA_Prod</v>
      </c>
      <c r="N7" t="str">
        <f>Table26[[#This Row],[Country]]</f>
        <v>BA</v>
      </c>
    </row>
    <row r="8" spans="1:14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2">
        <f>Table26[[#This Row],[TWh '[2020']]]*1000</f>
        <v>79.527800000000013</v>
      </c>
      <c r="G8" s="3">
        <f>IF(Table26[[#This Row],[Mil m3 EU '[2020']]]&gt;0,Table26[[#This Row],[Mrd m3 EU '[2020']]],Table26[[#This Row],[Mrd m3 '[2020']]])*9.77</f>
        <v>7.952780000000001E-2</v>
      </c>
      <c r="H8" s="2"/>
      <c r="M8" t="str">
        <f t="shared" si="0"/>
        <v>BG_Prod</v>
      </c>
      <c r="N8" t="str">
        <f>Table26[[#This Row],[Country]]</f>
        <v>BG</v>
      </c>
    </row>
    <row r="9" spans="1:14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2">
        <f>Table26[[#This Row],[TWh '[2020']]]*1000</f>
        <v>7367.5569999999998</v>
      </c>
      <c r="G9" s="3">
        <f>IF(Table26[[#This Row],[Mil m3 EU '[2020']]]&gt;0,Table26[[#This Row],[Mrd m3 EU '[2020']]],Table26[[#This Row],[Mrd m3 '[2020']]])*9.77</f>
        <v>7.3675569999999997</v>
      </c>
      <c r="H9" s="2"/>
      <c r="M9" t="str">
        <f t="shared" si="0"/>
        <v>HR_Prod</v>
      </c>
      <c r="N9" t="str">
        <f>Table26[[#This Row],[Country]]</f>
        <v>HR</v>
      </c>
    </row>
    <row r="10" spans="1:14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2">
        <f>Table26[[#This Row],[TWh '[2020']]]*1000</f>
        <v>1821.8021300000003</v>
      </c>
      <c r="G10" s="3">
        <f>IF(Table26[[#This Row],[Mil m3 EU '[2020']]]&gt;0,Table26[[#This Row],[Mrd m3 EU '[2020']]],Table26[[#This Row],[Mrd m3 '[2020']]])*9.77</f>
        <v>1.8218021300000002</v>
      </c>
      <c r="H10" s="2"/>
      <c r="M10" t="str">
        <f t="shared" si="0"/>
        <v>CZ_Prod</v>
      </c>
      <c r="N10" t="str">
        <f>Table26[[#This Row],[Country]]</f>
        <v>CZ</v>
      </c>
    </row>
    <row r="11" spans="1:14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2">
        <f>Table26[[#This Row],[TWh '[2020']]]*1000</f>
        <v>17600.3619</v>
      </c>
      <c r="G11" s="3">
        <f>IF(Table26[[#This Row],[Mil m3 EU '[2020']]]&gt;0,Table26[[#This Row],[Mrd m3 EU '[2020']]],Table26[[#This Row],[Mrd m3 '[2020']]])*9.77</f>
        <v>17.600361899999999</v>
      </c>
      <c r="H11" s="2"/>
      <c r="M11" t="str">
        <f t="shared" si="0"/>
        <v>DK_Prod</v>
      </c>
      <c r="N11" t="str">
        <f>Table26[[#This Row],[Country]]</f>
        <v>DK</v>
      </c>
    </row>
    <row r="12" spans="1:14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2">
        <f>Table26[[#This Row],[TWh '[2020']]]*1000</f>
        <v>0</v>
      </c>
      <c r="G12" s="3">
        <f>IF(Table26[[#This Row],[Mil m3 EU '[2020']]]&gt;0,Table26[[#This Row],[Mrd m3 EU '[2020']]],Table26[[#This Row],[Mrd m3 '[2020']]])*9.77</f>
        <v>0</v>
      </c>
      <c r="H12" s="2"/>
      <c r="M12" t="str">
        <f t="shared" si="0"/>
        <v>EE_Prod</v>
      </c>
      <c r="N12" t="str">
        <f>Table26[[#This Row],[Country]]</f>
        <v>EE</v>
      </c>
    </row>
    <row r="13" spans="1:14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2">
        <f>Table26[[#This Row],[TWh '[2020']]]*1000</f>
        <v>0</v>
      </c>
      <c r="G13" s="3">
        <f>IF(Table26[[#This Row],[Mil m3 EU '[2020']]]&gt;0,Table26[[#This Row],[Mrd m3 EU '[2020']]],Table26[[#This Row],[Mrd m3 '[2020']]])*9.77</f>
        <v>0</v>
      </c>
      <c r="H13" s="2"/>
      <c r="M13" t="str">
        <f t="shared" si="0"/>
        <v>FI_Prod</v>
      </c>
      <c r="N13" t="str">
        <f>Table26[[#This Row],[Country]]</f>
        <v>FI</v>
      </c>
    </row>
    <row r="14" spans="1:14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2">
        <f>Table26[[#This Row],[TWh '[2020']]]*1000</f>
        <v>120.91351999999998</v>
      </c>
      <c r="G14" s="3">
        <f>IF(Table26[[#This Row],[Mil m3 EU '[2020']]]&gt;0,Table26[[#This Row],[Mrd m3 EU '[2020']]],Table26[[#This Row],[Mrd m3 '[2020']]])*9.77</f>
        <v>0.12091351999999998</v>
      </c>
      <c r="H14" s="2"/>
      <c r="M14" t="str">
        <f t="shared" si="0"/>
        <v>FR_Prod</v>
      </c>
      <c r="N14" t="str">
        <f>Table26[[#This Row],[Country]]</f>
        <v>FR</v>
      </c>
    </row>
    <row r="15" spans="1:14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2">
        <f>Table26[[#This Row],[TWh '[2020']]]*1000</f>
        <v>37839.21</v>
      </c>
      <c r="G15" s="3">
        <f>IF(Table26[[#This Row],[Mil m3 EU '[2020']]]&gt;0,Table26[[#This Row],[Mrd m3 EU '[2020']]],Table26[[#This Row],[Mrd m3 '[2020']]])*9.77</f>
        <v>37.839210000000001</v>
      </c>
      <c r="H15" s="2"/>
      <c r="M15" t="str">
        <f t="shared" si="0"/>
        <v>DE_Prod</v>
      </c>
      <c r="N15" t="str">
        <f>Table26[[#This Row],[Country]]</f>
        <v>DE</v>
      </c>
    </row>
    <row r="16" spans="1:14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2">
        <f>Table26[[#This Row],[TWh '[2020']]]*1000</f>
        <v>19.452070000000003</v>
      </c>
      <c r="G16" s="3">
        <f>IF(Table26[[#This Row],[Mil m3 EU '[2020']]]&gt;0,Table26[[#This Row],[Mrd m3 EU '[2020']]],Table26[[#This Row],[Mrd m3 '[2020']]])*9.77</f>
        <v>1.9452070000000002E-2</v>
      </c>
      <c r="H16" s="2"/>
      <c r="M16" t="str">
        <f t="shared" si="0"/>
        <v>GR_Prod</v>
      </c>
      <c r="N16" t="str">
        <f>Table26[[#This Row],[Country]]</f>
        <v>GR</v>
      </c>
    </row>
    <row r="17" spans="1:14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2">
        <f>Table26[[#This Row],[TWh '[2020']]]*1000</f>
        <v>16841.525999999998</v>
      </c>
      <c r="G17" s="3">
        <f>IF(Table26[[#This Row],[Mil m3 EU '[2020']]]&gt;0,Table26[[#This Row],[Mrd m3 EU '[2020']]],Table26[[#This Row],[Mrd m3 '[2020']]])*9.77</f>
        <v>16.841525999999998</v>
      </c>
      <c r="H17" s="2"/>
      <c r="M17" t="str">
        <f t="shared" si="0"/>
        <v>HU_Prod</v>
      </c>
      <c r="N17" t="str">
        <f>Table26[[#This Row],[Country]]</f>
        <v>HU</v>
      </c>
    </row>
    <row r="18" spans="1:14">
      <c r="A18" t="s">
        <v>44</v>
      </c>
      <c r="B18" t="s">
        <v>136</v>
      </c>
      <c r="C18" s="2"/>
      <c r="D18" s="2">
        <v>1080.7850000000001</v>
      </c>
      <c r="E18" s="2">
        <f>Table26[[#This Row],[Mil m3 EU '[2020']]]/1000</f>
        <v>1.0807850000000001</v>
      </c>
      <c r="F18" s="2">
        <f>Table26[[#This Row],[TWh '[2020']]]*1000</f>
        <v>10559.26945</v>
      </c>
      <c r="G18" s="3">
        <f>IF(Table26[[#This Row],[Mil m3 EU '[2020']]]&gt;0,Table26[[#This Row],[Mrd m3 EU '[2020']]],Table26[[#This Row],[Mrd m3 '[2020']]])*9.77</f>
        <v>10.55926945</v>
      </c>
      <c r="H18" s="2"/>
      <c r="M18" t="str">
        <f t="shared" si="0"/>
        <v>IE_Prod</v>
      </c>
      <c r="N18" t="str">
        <f>Table26[[#This Row],[Country]]</f>
        <v>IE</v>
      </c>
    </row>
    <row r="19" spans="1:14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2">
        <f>Table26[[#This Row],[TWh '[2020']]]*1000</f>
        <v>28726.18388</v>
      </c>
      <c r="G19" s="3">
        <f>IF(Table26[[#This Row],[Mil m3 EU '[2020']]]&gt;0,Table26[[#This Row],[Mrd m3 EU '[2020']]],Table26[[#This Row],[Mrd m3 '[2020']]])*9.77</f>
        <v>28.726183880000001</v>
      </c>
      <c r="H19" s="2"/>
      <c r="M19" t="str">
        <f t="shared" si="0"/>
        <v>IT_Prod</v>
      </c>
      <c r="N19" t="str">
        <f>Table26[[#This Row],[Country]]</f>
        <v>IT</v>
      </c>
    </row>
    <row r="20" spans="1:14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2">
        <f>Table26[[#This Row],[TWh '[2020']]]*1000</f>
        <v>0</v>
      </c>
      <c r="G20" s="3">
        <f>IF(Table26[[#This Row],[Mil m3 EU '[2020']]]&gt;0,Table26[[#This Row],[Mrd m3 EU '[2020']]],Table26[[#This Row],[Mrd m3 '[2020']]])*9.77</f>
        <v>0</v>
      </c>
      <c r="H20" s="2"/>
      <c r="M20" t="str">
        <f t="shared" si="0"/>
        <v>LV_Prod</v>
      </c>
      <c r="N20" t="str">
        <f>Table26[[#This Row],[Country]]</f>
        <v>LV</v>
      </c>
    </row>
    <row r="21" spans="1:14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2">
        <f>Table26[[#This Row],[TWh '[2020']]]*1000</f>
        <v>159325.99492757182</v>
      </c>
      <c r="G21" s="3">
        <f>IF(Table26[[#This Row],[Mil m3 EU '[2020']]]&gt;0,Table26[[#This Row],[Mrd m3 EU '[2020']]],Table26[[#This Row],[Mrd m3 '[2020']]])*9.77</f>
        <v>159.32599492757183</v>
      </c>
      <c r="H21" s="2"/>
      <c r="M21" t="str">
        <f t="shared" si="0"/>
        <v>LY_Prod</v>
      </c>
      <c r="N21" t="str">
        <f>Table26[[#This Row],[Country]]</f>
        <v>LY</v>
      </c>
    </row>
    <row r="22" spans="1:14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2">
        <f>Table26[[#This Row],[TWh '[2020']]]*1000</f>
        <v>0</v>
      </c>
      <c r="G22" s="3">
        <f>IF(Table26[[#This Row],[Mil m3 EU '[2020']]]&gt;0,Table26[[#This Row],[Mrd m3 EU '[2020']]],Table26[[#This Row],[Mrd m3 '[2020']]])*9.77</f>
        <v>0</v>
      </c>
      <c r="H22" s="2"/>
      <c r="M22" t="str">
        <f t="shared" si="0"/>
        <v>LT_Prod</v>
      </c>
      <c r="N22" t="str">
        <f>Table26[[#This Row],[Country]]</f>
        <v>LT</v>
      </c>
    </row>
    <row r="23" spans="1:14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2">
        <f>Table26[[#This Row],[TWh '[2020']]]*1000</f>
        <v>0</v>
      </c>
      <c r="G23" s="3">
        <f>IF(Table26[[#This Row],[Mil m3 EU '[2020']]]&gt;0,Table26[[#This Row],[Mrd m3 EU '[2020']]],Table26[[#This Row],[Mrd m3 '[2020']]])*9.77</f>
        <v>0</v>
      </c>
      <c r="H23" s="2"/>
      <c r="M23" t="str">
        <f t="shared" si="0"/>
        <v>LU_Prod</v>
      </c>
      <c r="N23" t="str">
        <f>Table26[[#This Row],[Country]]</f>
        <v>LU</v>
      </c>
    </row>
    <row r="24" spans="1:14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2">
        <f>Table26[[#This Row],[TWh '[2020']]]*1000</f>
        <v>0</v>
      </c>
      <c r="G24" s="3">
        <f>IF(Table26[[#This Row],[Mil m3 EU '[2020']]]&gt;0,Table26[[#This Row],[Mrd m3 EU '[2020']]],Table26[[#This Row],[Mrd m3 '[2020']]])*9.77</f>
        <v>0</v>
      </c>
      <c r="H24" s="2"/>
      <c r="M24" t="str">
        <f t="shared" si="0"/>
        <v>MD_Prod</v>
      </c>
      <c r="N24" t="str">
        <f>Table26[[#This Row],[Country]]</f>
        <v>MD</v>
      </c>
    </row>
    <row r="25" spans="1:14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2">
        <f>Table26[[#This Row],[TWh '[2020']]]*1000</f>
        <v>96124.812210000018</v>
      </c>
      <c r="G25" s="3">
        <f>IF(Table26[[#This Row],[Mil m3 EU '[2020']]]&gt;0,Table26[[#This Row],[Mrd m3 EU '[2020']]],Table26[[#This Row],[Mrd m3 '[2020']]])*9.77</f>
        <v>96.124812210000016</v>
      </c>
      <c r="H25" s="2"/>
      <c r="M25" t="str">
        <f t="shared" si="0"/>
        <v>NL_Prod</v>
      </c>
      <c r="N25" t="str">
        <f>Table26[[#This Row],[Country]]</f>
        <v>NL</v>
      </c>
    </row>
    <row r="26" spans="1:14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2">
        <f>Table26[[#This Row],[TWh '[2020']]]*1000</f>
        <v>0</v>
      </c>
      <c r="G26" s="3">
        <f>IF(Table26[[#This Row],[Mil m3 EU '[2020']]]&gt;0,Table26[[#This Row],[Mrd m3 EU '[2020']]],Table26[[#This Row],[Mrd m3 '[2020']]])*9.77</f>
        <v>0</v>
      </c>
      <c r="H26" s="2"/>
      <c r="M26" t="str">
        <f t="shared" si="0"/>
        <v>MK_Prod</v>
      </c>
      <c r="N26" t="str">
        <f>Table26[[#This Row],[Country]]</f>
        <v>MK</v>
      </c>
    </row>
    <row r="27" spans="1:14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2">
        <f>Table26[[#This Row],[TWh '[2020']]]*1000</f>
        <v>1152595.2818499999</v>
      </c>
      <c r="G27" s="3">
        <f>IF(Table26[[#This Row],[Mil m3 EU '[2020']]]&gt;0,Table26[[#This Row],[Mrd m3 EU '[2020']]],Table26[[#This Row],[Mrd m3 '[2020']]])*9.77</f>
        <v>1152.59528185</v>
      </c>
      <c r="H27" s="2"/>
      <c r="M27" t="str">
        <f t="shared" si="0"/>
        <v>NO_Prod</v>
      </c>
      <c r="N27" t="str">
        <f>Table26[[#This Row],[Country]]</f>
        <v>NO</v>
      </c>
    </row>
    <row r="28" spans="1:14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2">
        <f>Table26[[#This Row],[TWh '[2020']]]*1000</f>
        <v>35142.816767503326</v>
      </c>
      <c r="G28" s="3">
        <f>IF(Table26[[#This Row],[Mil m3 EU '[2020']]]&gt;0,Table26[[#This Row],[Mrd m3 EU '[2020']]],Table26[[#This Row],[Mrd m3 '[2020']]])*9.77</f>
        <v>35.142816767503327</v>
      </c>
      <c r="H28" s="2"/>
      <c r="M28" t="str">
        <f t="shared" si="0"/>
        <v>PL_Prod</v>
      </c>
      <c r="N28" t="str">
        <f>Table26[[#This Row],[Country]]</f>
        <v>PL</v>
      </c>
    </row>
    <row r="29" spans="1:14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2">
        <f>Table26[[#This Row],[TWh '[2020']]]*1000</f>
        <v>0</v>
      </c>
      <c r="G29" s="3">
        <f>IF(Table26[[#This Row],[Mil m3 EU '[2020']]]&gt;0,Table26[[#This Row],[Mrd m3 EU '[2020']]],Table26[[#This Row],[Mrd m3 '[2020']]])*9.77</f>
        <v>0</v>
      </c>
      <c r="H29" s="2"/>
      <c r="M29" t="str">
        <f t="shared" si="0"/>
        <v>PT_Prod</v>
      </c>
      <c r="N29" t="str">
        <f>Table26[[#This Row],[Country]]</f>
        <v>PT</v>
      </c>
    </row>
    <row r="30" spans="1:14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2">
        <f>Table26[[#This Row],[TWh '[2020']]]*1000</f>
        <v>91564.439999999988</v>
      </c>
      <c r="G30" s="3">
        <f>IF(Table26[[#This Row],[Mil m3 EU '[2020']]]&gt;0,Table26[[#This Row],[Mrd m3 EU '[2020']]],Table26[[#This Row],[Mrd m3 '[2020']]])*9.77</f>
        <v>91.564439999999991</v>
      </c>
      <c r="H30" s="2"/>
      <c r="M30" t="str">
        <f t="shared" si="0"/>
        <v>RO_Prod</v>
      </c>
      <c r="N30" t="str">
        <f>Table26[[#This Row],[Country]]</f>
        <v>RO</v>
      </c>
    </row>
    <row r="31" spans="1:14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2">
        <f>Table26[[#This Row],[TWh '[2020']]]*1000</f>
        <v>5728954.0927535305</v>
      </c>
      <c r="G31" s="3">
        <f>IF(Table26[[#This Row],[Mil m3 EU '[2020']]]&gt;0,Table26[[#This Row],[Mrd m3 EU '[2020']]],Table26[[#This Row],[Mrd m3 '[2020']]])*9.77</f>
        <v>5728.9540927535309</v>
      </c>
      <c r="H31" s="2"/>
      <c r="M31" t="str">
        <f t="shared" si="0"/>
        <v>RU_Prod</v>
      </c>
      <c r="N31" t="str">
        <f>Table26[[#This Row],[Country]]</f>
        <v>RU</v>
      </c>
    </row>
    <row r="32" spans="1:14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2">
        <f>Table26[[#This Row],[TWh '[2020']]]*1000</f>
        <v>0</v>
      </c>
      <c r="G32" s="3">
        <f>IF(Table26[[#This Row],[Mil m3 EU '[2020']]]&gt;0,Table26[[#This Row],[Mrd m3 EU '[2020']]],Table26[[#This Row],[Mrd m3 '[2020']]])*9.77</f>
        <v>0</v>
      </c>
      <c r="H32" s="2"/>
      <c r="M32" t="str">
        <f t="shared" si="0"/>
        <v>SM_Prod</v>
      </c>
      <c r="N32" t="str">
        <f>Table26[[#This Row],[Country]]</f>
        <v>SM</v>
      </c>
    </row>
    <row r="33" spans="1:14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2">
        <f>Table26[[#This Row],[TWh '[2020']]]*1000</f>
        <v>2882.1499999999996</v>
      </c>
      <c r="G33" s="3">
        <f>IF(Table26[[#This Row],[Mil m3 EU '[2020']]]&gt;0,Table26[[#This Row],[Mrd m3 EU '[2020']]],Table26[[#This Row],[Mrd m3 '[2020']]])*9.77</f>
        <v>2.8821499999999998</v>
      </c>
      <c r="H33" s="2"/>
      <c r="M33" t="str">
        <f t="shared" si="0"/>
        <v>RS_Prod</v>
      </c>
      <c r="N33" t="str">
        <f>Table26[[#This Row],[Country]]</f>
        <v>RS</v>
      </c>
    </row>
    <row r="34" spans="1:14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2">
        <f>Table26[[#This Row],[TWh '[2020']]]*1000</f>
        <v>391.16148999999996</v>
      </c>
      <c r="G34" s="3">
        <f>IF(Table26[[#This Row],[Mil m3 EU '[2020']]]&gt;0,Table26[[#This Row],[Mrd m3 EU '[2020']]],Table26[[#This Row],[Mrd m3 '[2020']]])*9.77</f>
        <v>0.39116148999999995</v>
      </c>
      <c r="H34" s="2"/>
      <c r="M34" t="str">
        <f t="shared" si="0"/>
        <v>SK_Prod</v>
      </c>
      <c r="N34" t="str">
        <f>Table26[[#This Row],[Country]]</f>
        <v>SK</v>
      </c>
    </row>
    <row r="35" spans="1:14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2">
        <f>Table26[[#This Row],[TWh '[2020']]]*1000</f>
        <v>37.145539999999997</v>
      </c>
      <c r="G35" s="3">
        <f>IF(Table26[[#This Row],[Mil m3 EU '[2020']]]&gt;0,Table26[[#This Row],[Mrd m3 EU '[2020']]],Table26[[#This Row],[Mrd m3 '[2020']]])*9.77</f>
        <v>3.7145539999999998E-2</v>
      </c>
      <c r="H35" s="2"/>
      <c r="M35" t="str">
        <f t="shared" si="0"/>
        <v>SI_Prod</v>
      </c>
      <c r="N35" t="str">
        <f>Table26[[#This Row],[Country]]</f>
        <v>SI</v>
      </c>
    </row>
    <row r="36" spans="1:14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2">
        <f>Table26[[#This Row],[TWh '[2020']]]*1000</f>
        <v>0</v>
      </c>
      <c r="G36" s="3">
        <f>IF(Table26[[#This Row],[Mil m3 EU '[2020']]]&gt;0,Table26[[#This Row],[Mrd m3 EU '[2020']]],Table26[[#This Row],[Mrd m3 '[2020']]])*9.77</f>
        <v>0</v>
      </c>
      <c r="H36" s="2"/>
      <c r="M36" t="str">
        <f t="shared" si="0"/>
        <v>CH_Prod</v>
      </c>
      <c r="N36" t="str">
        <f>Table26[[#This Row],[Country]]</f>
        <v>CH</v>
      </c>
    </row>
    <row r="37" spans="1:14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2">
        <f>Table26[[#This Row],[TWh '[2020']]]*1000</f>
        <v>18008.063999999998</v>
      </c>
      <c r="G37" s="3">
        <f>IF(Table26[[#This Row],[Mil m3 EU '[2020']]]&gt;0,Table26[[#This Row],[Mrd m3 EU '[2020']]],Table26[[#This Row],[Mrd m3 '[2020']]])*9.77</f>
        <v>18.008063999999997</v>
      </c>
      <c r="H37" s="2"/>
      <c r="M37" t="str">
        <f t="shared" si="0"/>
        <v>TN_Prod</v>
      </c>
      <c r="N37" t="str">
        <f>Table26[[#This Row],[Country]]</f>
        <v>TN</v>
      </c>
    </row>
    <row r="38" spans="1:14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2">
        <f>Table26[[#This Row],[TWh '[2020']]]*1000</f>
        <v>22071.504700000001</v>
      </c>
      <c r="G38" s="3">
        <f>IF(Table26[[#This Row],[Mil m3 EU '[2020']]]&gt;0,Table26[[#This Row],[Mrd m3 EU '[2020']]],Table26[[#This Row],[Mrd m3 '[2020']]])*9.77</f>
        <v>22.071504700000002</v>
      </c>
      <c r="H38" s="2"/>
      <c r="M38" t="str">
        <f t="shared" si="0"/>
        <v>TR_Prod</v>
      </c>
      <c r="N38" t="str">
        <f>Table26[[#This Row],[Country]]</f>
        <v>TR</v>
      </c>
    </row>
    <row r="39" spans="1:14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2">
        <f>Table26[[#This Row],[TWh '[2020']]]*1000</f>
        <v>336803.22066600004</v>
      </c>
      <c r="G39" s="3">
        <f>IF(Table26[[#This Row],[Mil m3 EU '[2020']]]&gt;0,Table26[[#This Row],[Mrd m3 EU '[2020']]],Table26[[#This Row],[Mrd m3 '[2020']]])*9.77</f>
        <v>336.80322066600002</v>
      </c>
      <c r="H39" s="2"/>
      <c r="M39" t="str">
        <f t="shared" si="0"/>
        <v>UK_Prod</v>
      </c>
      <c r="N39" t="str">
        <f>Table26[[#This Row],[Country]]</f>
        <v>UK</v>
      </c>
    </row>
    <row r="40" spans="1:14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2">
        <f>Table26[[#This Row],[TWh '[2020']]]*1000</f>
        <v>172908.34562438543</v>
      </c>
      <c r="G40" s="3">
        <f>IF(Table26[[#This Row],[Mil m3 EU '[2020']]]&gt;0,Table26[[#This Row],[Mrd m3 EU '[2020']]],Table26[[#This Row],[Mrd m3 '[2020']]])*9.77</f>
        <v>172.90834562438542</v>
      </c>
      <c r="H40" s="2"/>
      <c r="M40" t="str">
        <f t="shared" si="0"/>
        <v>UA_Prod</v>
      </c>
      <c r="N40" t="str">
        <f>Table26[[#This Row],[Country]]</f>
        <v>UA</v>
      </c>
    </row>
    <row r="41" spans="1:14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2">
        <f>Table26[[#This Row],[TWh '[2020']]]*1000</f>
        <v>50299.996080705918</v>
      </c>
      <c r="G41" s="3">
        <f>IF(Table26[[#This Row],[Mil m3 EU '[2020']]]&gt;0,Table26[[#This Row],[Mrd m3 EU '[2020']]],Table26[[#This Row],[Mrd m3 '[2020']]])*9.77</f>
        <v>50.299996080705917</v>
      </c>
      <c r="H41" s="2"/>
      <c r="M41" t="str">
        <f t="shared" si="0"/>
        <v>OE_Prod</v>
      </c>
      <c r="N41" t="str">
        <f>Table26[[#This Row],[Country]]</f>
        <v>OE</v>
      </c>
    </row>
    <row r="42" spans="1:14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2">
        <f>Table26[[#This Row],[TWh '[2020']]]*1000</f>
        <v>209.71305000000001</v>
      </c>
      <c r="G42" s="3">
        <f>IF(Table26[[#This Row],[Mil m3 EU '[2020']]]&gt;0,Table26[[#This Row],[Mrd m3 EU '[2020']]],Table26[[#This Row],[Mrd m3 '[2020']]])*9.77</f>
        <v>0.20971305000000001</v>
      </c>
      <c r="M42" t="str">
        <f t="shared" si="0"/>
        <v>ES_Prod</v>
      </c>
      <c r="N42" t="str">
        <f>Table26[[#This Row],[Country]]</f>
        <v>ES</v>
      </c>
    </row>
    <row r="44" spans="1:14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4">
      <c r="E45" s="2"/>
      <c r="F45" s="2"/>
    </row>
    <row r="47" spans="1:14">
      <c r="A47" t="s">
        <v>133</v>
      </c>
    </row>
    <row r="48" spans="1:14">
      <c r="A48" t="s">
        <v>80</v>
      </c>
      <c r="B48" t="s">
        <v>137</v>
      </c>
      <c r="I48" t="s">
        <v>138</v>
      </c>
    </row>
    <row r="49" spans="1:2">
      <c r="A49" t="s">
        <v>123</v>
      </c>
      <c r="B49" t="s">
        <v>121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G21"/>
  <sheetViews>
    <sheetView workbookViewId="0">
      <selection activeCell="F2" sqref="F2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7">
      <c r="A1" s="12" t="s">
        <v>16</v>
      </c>
      <c r="B1" s="12" t="s">
        <v>56</v>
      </c>
      <c r="C1" s="12" t="s">
        <v>85</v>
      </c>
      <c r="D1" s="12" t="s">
        <v>171</v>
      </c>
      <c r="E1" s="12" t="s">
        <v>172</v>
      </c>
      <c r="F1" s="12" t="s">
        <v>267</v>
      </c>
      <c r="G1" s="13" t="s">
        <v>105</v>
      </c>
    </row>
    <row r="2" spans="1:7">
      <c r="A2" t="s">
        <v>150</v>
      </c>
      <c r="B2" s="6" t="s">
        <v>150</v>
      </c>
      <c r="C2" s="7">
        <v>1035.2966874829399</v>
      </c>
      <c r="D2" s="7"/>
      <c r="E2" s="7">
        <f>Table79[[#This Row],[Mil m3 '[2020']]]/1000</f>
        <v>0</v>
      </c>
      <c r="F2" s="15">
        <f>Table79[[#This Row],[TWh '[2020']]]*1000</f>
        <v>10114848.636708323</v>
      </c>
      <c r="G2" s="3">
        <f>IF(Table79[[#This Row],[Mil m3 '[2020']]]&gt;0,Table79[[#This Row],[Mrd m3 '[2020']2]],Table79[[#This Row],[Mrd m3 '[2020']]])*9.77</f>
        <v>10114.848636708322</v>
      </c>
    </row>
    <row r="3" spans="1:7">
      <c r="A3" t="s">
        <v>197</v>
      </c>
      <c r="B3" t="s">
        <v>161</v>
      </c>
      <c r="C3">
        <f>1261.13549926252-1035.29668748294</f>
        <v>225.83881177958006</v>
      </c>
      <c r="E3" s="2">
        <f>Table79[[#This Row],[Mil m3 '[2020']]]/1000</f>
        <v>0</v>
      </c>
      <c r="F3" s="2">
        <f>Table79[[#This Row],[TWh '[2020']]]*1000</f>
        <v>2206445.1910864967</v>
      </c>
      <c r="G3" s="3">
        <f>IF(Table79[[#This Row],[Mil m3 '[2020']]]&gt;0,Table79[[#This Row],[Mrd m3 '[2020']2]],Table79[[#This Row],[Mrd m3 '[2020']]])*9.77</f>
        <v>2206.4451910864968</v>
      </c>
    </row>
    <row r="4" spans="1:7">
      <c r="A4" t="s">
        <v>151</v>
      </c>
      <c r="B4" t="s">
        <v>162</v>
      </c>
      <c r="C4">
        <f>162.021478179314-24.9936060429938</f>
        <v>137.02787213632018</v>
      </c>
      <c r="E4" s="2">
        <f>Table79[[#This Row],[Mil m3 '[2020']]]/1000</f>
        <v>0</v>
      </c>
      <c r="F4" s="2">
        <f>Table79[[#This Row],[TWh '[2020']]]*1000</f>
        <v>1338762.3107718483</v>
      </c>
      <c r="G4" s="3">
        <f>IF(Table79[[#This Row],[Mil m3 '[2020']]]&gt;0,Table79[[#This Row],[Mrd m3 '[2020']2]],Table79[[#This Row],[Mrd m3 '[2020']]])*9.77</f>
        <v>1338.7623107718482</v>
      </c>
    </row>
    <row r="5" spans="1:7">
      <c r="A5" t="s">
        <v>152</v>
      </c>
      <c r="B5" t="s">
        <v>163</v>
      </c>
      <c r="C5">
        <v>24.9936060429938</v>
      </c>
      <c r="E5" s="2">
        <f>Table79[[#This Row],[Mil m3 '[2020']]]/1000</f>
        <v>0</v>
      </c>
      <c r="F5" s="2">
        <f>Table79[[#This Row],[TWh '[2020']]]*1000</f>
        <v>244187.53104004942</v>
      </c>
      <c r="G5" s="3">
        <f>IF(Table79[[#This Row],[Mil m3 '[2020']]]&gt;0,Table79[[#This Row],[Mrd m3 '[2020']2]],Table79[[#This Row],[Mrd m3 '[2020']]])*9.77</f>
        <v>244.18753104004941</v>
      </c>
    </row>
    <row r="6" spans="1:7">
      <c r="A6" t="s">
        <v>153</v>
      </c>
      <c r="B6" t="s">
        <v>164</v>
      </c>
      <c r="C6">
        <f>712.704008488226-180.976586566424</f>
        <v>531.72742192180203</v>
      </c>
      <c r="E6" s="2">
        <f>Table79[[#This Row],[Mil m3 '[2020']]]/1000</f>
        <v>0</v>
      </c>
      <c r="F6" s="2">
        <f>Table79[[#This Row],[TWh '[2020']]]*1000</f>
        <v>5194976.9121760055</v>
      </c>
      <c r="G6" s="3">
        <f>IF(Table79[[#This Row],[Mil m3 '[2020']]]&gt;0,Table79[[#This Row],[Mrd m3 '[2020']2]],Table79[[#This Row],[Mrd m3 '[2020']]])*9.77</f>
        <v>5194.9769121760055</v>
      </c>
    </row>
    <row r="7" spans="1:7">
      <c r="A7" t="s">
        <v>154</v>
      </c>
      <c r="B7" t="s">
        <v>175</v>
      </c>
      <c r="C7">
        <v>180.976586566424</v>
      </c>
      <c r="E7" s="2">
        <f>Table79[[#This Row],[Mil m3 '[2020']]]/1000</f>
        <v>0</v>
      </c>
      <c r="F7" s="2">
        <f>Table79[[#This Row],[TWh '[2020']]]*1000</f>
        <v>1768141.2507539624</v>
      </c>
      <c r="G7" s="3">
        <f>IF(Table79[[#This Row],[Mil m3 '[2020']]]&gt;0,Table79[[#This Row],[Mrd m3 '[2020']2]],Table79[[#This Row],[Mrd m3 '[2020']]])*9.77</f>
        <v>1768.1412507539624</v>
      </c>
    </row>
    <row r="8" spans="1:7">
      <c r="A8" t="s">
        <v>155</v>
      </c>
      <c r="B8" t="s">
        <v>165</v>
      </c>
      <c r="C8" s="2">
        <f>253.649617284986-nodes_gas_prod_europe_2024!C21-nodes_gas_prod_europe_2024!C3-nodes_gas_prod_europe_2024!C37-C16</f>
        <v>76.854578169538883</v>
      </c>
      <c r="E8" s="2">
        <f>Table79[[#This Row],[Mil m3 '[2020']]]/1000</f>
        <v>0</v>
      </c>
      <c r="F8" s="2">
        <f>Table79[[#This Row],[TWh '[2020']]]*1000</f>
        <v>750869.22871639486</v>
      </c>
      <c r="G8" s="3">
        <f>IF(Table79[[#This Row],[Mil m3 '[2020']]]&gt;0,Table79[[#This Row],[Mrd m3 '[2020']2]],Table79[[#This Row],[Mrd m3 '[2020']]])*9.77</f>
        <v>750.8692287163949</v>
      </c>
    </row>
    <row r="9" spans="1:7">
      <c r="A9" t="s">
        <v>97</v>
      </c>
      <c r="B9" t="s">
        <v>176</v>
      </c>
      <c r="C9">
        <v>7.0000000000000007E-2</v>
      </c>
      <c r="E9" s="2">
        <f>Table79[[#This Row],[Mil m3 '[2020']]]/1000</f>
        <v>0</v>
      </c>
      <c r="F9" s="2">
        <f>Table79[[#This Row],[TWh '[2020']]]*1000</f>
        <v>683.90000000000009</v>
      </c>
      <c r="G9" s="3">
        <f>IF(Table79[[#This Row],[Mil m3 '[2020']]]&gt;0,Table79[[#This Row],[Mrd m3 '[2020']2]],Table79[[#This Row],[Mrd m3 '[2020']]])*9.77</f>
        <v>0.68390000000000006</v>
      </c>
    </row>
    <row r="10" spans="1:7">
      <c r="A10" t="s">
        <v>156</v>
      </c>
      <c r="B10" t="s">
        <v>166</v>
      </c>
      <c r="C10">
        <v>151.74021373996112</v>
      </c>
      <c r="E10" s="2">
        <f>Table79[[#This Row],[Mil m3 '[2020']]]/1000</f>
        <v>0</v>
      </c>
      <c r="F10" s="2">
        <f>Table79[[#This Row],[TWh '[2020']]]*1000</f>
        <v>1482501.8882394203</v>
      </c>
      <c r="G10" s="3">
        <f>IF(Table79[[#This Row],[Mil m3 '[2020']]]&gt;0,Table79[[#This Row],[Mrd m3 '[2020']2]],Table79[[#This Row],[Mrd m3 '[2020']]])*9.77</f>
        <v>1482.5018882394202</v>
      </c>
    </row>
    <row r="11" spans="1:7">
      <c r="A11" t="s">
        <v>157</v>
      </c>
      <c r="B11" t="s">
        <v>167</v>
      </c>
      <c r="C11">
        <v>234.25835791543756</v>
      </c>
      <c r="E11" s="2">
        <f>Table79[[#This Row],[Mil m3 '[2020']]]/1000</f>
        <v>0</v>
      </c>
      <c r="F11" s="2">
        <f>Table79[[#This Row],[TWh '[2020']]]*1000</f>
        <v>2288704.1568338252</v>
      </c>
      <c r="G11" s="3">
        <f>IF(Table79[[#This Row],[Mil m3 '[2020']]]&gt;0,Table79[[#This Row],[Mrd m3 '[2020']2]],Table79[[#This Row],[Mrd m3 '[2020']]])*9.77</f>
        <v>2288.704156833825</v>
      </c>
    </row>
    <row r="12" spans="1:7">
      <c r="A12" t="s">
        <v>158</v>
      </c>
      <c r="B12" t="s">
        <v>168</v>
      </c>
      <c r="C12">
        <v>0</v>
      </c>
      <c r="E12" s="2">
        <f>Table79[[#This Row],[Mil m3 '[2020']]]/1000</f>
        <v>0</v>
      </c>
      <c r="F12" s="2">
        <f>Table79[[#This Row],[TWh '[2020']]]*1000</f>
        <v>0</v>
      </c>
      <c r="G12" s="3">
        <f>IF(Table79[[#This Row],[Mil m3 '[2020']]]&gt;0,Table79[[#This Row],[Mrd m3 '[2020']2]],Table79[[#This Row],[Mrd m3 '[2020']]])*9.77</f>
        <v>0</v>
      </c>
    </row>
    <row r="13" spans="1:7">
      <c r="A13" t="s">
        <v>159</v>
      </c>
      <c r="B13" t="s">
        <v>169</v>
      </c>
      <c r="C13">
        <v>31.585488535476742</v>
      </c>
      <c r="E13" s="2">
        <f>Table79[[#This Row],[Mil m3 '[2020']]]/1000</f>
        <v>0</v>
      </c>
      <c r="F13" s="2">
        <f>Table79[[#This Row],[TWh '[2020']]]*1000</f>
        <v>308590.22299160773</v>
      </c>
      <c r="G13" s="3">
        <f>IF(Table79[[#This Row],[Mil m3 '[2020']]]&gt;0,Table79[[#This Row],[Mrd m3 '[2020']2]],Table79[[#This Row],[Mrd m3 '[2020']]])*9.77</f>
        <v>308.59022299160773</v>
      </c>
    </row>
    <row r="14" spans="1:7">
      <c r="A14" t="s">
        <v>160</v>
      </c>
      <c r="B14" t="s">
        <v>170</v>
      </c>
      <c r="C14">
        <f>691.83903700697-C13-C11-C10-C12-C17</f>
        <v>128.91680453343903</v>
      </c>
      <c r="E14" s="2">
        <f>Table79[[#This Row],[Mil m3 '[2020']]]/1000</f>
        <v>0</v>
      </c>
      <c r="F14" s="2">
        <f>Table79[[#This Row],[TWh '[2020']]]*1000</f>
        <v>1259517.1802916992</v>
      </c>
      <c r="G14" s="3">
        <f>IF(Table79[[#This Row],[Mil m3 '[2020']]]&gt;0,Table79[[#This Row],[Mrd m3 '[2020']2]],Table79[[#This Row],[Mrd m3 '[2020']]])*9.77</f>
        <v>1259.5171802916993</v>
      </c>
    </row>
    <row r="15" spans="1:7">
      <c r="A15" t="s">
        <v>173</v>
      </c>
      <c r="B15" t="s">
        <v>174</v>
      </c>
      <c r="C15">
        <f>773.5530598751-586.382199872419</f>
        <v>187.17086000268091</v>
      </c>
      <c r="E15" s="2">
        <f>Table79[[#This Row],[Mil m3 '[2020']]]/1000</f>
        <v>0</v>
      </c>
      <c r="F15" s="2">
        <f>Table79[[#This Row],[TWh '[2020']]]*1000</f>
        <v>1828659.3022261926</v>
      </c>
      <c r="G15" s="3">
        <f>IF(Table79[[#This Row],[Mil m3 '[2020']]]&gt;0,Table79[[#This Row],[Mrd m3 '[2020']2]],Table79[[#This Row],[Mrd m3 '[2020']]])*9.77</f>
        <v>1828.6593022261925</v>
      </c>
    </row>
    <row r="16" spans="1:7">
      <c r="A16" t="s">
        <v>178</v>
      </c>
      <c r="B16" t="s">
        <v>179</v>
      </c>
      <c r="C16">
        <v>57.100413073730465</v>
      </c>
      <c r="E16" s="2">
        <f>Table79[[#This Row],[Mil m3 '[2020']]]/1000</f>
        <v>0</v>
      </c>
      <c r="F16" s="2">
        <f>Table79[[#This Row],[TWh '[2020']]]*1000</f>
        <v>557871.03573034669</v>
      </c>
      <c r="G16" s="3">
        <f>IF(Table79[[#This Row],[Mil m3 '[2020']]]&gt;0,Table79[[#This Row],[Mrd m3 '[2020']2]],Table79[[#This Row],[Mrd m3 '[2020']]])*9.77</f>
        <v>557.87103573034665</v>
      </c>
    </row>
    <row r="17" spans="1:7">
      <c r="A17" t="s">
        <v>193</v>
      </c>
      <c r="B17" t="s">
        <v>196</v>
      </c>
      <c r="C17">
        <f>64.2640381356325+81.074134147023</f>
        <v>145.33817228265551</v>
      </c>
      <c r="E17" s="2">
        <f>Table79[[#This Row],[Mil m3 '[2020']]]/1000</f>
        <v>0</v>
      </c>
      <c r="F17" s="2">
        <f>Table79[[#This Row],[TWh '[2020']]]*1000</f>
        <v>1419953.9432015442</v>
      </c>
      <c r="G17" s="3">
        <f>IF(Table79[[#This Row],[Mil m3 '[2020']]]&gt;0,Table79[[#This Row],[Mrd m3 '[2020']2]],Table79[[#This Row],[Mrd m3 '[2020']]])*9.77</f>
        <v>1419.9539432015442</v>
      </c>
    </row>
    <row r="20" spans="1:7">
      <c r="A20" t="s">
        <v>133</v>
      </c>
    </row>
    <row r="21" spans="1:7">
      <c r="A21" t="s">
        <v>273</v>
      </c>
      <c r="B21" t="s">
        <v>274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G3" sqref="G3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7">
      <c r="A1" t="s">
        <v>16</v>
      </c>
      <c r="B1" t="s">
        <v>56</v>
      </c>
      <c r="C1" t="s">
        <v>85</v>
      </c>
      <c r="D1" t="s">
        <v>105</v>
      </c>
      <c r="E1" t="s">
        <v>108</v>
      </c>
      <c r="F1" t="s">
        <v>119</v>
      </c>
      <c r="G1" t="s">
        <v>267</v>
      </c>
    </row>
    <row r="2" spans="1:7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f>MIN(Table1[[#This Row],[TWh '[2020']]],Table1[[#This Row],[TWh by share]])*1000</f>
        <v>-9469.7904361571091</v>
      </c>
    </row>
    <row r="6" spans="1:7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265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111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>
      <c r="B23" t="s">
        <v>112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109</v>
      </c>
      <c r="B41" t="s">
        <v>110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>
      <c r="B42" t="s">
        <v>118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>
      <c r="C44" s="2">
        <f>SUM(Table1[Mrd m3 '[2020']])</f>
        <v>541.77584793709366</v>
      </c>
    </row>
    <row r="50" spans="1:2">
      <c r="A50" t="s">
        <v>133</v>
      </c>
    </row>
    <row r="51" spans="1:2">
      <c r="A51" t="s">
        <v>113</v>
      </c>
    </row>
    <row r="52" spans="1:2">
      <c r="A52" t="s">
        <v>114</v>
      </c>
      <c r="B52" t="s">
        <v>115</v>
      </c>
    </row>
    <row r="53" spans="1:2">
      <c r="A53" t="s">
        <v>116</v>
      </c>
      <c r="B53" t="s">
        <v>117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I25"/>
  <sheetViews>
    <sheetView workbookViewId="0">
      <selection activeCell="A19" sqref="A19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6" width="22.26953125" customWidth="1"/>
    <col min="15" max="15" width="11.81640625" bestFit="1" customWidth="1"/>
  </cols>
  <sheetData>
    <row r="1" spans="1:7">
      <c r="A1" s="8" t="s">
        <v>16</v>
      </c>
      <c r="B1" s="9" t="s">
        <v>56</v>
      </c>
      <c r="C1" s="9" t="s">
        <v>85</v>
      </c>
      <c r="D1" s="9" t="s">
        <v>171</v>
      </c>
      <c r="E1" s="9" t="s">
        <v>172</v>
      </c>
      <c r="F1" s="9" t="s">
        <v>267</v>
      </c>
      <c r="G1" s="10" t="s">
        <v>105</v>
      </c>
    </row>
    <row r="2" spans="1:7">
      <c r="A2" t="s">
        <v>150</v>
      </c>
      <c r="B2" s="6" t="s">
        <v>150</v>
      </c>
      <c r="C2" s="7">
        <v>834.54962782115695</v>
      </c>
      <c r="D2" s="7"/>
      <c r="E2" s="7">
        <f>Table7910[[#This Row],[Mil m3 '[2020']]]/1000</f>
        <v>0</v>
      </c>
      <c r="F2" s="14">
        <f>Table7910[[#This Row],[TWh '[2020']]]*1000</f>
        <v>-8153549.8638127027</v>
      </c>
      <c r="G2" s="3">
        <f>IF(Table7910[[#This Row],[Mil m3 '[2020']]]&gt;0,Table7910[[#This Row],[Mrd m3 '[2020']2]],Table7910[[#This Row],[Mrd m3 '[2020']]])*9.77*(-1)</f>
        <v>-8153.5498638127028</v>
      </c>
    </row>
    <row r="3" spans="1:7">
      <c r="A3" t="s">
        <v>197</v>
      </c>
      <c r="B3" t="s">
        <v>161</v>
      </c>
      <c r="C3">
        <f>1042.08498320178-834.549627821157</f>
        <v>207.53535538062306</v>
      </c>
      <c r="E3" s="2">
        <f>Table7910[[#This Row],[Mil m3 '[2020']]]/1000</f>
        <v>0</v>
      </c>
      <c r="F3" s="2">
        <f>Table7910[[#This Row],[TWh '[2020']]]*1000</f>
        <v>-2027620.4220686874</v>
      </c>
      <c r="G3" s="3">
        <f>IF(Table7910[[#This Row],[Mil m3 '[2020']]]&gt;0,Table7910[[#This Row],[Mrd m3 '[2020']2]],Table7910[[#This Row],[Mrd m3 '[2020']]])*9.77*(-1)</f>
        <v>-2027.6204220686873</v>
      </c>
    </row>
    <row r="4" spans="1:7">
      <c r="A4" t="s">
        <v>151</v>
      </c>
      <c r="B4" t="s">
        <v>162</v>
      </c>
      <c r="C4">
        <f>148.570059919613-15.1856471767803</f>
        <v>133.38441274283269</v>
      </c>
      <c r="E4" s="2">
        <f>Table7910[[#This Row],[Mil m3 '[2020']]]/1000</f>
        <v>0</v>
      </c>
      <c r="F4" s="2">
        <f>Table7910[[#This Row],[TWh '[2020']]]*1000</f>
        <v>-1303165.7124974753</v>
      </c>
      <c r="G4" s="3">
        <f>IF(Table7910[[#This Row],[Mil m3 '[2020']]]&gt;0,Table7910[[#This Row],[Mrd m3 '[2020']2]],Table7910[[#This Row],[Mrd m3 '[2020']]])*9.77*(-1)</f>
        <v>-1303.1657124974754</v>
      </c>
    </row>
    <row r="5" spans="1:7">
      <c r="A5" t="s">
        <v>152</v>
      </c>
      <c r="B5" t="s">
        <v>163</v>
      </c>
      <c r="C5">
        <f>15.1856471767803</f>
        <v>15.1856471767803</v>
      </c>
      <c r="E5" s="2">
        <f>Table7910[[#This Row],[Mil m3 '[2020']]]/1000</f>
        <v>0</v>
      </c>
      <c r="F5" s="2">
        <f>Table7910[[#This Row],[TWh '[2020']]]*1000</f>
        <v>-148363.77291714353</v>
      </c>
      <c r="G5" s="3">
        <f>IF(Table7910[[#This Row],[Mil m3 '[2020']]]&gt;0,Table7910[[#This Row],[Mrd m3 '[2020']2]],Table7910[[#This Row],[Mrd m3 '[2020']]])*9.77*(-1)</f>
        <v>-148.36377291714354</v>
      </c>
    </row>
    <row r="6" spans="1:7">
      <c r="A6" t="s">
        <v>153</v>
      </c>
      <c r="B6" t="s">
        <v>164</v>
      </c>
      <c r="C6" s="2">
        <f>552.897499957585-38.4132347090566</f>
        <v>514.48426524852835</v>
      </c>
      <c r="E6" s="2">
        <f>Table7910[[#This Row],[Mil m3 '[2020']]]/1000</f>
        <v>0</v>
      </c>
      <c r="F6" s="2">
        <f>Table7910[[#This Row],[TWh '[2020']]]*1000</f>
        <v>-5026511.2714781221</v>
      </c>
      <c r="G6" s="3">
        <f>IF(Table7910[[#This Row],[Mil m3 '[2020']]]&gt;0,Table7910[[#This Row],[Mrd m3 '[2020']2]],Table7910[[#This Row],[Mrd m3 '[2020']]])*9.77*(-1)</f>
        <v>-5026.5112714781217</v>
      </c>
    </row>
    <row r="7" spans="1:7">
      <c r="A7" t="s">
        <v>154</v>
      </c>
      <c r="B7" t="s">
        <v>175</v>
      </c>
      <c r="C7">
        <v>38.413234709056603</v>
      </c>
      <c r="E7" s="2">
        <f>Table7910[[#This Row],[Mil m3 '[2020']]]/1000</f>
        <v>0</v>
      </c>
      <c r="F7" s="2">
        <f>Table7910[[#This Row],[TWh '[2020']]]*1000</f>
        <v>-375297.30310748302</v>
      </c>
      <c r="G7" s="3">
        <f>IF(Table7910[[#This Row],[Mil m3 '[2020']]]&gt;0,Table7910[[#This Row],[Mrd m3 '[2020']2]],Table7910[[#This Row],[Mrd m3 '[2020']]])*9.77*(-1)</f>
        <v>-375.297303107483</v>
      </c>
    </row>
    <row r="8" spans="1:7">
      <c r="A8" t="s">
        <v>155</v>
      </c>
      <c r="B8" t="s">
        <v>165</v>
      </c>
      <c r="C8" s="2">
        <f>154.184349315883-C16-C17-C18-C19-C20</f>
        <v>40.449273476568081</v>
      </c>
      <c r="E8" s="2">
        <f>Table7910[[#This Row],[Mil m3 '[2020']]]/1000</f>
        <v>0</v>
      </c>
      <c r="F8" s="2">
        <f>Table7910[[#This Row],[TWh '[2020']]]*1000</f>
        <v>-395189.40186607011</v>
      </c>
      <c r="G8" s="3">
        <f>IF(Table7910[[#This Row],[Mil m3 '[2020']]]&gt;0,Table7910[[#This Row],[Mrd m3 '[2020']2]],Table7910[[#This Row],[Mrd m3 '[2020']]])*9.77*(-1)</f>
        <v>-395.18940186607011</v>
      </c>
    </row>
    <row r="9" spans="1:7">
      <c r="A9" t="s">
        <v>156</v>
      </c>
      <c r="B9" t="s">
        <v>166</v>
      </c>
      <c r="C9">
        <v>42.317339828787539</v>
      </c>
      <c r="E9" s="2">
        <f>Table7910[[#This Row],[Mil m3 '[2020']]]/1000</f>
        <v>0</v>
      </c>
      <c r="F9" s="2">
        <f>Table7910[[#This Row],[TWh '[2020']]]*1000</f>
        <v>-413440.4101272542</v>
      </c>
      <c r="G9" s="3">
        <f>IF(Table7910[[#This Row],[Mil m3 '[2020']]]&gt;0,Table7910[[#This Row],[Mrd m3 '[2020']2]],Table7910[[#This Row],[Mrd m3 '[2020']]])*9.77*(-1)</f>
        <v>-413.44041012725421</v>
      </c>
    </row>
    <row r="10" spans="1:7">
      <c r="A10" t="s">
        <v>157</v>
      </c>
      <c r="B10" t="s">
        <v>167</v>
      </c>
      <c r="C10">
        <v>336.61725663716805</v>
      </c>
      <c r="E10" s="2">
        <f>Table7910[[#This Row],[Mil m3 '[2020']]]/1000</f>
        <v>0</v>
      </c>
      <c r="F10" s="2">
        <f>Table7910[[#This Row],[TWh '[2020']]]*1000</f>
        <v>-3288750.5973451314</v>
      </c>
      <c r="G10" s="3">
        <f>IF(Table7910[[#This Row],[Mil m3 '[2020']]]&gt;0,Table7910[[#This Row],[Mrd m3 '[2020']2]],Table7910[[#This Row],[Mrd m3 '[2020']]])*9.77*(-1)</f>
        <v>-3288.7505973451316</v>
      </c>
    </row>
    <row r="11" spans="1:7">
      <c r="A11" t="s">
        <v>158</v>
      </c>
      <c r="B11" t="s">
        <v>168</v>
      </c>
      <c r="C11">
        <f>104.1275049683+57.53730834</f>
        <v>161.66481330830001</v>
      </c>
      <c r="E11" s="2">
        <f>Table7910[[#This Row],[Mil m3 '[2020']]]/1000</f>
        <v>0</v>
      </c>
      <c r="F11" s="2">
        <f>Table7910[[#This Row],[TWh '[2020']]]*1000</f>
        <v>-1579465.226022091</v>
      </c>
      <c r="G11" s="3">
        <f>IF(Table7910[[#This Row],[Mil m3 '[2020']]]&gt;0,Table7910[[#This Row],[Mrd m3 '[2020']2]],Table7910[[#This Row],[Mrd m3 '[2020']]])*9.77*(-1)</f>
        <v>-1579.465226022091</v>
      </c>
    </row>
    <row r="12" spans="1:7">
      <c r="A12" t="s">
        <v>159</v>
      </c>
      <c r="B12" t="s">
        <v>169</v>
      </c>
      <c r="C12">
        <v>60.360121323378813</v>
      </c>
      <c r="E12" s="2">
        <f>Table7910[[#This Row],[Mil m3 '[2020']]]/1000</f>
        <v>0</v>
      </c>
      <c r="F12" s="2">
        <f>Table7910[[#This Row],[TWh '[2020']]]*1000</f>
        <v>-589718.3853294109</v>
      </c>
      <c r="G12" s="3">
        <f>IF(Table7910[[#This Row],[Mil m3 '[2020']]]&gt;0,Table7910[[#This Row],[Mrd m3 '[2020']2]],Table7910[[#This Row],[Mrd m3 '[2020']]])*9.77*(-1)</f>
        <v>-589.71838532941092</v>
      </c>
    </row>
    <row r="13" spans="1:7">
      <c r="A13" t="s">
        <v>160</v>
      </c>
      <c r="B13" t="s">
        <v>170</v>
      </c>
      <c r="C13">
        <f>876.9412368709-C12-C10-C9-C11-C21</f>
        <v>189.7875106376263</v>
      </c>
      <c r="E13" s="2">
        <f>Table7910[[#This Row],[Mil m3 '[2020']]]/1000</f>
        <v>0</v>
      </c>
      <c r="F13" s="2">
        <f>Table7910[[#This Row],[TWh '[2020']]]*1000</f>
        <v>-1854223.9789296088</v>
      </c>
      <c r="G13" s="3">
        <f>IF(Table7910[[#This Row],[Mil m3 '[2020']]]&gt;0,Table7910[[#This Row],[Mrd m3 '[2020']2]],Table7910[[#This Row],[Mrd m3 '[2020']]])*9.77*(-1)</f>
        <v>-1854.2239789296088</v>
      </c>
    </row>
    <row r="14" spans="1:7">
      <c r="A14" t="s">
        <v>173</v>
      </c>
      <c r="B14" t="s">
        <v>174</v>
      </c>
      <c r="C14">
        <f>554.955290969357-423.483407079646-17.7510088495575</f>
        <v>113.72087504015346</v>
      </c>
      <c r="E14" s="2">
        <f>Table7910[[#This Row],[Mil m3 '[2020']]]/1000</f>
        <v>0</v>
      </c>
      <c r="F14" s="2">
        <f>Table7910[[#This Row],[TWh '[2020']]]*1000</f>
        <v>-1111052.9491422991</v>
      </c>
      <c r="G14" s="3">
        <f>IF(Table7910[[#This Row],[Mil m3 '[2020']]]&gt;0,Table7910[[#This Row],[Mrd m3 '[2020']2]],Table7910[[#This Row],[Mrd m3 '[2020']]])*9.77*(-1)</f>
        <v>-1111.0529491422992</v>
      </c>
    </row>
    <row r="15" spans="1:7">
      <c r="A15" t="s">
        <v>41</v>
      </c>
      <c r="B15" t="s">
        <v>70</v>
      </c>
      <c r="C15">
        <v>423.48340707964599</v>
      </c>
      <c r="E15" s="2">
        <f>Table7910[[#This Row],[Mil m3 '[2020']]]/1000</f>
        <v>0</v>
      </c>
      <c r="F15" s="2">
        <f>Table7910[[#This Row],[TWh '[2020']]]*1000</f>
        <v>-4137432.8871681411</v>
      </c>
      <c r="G15" s="3">
        <f>IF(Table7910[[#This Row],[Mil m3 '[2020']]]&gt;0,Table7910[[#This Row],[Mrd m3 '[2020']2]],Table7910[[#This Row],[Mrd m3 '[2020']]])*9.77*(-1)</f>
        <v>-4137.432887168141</v>
      </c>
    </row>
    <row r="16" spans="1:7">
      <c r="A16" t="s">
        <v>50</v>
      </c>
      <c r="B16" t="s">
        <v>79</v>
      </c>
      <c r="C16">
        <v>43.350037499999999</v>
      </c>
      <c r="E16" s="2">
        <f>Table7910[[#This Row],[Mil m3 '[2020']]]/1000</f>
        <v>0</v>
      </c>
      <c r="F16" s="2">
        <f>Table7910[[#This Row],[TWh '[2020']]]*1000</f>
        <v>-423529.86637499998</v>
      </c>
      <c r="G16" s="3">
        <f>IF(Table7910[[#This Row],[Mil m3 '[2020']]]&gt;0,Table7910[[#This Row],[Mrd m3 '[2020']2]],Table7910[[#This Row],[Mrd m3 '[2020']]])*9.77*(-1)</f>
        <v>-423.52986637499998</v>
      </c>
    </row>
    <row r="17" spans="1:9">
      <c r="A17" t="s">
        <v>52</v>
      </c>
      <c r="B17" t="s">
        <v>81</v>
      </c>
      <c r="C17">
        <v>7.7</v>
      </c>
      <c r="E17" s="2">
        <f>Table7910[[#This Row],[Mil m3 '[2020']]]/1000</f>
        <v>0</v>
      </c>
      <c r="F17" s="2">
        <f>Table7910[[#This Row],[TWh '[2020']]]*1000</f>
        <v>-75229</v>
      </c>
      <c r="G17" s="3">
        <f>IF(Table7910[[#This Row],[Mil m3 '[2020']]]&gt;0,Table7910[[#This Row],[Mrd m3 '[2020']2]],Table7910[[#This Row],[Mrd m3 '[2020']]])*9.77*(-1)</f>
        <v>-75.228999999999999</v>
      </c>
    </row>
    <row r="18" spans="1:9">
      <c r="A18" t="s">
        <v>51</v>
      </c>
      <c r="B18" t="s">
        <v>80</v>
      </c>
      <c r="C18">
        <v>3.5904531497162</v>
      </c>
      <c r="E18" s="2">
        <f>Table7910[[#This Row],[Mil m3 '[2020']]]/1000</f>
        <v>0</v>
      </c>
      <c r="F18" s="2">
        <f>Table7910[[#This Row],[TWh '[2020']]]*1000</f>
        <v>-35078.727272727272</v>
      </c>
      <c r="G18" s="3">
        <f>IF(Table7910[[#This Row],[Mil m3 '[2020']]]&gt;0,Table7910[[#This Row],[Mrd m3 '[2020']2]],Table7910[[#This Row],[Mrd m3 '[2020']]])*9.77*(-1)</f>
        <v>-35.078727272727271</v>
      </c>
    </row>
    <row r="19" spans="1:9">
      <c r="A19" t="s">
        <v>97</v>
      </c>
      <c r="B19" t="s">
        <v>176</v>
      </c>
      <c r="C19">
        <v>0.78666131450805166</v>
      </c>
      <c r="E19" s="2">
        <f>Table7910[[#This Row],[Mil m3 '[2020']]]/1000</f>
        <v>0</v>
      </c>
      <c r="F19" s="2">
        <f>Table7910[[#This Row],[TWh '[2020']]]*1000</f>
        <v>-7685.681042743664</v>
      </c>
      <c r="G19" s="3">
        <f>IF(Table7910[[#This Row],[Mil m3 '[2020']]]&gt;0,Table7910[[#This Row],[Mrd m3 '[2020']2]],Table7910[[#This Row],[Mrd m3 '[2020']]])*9.77*(-1)</f>
        <v>-7.6856810427436644</v>
      </c>
    </row>
    <row r="20" spans="1:9">
      <c r="A20" t="s">
        <v>178</v>
      </c>
      <c r="B20" t="s">
        <v>179</v>
      </c>
      <c r="C20">
        <v>58.307923875090665</v>
      </c>
      <c r="E20" s="2">
        <f>Table7910[[#This Row],[Mil m3 '[2020']]]/1000</f>
        <v>0</v>
      </c>
      <c r="F20" s="2">
        <f>Table7910[[#This Row],[TWh '[2020']]]*1000</f>
        <v>-569668.41625963582</v>
      </c>
      <c r="G20" s="3">
        <f>IF(Table7910[[#This Row],[Mil m3 '[2020']]]&gt;0,Table7910[[#This Row],[Mrd m3 '[2020']2]],Table7910[[#This Row],[Mrd m3 '[2020']]])*9.77*(-1)</f>
        <v>-569.66841625963582</v>
      </c>
    </row>
    <row r="21" spans="1:9">
      <c r="A21" t="s">
        <v>193</v>
      </c>
      <c r="B21" t="s">
        <v>196</v>
      </c>
      <c r="C21">
        <f>42.5805321356392+43.613663</f>
        <v>86.194195135639205</v>
      </c>
      <c r="E21" s="2">
        <f>Table7910[[#This Row],[Mil m3 '[2020']]]/1000</f>
        <v>0</v>
      </c>
      <c r="F21" s="2">
        <f>Table7910[[#This Row],[TWh '[2020']]]*1000</f>
        <v>-842117.28647519497</v>
      </c>
      <c r="G21" s="3">
        <f>IF(Table7910[[#This Row],[Mil m3 '[2020']]]&gt;0,Table7910[[#This Row],[Mrd m3 '[2020']2]],Table7910[[#This Row],[Mrd m3 '[2020']]])*9.77*(-1)</f>
        <v>-842.11728647519499</v>
      </c>
    </row>
    <row r="22" spans="1:9">
      <c r="A22" t="s">
        <v>53</v>
      </c>
      <c r="B22" t="s">
        <v>82</v>
      </c>
      <c r="C22">
        <v>17.7510088495575</v>
      </c>
      <c r="E22" s="2">
        <f>Table7910[[#This Row],[Mil m3 '[2020']]]/1000</f>
        <v>0</v>
      </c>
      <c r="F22" s="2">
        <f>Table7910[[#This Row],[TWh '[2020']]]*1000</f>
        <v>-173427.35646017679</v>
      </c>
      <c r="G22" s="3">
        <f>IF(Table7910[[#This Row],[Mil m3 '[2020']]]&gt;0,Table7910[[#This Row],[Mrd m3 '[2020']2]],Table7910[[#This Row],[Mrd m3 '[2020']]])*9.77*(-1)</f>
        <v>-173.42735646017678</v>
      </c>
    </row>
    <row r="24" spans="1:9">
      <c r="A24" t="s">
        <v>80</v>
      </c>
      <c r="B24" t="s">
        <v>137</v>
      </c>
      <c r="I24" t="s">
        <v>138</v>
      </c>
    </row>
    <row r="25" spans="1:9">
      <c r="A25" t="s">
        <v>81</v>
      </c>
      <c r="B25" t="s">
        <v>177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G53"/>
  <sheetViews>
    <sheetView workbookViewId="0">
      <selection activeCell="F1" sqref="F1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7">
      <c r="A1" t="s">
        <v>16</v>
      </c>
      <c r="B1" t="s">
        <v>56</v>
      </c>
      <c r="C1" t="s">
        <v>135</v>
      </c>
      <c r="D1" t="s">
        <v>134</v>
      </c>
      <c r="E1" t="s">
        <v>108</v>
      </c>
      <c r="F1" t="s">
        <v>267</v>
      </c>
      <c r="G1" t="s">
        <v>119</v>
      </c>
    </row>
    <row r="2" spans="1:7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MIN(Table15[[#This Row],[TWh '[2023']]],Table15[[#This Row],[TWh by share]])*1000</f>
        <v>-9856.3519374511106</v>
      </c>
      <c r="G2">
        <f>IF(Table15[[#This Row],[TWh '[2023']]]=0,$D$27*(E2/$E$27),0)</f>
        <v>-9.8563519374511106</v>
      </c>
    </row>
    <row r="3" spans="1:7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MIN(Table15[[#This Row],[TWh '[2023']]],Table15[[#This Row],[TWh by share]])*1000</f>
        <v>-67230.091737249313</v>
      </c>
      <c r="G3">
        <f>IF(Table15[[#This Row],[TWh '[2023']]]=0,$D$27*(E3/$E$27),0)</f>
        <v>0</v>
      </c>
    </row>
    <row r="4" spans="1:7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MIN(Table15[[#This Row],[TWh '[2023']]],Table15[[#This Row],[TWh by share]])*1000</f>
        <v>-133908.96153804468</v>
      </c>
      <c r="G4">
        <f>IF(Table15[[#This Row],[TWh '[2023']]]=0,$D$27*(E4/$E$27),0)</f>
        <v>0</v>
      </c>
    </row>
    <row r="5" spans="1:7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MIN(Table15[[#This Row],[TWh '[2023']]],Table15[[#This Row],[TWh by share]])*1000</f>
        <v>-12093.598371601995</v>
      </c>
      <c r="G5">
        <f>IF(Table15[[#This Row],[TWh '[2023']]]=0,$D$27*(E5/$E$27),0)</f>
        <v>-12.093598371601995</v>
      </c>
    </row>
    <row r="6" spans="1:7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MIN(Table15[[#This Row],[TWh '[2023']]],Table15[[#This Row],[TWh by share]])*1000</f>
        <v>-24679.02</v>
      </c>
      <c r="G6">
        <f>IF(Table15[[#This Row],[TWh '[2023']]]=0,$D$27*(E6/$E$27),0)</f>
        <v>0</v>
      </c>
    </row>
    <row r="7" spans="1:7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MIN(Table15[[#This Row],[TWh '[2023']]],Table15[[#This Row],[TWh by share]])*1000</f>
        <v>-24426.403929545868</v>
      </c>
      <c r="G7">
        <f>IF(Table15[[#This Row],[TWh '[2023']]]=0,$D$27*(E7/$E$27),0)</f>
        <v>0</v>
      </c>
    </row>
    <row r="8" spans="1:7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MIN(Table15[[#This Row],[TWh '[2023']]],Table15[[#This Row],[TWh by share]])*1000</f>
        <v>-65434.574999999997</v>
      </c>
      <c r="G8">
        <f>IF(Table15[[#This Row],[TWh '[2023']]]=0,$D$27*(E8/$E$27),0)</f>
        <v>0</v>
      </c>
    </row>
    <row r="9" spans="1:7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MIN(Table15[[#This Row],[TWh '[2023']]],Table15[[#This Row],[TWh by share]])*1000</f>
        <v>-15927.552286806194</v>
      </c>
      <c r="G9">
        <f>IF(Table15[[#This Row],[TWh '[2023']]]=0,$D$27*(E9/$E$27),0)</f>
        <v>0</v>
      </c>
    </row>
    <row r="10" spans="1:7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MIN(Table15[[#This Row],[TWh '[2023']]],Table15[[#This Row],[TWh by share]])*1000</f>
        <v>-3613.7703558476255</v>
      </c>
      <c r="G10">
        <f>IF(Table15[[#This Row],[TWh '[2023']]]=0,$D$27*(E10/$E$27),0)</f>
        <v>0</v>
      </c>
    </row>
    <row r="11" spans="1:7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MIN(Table15[[#This Row],[TWh '[2023']]],Table15[[#This Row],[TWh by share]])*1000</f>
        <v>-11669.450833333332</v>
      </c>
      <c r="G11">
        <f>IF(Table15[[#This Row],[TWh '[2023']]]=0,$D$27*(E11/$E$27),0)</f>
        <v>0</v>
      </c>
    </row>
    <row r="12" spans="1:7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MIN(Table15[[#This Row],[TWh '[2023']]],Table15[[#This Row],[TWh by share]])*1000</f>
        <v>-330852.86646038049</v>
      </c>
      <c r="G12">
        <f>IF(Table15[[#This Row],[TWh '[2023']]]=0,$D$27*(E12/$E$27),0)</f>
        <v>0</v>
      </c>
    </row>
    <row r="13" spans="1:7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MIN(Table15[[#This Row],[TWh '[2023']]],Table15[[#This Row],[TWh by share]])*1000</f>
        <v>-739235.46136530698</v>
      </c>
      <c r="G13">
        <f>IF(Table15[[#This Row],[TWh '[2023']]]=0,$D$27*(E13/$E$27),0)</f>
        <v>0</v>
      </c>
    </row>
    <row r="14" spans="1:7">
      <c r="A14" t="s">
        <v>265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MIN(Table15[[#This Row],[TWh '[2023']]],Table15[[#This Row],[TWh by share]])*1000</f>
        <v>-52584.09399999999</v>
      </c>
      <c r="G14">
        <f>IF(Table15[[#This Row],[TWh '[2023']]]=0,$D$27*(E14/$E$27),0)</f>
        <v>0</v>
      </c>
    </row>
    <row r="15" spans="1:7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MIN(Table15[[#This Row],[TWh '[2023']]],Table15[[#This Row],[TWh by share]])*1000</f>
        <v>-79965.82166666667</v>
      </c>
      <c r="G15">
        <f>IF(Table15[[#This Row],[TWh '[2023']]]=0,$D$27*(E15/$E$27),0)</f>
        <v>0</v>
      </c>
    </row>
    <row r="16" spans="1:7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MIN(Table15[[#This Row],[TWh '[2023']]],Table15[[#This Row],[TWh by share]])*1000</f>
        <v>-47124.96626353934</v>
      </c>
      <c r="G16">
        <f>IF(Table15[[#This Row],[TWh '[2023']]]=0,$D$27*(E16/$E$27),0)</f>
        <v>0</v>
      </c>
    </row>
    <row r="17" spans="1:7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MIN(Table15[[#This Row],[TWh '[2023']]],Table15[[#This Row],[TWh by share]])*1000</f>
        <v>-572498.94483056362</v>
      </c>
      <c r="G17">
        <f>IF(Table15[[#This Row],[TWh '[2023']]]=0,$D$27*(E17/$E$27),0)</f>
        <v>0</v>
      </c>
    </row>
    <row r="18" spans="1:7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MIN(Table15[[#This Row],[TWh '[2023']]],Table15[[#This Row],[TWh by share]])*1000</f>
        <v>-7494.6891249999999</v>
      </c>
      <c r="G18">
        <f>IF(Table15[[#This Row],[TWh '[2023']]]=0,$D$27*(E18/$E$27),0)</f>
        <v>0</v>
      </c>
    </row>
    <row r="19" spans="1:7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MIN(Table15[[#This Row],[TWh '[2023']]],Table15[[#This Row],[TWh by share]])*1000</f>
        <v>-15295.159710000002</v>
      </c>
      <c r="G19">
        <f>IF(Table15[[#This Row],[TWh '[2023']]]=0,$D$27*(E19/$E$27),0)</f>
        <v>0</v>
      </c>
    </row>
    <row r="20" spans="1:7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MIN(Table15[[#This Row],[TWh '[2023']]],Table15[[#This Row],[TWh by share]])*1000</f>
        <v>-5602.6756765704631</v>
      </c>
      <c r="G20">
        <f>IF(Table15[[#This Row],[TWh '[2023']]]=0,$D$27*(E20/$E$27),0)</f>
        <v>0</v>
      </c>
    </row>
    <row r="21" spans="1:7">
      <c r="A21" t="s">
        <v>111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MIN(Table15[[#This Row],[TWh '[2023']]],Table15[[#This Row],[TWh by share]])*1000</f>
        <v>-1782.1780418174076</v>
      </c>
      <c r="G21">
        <f>IF(Table15[[#This Row],[TWh '[2023']]]=0,$D$27*(E21/$E$27),0)</f>
        <v>-1.7821780418174076</v>
      </c>
    </row>
    <row r="22" spans="1:7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MIN(Table15[[#This Row],[TWh '[2023']]],Table15[[#This Row],[TWh by share]])*1000</f>
        <v>-8931.6695877324019</v>
      </c>
      <c r="G22">
        <f>IF(Table15[[#This Row],[TWh '[2023']]]=0,$D$27*(E22/$E$27),0)</f>
        <v>-8.9316695877324026</v>
      </c>
    </row>
    <row r="23" spans="1:7">
      <c r="B23" t="s">
        <v>112</v>
      </c>
      <c r="C23" s="2"/>
      <c r="D23">
        <f>Table15[[#This Row],[Mrd m3 '[2023']]]*9.77*-1</f>
        <v>0</v>
      </c>
      <c r="E23">
        <v>621.9</v>
      </c>
      <c r="F23">
        <f>MIN(Table15[[#This Row],[TWh '[2023']]],Table15[[#This Row],[TWh by share]])*1000</f>
        <v>-2153.7825965920051</v>
      </c>
      <c r="G23">
        <f>IF(Table15[[#This Row],[TWh '[2023']]]=0,$D$27*(E23/$E$27),0)</f>
        <v>-2.1537825965920052</v>
      </c>
    </row>
    <row r="24" spans="1:7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MIN(Table15[[#This Row],[TWh '[2023']]],Table15[[#This Row],[TWh by share]])*1000</f>
        <v>-251794.61111111109</v>
      </c>
      <c r="G24">
        <f>IF(Table15[[#This Row],[TWh '[2023']]]=0,$D$27*(E24/$E$27),0)</f>
        <v>0</v>
      </c>
    </row>
    <row r="25" spans="1:7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MIN(Table15[[#This Row],[TWh '[2023']]],Table15[[#This Row],[TWh by share]])*1000</f>
        <v>-3447.5654573478323</v>
      </c>
      <c r="G25">
        <f>IF(Table15[[#This Row],[TWh '[2023']]]=0,$D$27*(E25/$E$27),0)</f>
        <v>0</v>
      </c>
    </row>
    <row r="26" spans="1:7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MIN(Table15[[#This Row],[TWh '[2023']]],Table15[[#This Row],[TWh by share]])*1000</f>
        <v>-37059.664740961351</v>
      </c>
      <c r="G26">
        <f>IF(Table15[[#This Row],[TWh '[2023']]]=0,$D$27*(E26/$E$27),0)</f>
        <v>0</v>
      </c>
    </row>
    <row r="27" spans="1:7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MIN(Table15[[#This Row],[TWh '[2023']]],Table15[[#This Row],[TWh by share]])*1000</f>
        <v>-68053.157709522784</v>
      </c>
      <c r="G27">
        <f>IF(Table15[[#This Row],[TWh '[2023']]]=0,$D$27*(E27/$E$27),0)</f>
        <v>0</v>
      </c>
    </row>
    <row r="28" spans="1:7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MIN(Table15[[#This Row],[TWh '[2023']]],Table15[[#This Row],[TWh by share]])*1000</f>
        <v>-191323.1056156483</v>
      </c>
      <c r="G28">
        <f>IF(Table15[[#This Row],[TWh '[2023']]]=0,$D$27*(E28/$E$27),0)</f>
        <v>0</v>
      </c>
    </row>
    <row r="29" spans="1:7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MIN(Table15[[#This Row],[TWh '[2023']]],Table15[[#This Row],[TWh by share]])*1000</f>
        <v>-43774.399641264652</v>
      </c>
      <c r="G29">
        <f>IF(Table15[[#This Row],[TWh '[2023']]]=0,$D$27*(E29/$E$27),0)</f>
        <v>0</v>
      </c>
    </row>
    <row r="30" spans="1:7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MIN(Table15[[#This Row],[TWh '[2023']]],Table15[[#This Row],[TWh by share]])*1000</f>
        <v>-88770.138605095563</v>
      </c>
      <c r="G30">
        <f>IF(Table15[[#This Row],[TWh '[2023']]]=0,$D$27*(E30/$E$27),0)</f>
        <v>0</v>
      </c>
    </row>
    <row r="31" spans="1:7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MIN(Table15[[#This Row],[TWh '[2023']]],Table15[[#This Row],[TWh by share]])*1000</f>
        <v>0</v>
      </c>
      <c r="G31">
        <f>IF(Table15[[#This Row],[TWh '[2023']]]=0,$D$27*(E31/$E$27),0)</f>
        <v>0</v>
      </c>
    </row>
    <row r="32" spans="1:7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MIN(Table15[[#This Row],[TWh '[2023']]],Table15[[#This Row],[TWh by share]])*1000</f>
        <v>-23988.753677140761</v>
      </c>
      <c r="G32">
        <f>IF(Table15[[#This Row],[TWh '[2023']]]=0,$D$27*(E32/$E$27),0)</f>
        <v>-23.98875367714076</v>
      </c>
    </row>
    <row r="33" spans="1:7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MIN(Table15[[#This Row],[TWh '[2023']]],Table15[[#This Row],[TWh by share]])*1000</f>
        <v>-41014.992404023775</v>
      </c>
      <c r="G33">
        <f>IF(Table15[[#This Row],[TWh '[2023']]]=0,$D$27*(E33/$E$27),0)</f>
        <v>0</v>
      </c>
    </row>
    <row r="34" spans="1:7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MIN(Table15[[#This Row],[TWh '[2023']]],Table15[[#This Row],[TWh by share]])*1000</f>
        <v>-7490.394194752892</v>
      </c>
      <c r="G34">
        <f>IF(Table15[[#This Row],[TWh '[2023']]]=0,$D$27*(E34/$E$27),0)</f>
        <v>0</v>
      </c>
    </row>
    <row r="35" spans="1:7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MIN(Table15[[#This Row],[TWh '[2023']]],Table15[[#This Row],[TWh by share]])*1000</f>
        <v>-286244.43472908094</v>
      </c>
      <c r="G35">
        <f>IF(Table15[[#This Row],[TWh '[2023']]]=0,$D$27*(E35/$E$27),0)</f>
        <v>0</v>
      </c>
    </row>
    <row r="36" spans="1:7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MIN(Table15[[#This Row],[TWh '[2023']]],Table15[[#This Row],[TWh by share]])*1000</f>
        <v>-6997.2659465473271</v>
      </c>
      <c r="G36">
        <f>IF(Table15[[#This Row],[TWh '[2023']]]=0,$D$27*(E36/$E$27),0)</f>
        <v>0</v>
      </c>
    </row>
    <row r="37" spans="1:7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MIN(Table15[[#This Row],[TWh '[2023']]],Table15[[#This Row],[TWh by share]])*1000</f>
        <v>-26810.079718515954</v>
      </c>
      <c r="G37">
        <f>IF(Table15[[#This Row],[TWh '[2023']]]=0,$D$27*(E37/$E$27),0)</f>
        <v>0</v>
      </c>
    </row>
    <row r="38" spans="1:7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MIN(Table15[[#This Row],[TWh '[2023']]],Table15[[#This Row],[TWh by share]])*1000</f>
        <v>-473154.73562600504</v>
      </c>
      <c r="G38">
        <f>IF(Table15[[#This Row],[TWh '[2023']]]=0,$D$27*(E38/$E$27),0)</f>
        <v>0</v>
      </c>
    </row>
    <row r="39" spans="1:7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MIN(Table15[[#This Row],[TWh '[2023']]],Table15[[#This Row],[TWh by share]])*1000</f>
        <v>-620429.43729599996</v>
      </c>
      <c r="G39">
        <f>IF(Table15[[#This Row],[TWh '[2023']]]=0,$D$27*(E39/$E$27),0)</f>
        <v>0</v>
      </c>
    </row>
    <row r="40" spans="1:7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MIN(Table15[[#This Row],[TWh '[2023']]],Table15[[#This Row],[TWh by share]])*1000</f>
        <v>-183079.42477876111</v>
      </c>
      <c r="G40">
        <f>IF(Table15[[#This Row],[TWh '[2023']]]=0,$D$27*(E40/$E$27),0)</f>
        <v>0</v>
      </c>
    </row>
    <row r="41" spans="1:7">
      <c r="A41" t="s">
        <v>109</v>
      </c>
      <c r="B41" t="s">
        <v>110</v>
      </c>
      <c r="C41" s="2"/>
      <c r="D41">
        <f>Table15[[#This Row],[Mrd m3 '[2023']]]*9.77*-1</f>
        <v>0</v>
      </c>
      <c r="E41">
        <v>888</v>
      </c>
      <c r="F41">
        <f>MIN(Table15[[#This Row],[TWh '[2023']]],Table15[[#This Row],[TWh by share]])*1000</f>
        <v>-3075.3480395139095</v>
      </c>
      <c r="G41">
        <f>IF(Table15[[#This Row],[TWh '[2023']]]=0,$D$27*(E41/$E$27),0)</f>
        <v>-3.0753480395139094</v>
      </c>
    </row>
    <row r="42" spans="1:7">
      <c r="B42" t="s">
        <v>118</v>
      </c>
      <c r="C42" s="2"/>
      <c r="D42">
        <f>Table15[[#This Row],[Mrd m3 '[2023']]]*9.77*-1</f>
        <v>0</v>
      </c>
      <c r="E42">
        <v>1782</v>
      </c>
      <c r="F42">
        <f>MIN(Table15[[#This Row],[TWh '[2023']]],Table15[[#This Row],[TWh by share]])*1000</f>
        <v>-6171.475457673183</v>
      </c>
      <c r="G42">
        <f>IF(Table15[[#This Row],[TWh '[2023']]]=0,$D$27*(E42/$E$27),0)</f>
        <v>-6.171475457673183</v>
      </c>
    </row>
    <row r="50" spans="1:2">
      <c r="A50" t="s">
        <v>133</v>
      </c>
    </row>
    <row r="51" spans="1:2">
      <c r="A51" t="s">
        <v>113</v>
      </c>
    </row>
    <row r="52" spans="1:2">
      <c r="A52" t="s">
        <v>114</v>
      </c>
      <c r="B52" t="s">
        <v>115</v>
      </c>
    </row>
    <row r="53" spans="1:2">
      <c r="A53" t="s">
        <v>116</v>
      </c>
      <c r="B53" t="s">
        <v>117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G25"/>
  <sheetViews>
    <sheetView tabSelected="1" workbookViewId="0">
      <selection activeCell="F1" sqref="F1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6" width="22.26953125" customWidth="1"/>
    <col min="7" max="7" width="12.81640625" customWidth="1"/>
  </cols>
  <sheetData>
    <row r="1" spans="1:7">
      <c r="A1" s="8" t="s">
        <v>16</v>
      </c>
      <c r="B1" s="9" t="s">
        <v>56</v>
      </c>
      <c r="C1" s="9" t="s">
        <v>85</v>
      </c>
      <c r="D1" s="9" t="s">
        <v>171</v>
      </c>
      <c r="E1" s="9" t="s">
        <v>172</v>
      </c>
      <c r="F1" t="s">
        <v>267</v>
      </c>
      <c r="G1" s="10" t="s">
        <v>105</v>
      </c>
    </row>
    <row r="2" spans="1:7">
      <c r="A2" t="s">
        <v>150</v>
      </c>
      <c r="B2" s="6" t="s">
        <v>150</v>
      </c>
      <c r="C2" s="7">
        <v>886.46721186282696</v>
      </c>
      <c r="D2" s="7"/>
      <c r="E2" s="7">
        <f>Table791011[[#This Row],[Mil m3 '[2020']]]/1000</f>
        <v>0</v>
      </c>
      <c r="F2" s="15">
        <f>Table791011[[#This Row],[TWh '[2020']]]*1000</f>
        <v>-8660784.6598998178</v>
      </c>
      <c r="G2" s="3">
        <f>IF(Table791011[[#This Row],[Mil m3 '[2020']]]&gt;0,Table791011[[#This Row],[Mrd m3 '[2020']2]],Table791011[[#This Row],[Mrd m3 '[2020']]])*9.77*(-1)</f>
        <v>-8660.7846598998185</v>
      </c>
    </row>
    <row r="3" spans="1:7">
      <c r="A3" t="s">
        <v>197</v>
      </c>
      <c r="B3" t="s">
        <v>161</v>
      </c>
      <c r="C3">
        <f>1104.76718773088-886.467211862827</f>
        <v>218.29997586805314</v>
      </c>
      <c r="E3" s="2">
        <f>Table791011[[#This Row],[Mil m3 '[2020']]]/1000</f>
        <v>0</v>
      </c>
      <c r="F3" s="2">
        <f>Table791011[[#This Row],[TWh '[2020']]]*1000</f>
        <v>-2132790.764230879</v>
      </c>
      <c r="G3" s="3">
        <f>IF(Table791011[[#This Row],[Mil m3 '[2020']]]&gt;0,Table791011[[#This Row],[Mrd m3 '[2020']2]],Table791011[[#This Row],[Mrd m3 '[2020']]])*9.77*(-1)</f>
        <v>-2132.7907642308792</v>
      </c>
    </row>
    <row r="4" spans="1:7">
      <c r="A4" t="s">
        <v>151</v>
      </c>
      <c r="B4" t="s">
        <v>162</v>
      </c>
      <c r="C4">
        <f>161.703504900654-14.503954775876</f>
        <v>147.199550124778</v>
      </c>
      <c r="E4" s="2">
        <f>Table791011[[#This Row],[Mil m3 '[2020']]]/1000</f>
        <v>0</v>
      </c>
      <c r="F4" s="2">
        <f>Table791011[[#This Row],[TWh '[2020']]]*1000</f>
        <v>-1438139.604719081</v>
      </c>
      <c r="G4" s="3">
        <f>IF(Table791011[[#This Row],[Mil m3 '[2020']]]&gt;0,Table791011[[#This Row],[Mrd m3 '[2020']2]],Table791011[[#This Row],[Mrd m3 '[2020']]])*9.77*(-1)</f>
        <v>-1438.139604719081</v>
      </c>
    </row>
    <row r="5" spans="1:7">
      <c r="A5" t="s">
        <v>152</v>
      </c>
      <c r="B5" t="s">
        <v>163</v>
      </c>
      <c r="C5">
        <v>14.503954775876</v>
      </c>
      <c r="E5" s="2">
        <f>Table791011[[#This Row],[Mil m3 '[2020']]]/1000</f>
        <v>0</v>
      </c>
      <c r="F5" s="2">
        <f>Table791011[[#This Row],[TWh '[2020']]]*1000</f>
        <v>-141703.6381603085</v>
      </c>
      <c r="G5" s="3">
        <f>IF(Table791011[[#This Row],[Mil m3 '[2020']]]&gt;0,Table791011[[#This Row],[Mrd m3 '[2020']2]],Table791011[[#This Row],[Mrd m3 '[2020']]])*9.77*(-1)</f>
        <v>-141.70363816030851</v>
      </c>
    </row>
    <row r="6" spans="1:7">
      <c r="A6" t="s">
        <v>153</v>
      </c>
      <c r="B6" t="s">
        <v>164</v>
      </c>
      <c r="C6" s="2">
        <f>577.716724870969-44.2013179565956</f>
        <v>533.51540691437333</v>
      </c>
      <c r="E6" s="2">
        <f>Table791011[[#This Row],[Mil m3 '[2020']]]/1000</f>
        <v>0</v>
      </c>
      <c r="F6" s="2">
        <f>Table791011[[#This Row],[TWh '[2020']]]*1000</f>
        <v>-5212445.5255534276</v>
      </c>
      <c r="G6" s="3">
        <f>IF(Table791011[[#This Row],[Mil m3 '[2020']]]&gt;0,Table791011[[#This Row],[Mrd m3 '[2020']2]],Table791011[[#This Row],[Mrd m3 '[2020']]])*9.77*(-1)</f>
        <v>-5212.4455255534276</v>
      </c>
    </row>
    <row r="7" spans="1:7">
      <c r="A7" t="s">
        <v>154</v>
      </c>
      <c r="B7" t="s">
        <v>175</v>
      </c>
      <c r="C7">
        <v>44.201317956595602</v>
      </c>
      <c r="E7" s="2">
        <f>Table791011[[#This Row],[Mil m3 '[2020']]]/1000</f>
        <v>0</v>
      </c>
      <c r="F7" s="2">
        <f>Table791011[[#This Row],[TWh '[2020']]]*1000</f>
        <v>-431846.87643593899</v>
      </c>
      <c r="G7" s="3">
        <f>IF(Table791011[[#This Row],[Mil m3 '[2020']]]&gt;0,Table791011[[#This Row],[Mrd m3 '[2020']2]],Table791011[[#This Row],[Mrd m3 '[2020']]])*9.77*(-1)</f>
        <v>-431.84687643593901</v>
      </c>
    </row>
    <row r="8" spans="1:7">
      <c r="A8" t="s">
        <v>155</v>
      </c>
      <c r="B8" t="s">
        <v>165</v>
      </c>
      <c r="C8" s="2">
        <f>171.229082457489-C16-C17-C18-C19-C20</f>
        <v>46.93279494631954</v>
      </c>
      <c r="E8" s="2">
        <f>Table791011[[#This Row],[Mil m3 '[2020']]]/1000</f>
        <v>0</v>
      </c>
      <c r="F8" s="2">
        <f>Table791011[[#This Row],[TWh '[2020']]]*1000</f>
        <v>-458533.40662554186</v>
      </c>
      <c r="G8" s="3">
        <f>IF(Table791011[[#This Row],[Mil m3 '[2020']]]&gt;0,Table791011[[#This Row],[Mrd m3 '[2020']2]],Table791011[[#This Row],[Mrd m3 '[2020']]])*9.77*(-1)</f>
        <v>-458.53340662554189</v>
      </c>
    </row>
    <row r="9" spans="1:7">
      <c r="A9" t="s">
        <v>156</v>
      </c>
      <c r="B9" t="s">
        <v>166</v>
      </c>
      <c r="C9">
        <v>40.121503042095824</v>
      </c>
      <c r="E9" s="2">
        <f>Table791011[[#This Row],[Mil m3 '[2020']]]/1000</f>
        <v>0</v>
      </c>
      <c r="F9" s="2">
        <f>Table791011[[#This Row],[TWh '[2020']]]*1000</f>
        <v>-391987.08472127619</v>
      </c>
      <c r="G9" s="3">
        <f>IF(Table791011[[#This Row],[Mil m3 '[2020']]]&gt;0,Table791011[[#This Row],[Mrd m3 '[2020']2]],Table791011[[#This Row],[Mrd m3 '[2020']]])*9.77*(-1)</f>
        <v>-391.98708472127618</v>
      </c>
    </row>
    <row r="10" spans="1:7">
      <c r="A10" t="s">
        <v>157</v>
      </c>
      <c r="B10" t="s">
        <v>167</v>
      </c>
      <c r="C10">
        <f>404.838112094395+4.84678040562862</f>
        <v>409.68489250002364</v>
      </c>
      <c r="E10" s="2">
        <f>Table791011[[#This Row],[Mil m3 '[2020']]]/1000</f>
        <v>0</v>
      </c>
      <c r="F10" s="2">
        <f>Table791011[[#This Row],[TWh '[2020']]]*1000</f>
        <v>-4002621.3997252309</v>
      </c>
      <c r="G10" s="3">
        <f>IF(Table791011[[#This Row],[Mil m3 '[2020']]]&gt;0,Table791011[[#This Row],[Mrd m3 '[2020']2]],Table791011[[#This Row],[Mrd m3 '[2020']]])*9.77*(-1)</f>
        <v>-4002.6213997252307</v>
      </c>
    </row>
    <row r="11" spans="1:7">
      <c r="A11" t="s">
        <v>158</v>
      </c>
      <c r="B11" t="s">
        <v>168</v>
      </c>
      <c r="C11">
        <f>92.4207922536915+60.0747038262</f>
        <v>152.4954960798915</v>
      </c>
      <c r="E11" s="2">
        <f>Table791011[[#This Row],[Mil m3 '[2020']]]/1000</f>
        <v>0</v>
      </c>
      <c r="F11" s="2">
        <f>Table791011[[#This Row],[TWh '[2020']]]*1000</f>
        <v>-1489880.9967005397</v>
      </c>
      <c r="G11" s="3">
        <f>IF(Table791011[[#This Row],[Mil m3 '[2020']]]&gt;0,Table791011[[#This Row],[Mrd m3 '[2020']2]],Table791011[[#This Row],[Mrd m3 '[2020']]])*9.77*(-1)</f>
        <v>-1489.8809967005398</v>
      </c>
    </row>
    <row r="12" spans="1:7">
      <c r="A12" t="s">
        <v>159</v>
      </c>
      <c r="B12" t="s">
        <v>169</v>
      </c>
      <c r="C12">
        <v>62.610307192104507</v>
      </c>
      <c r="E12" s="2">
        <f>Table791011[[#This Row],[Mil m3 '[2020']]]/1000</f>
        <v>0</v>
      </c>
      <c r="F12" s="2">
        <f>Table791011[[#This Row],[TWh '[2020']]]*1000</f>
        <v>-611702.70126686106</v>
      </c>
      <c r="G12" s="3">
        <f>IF(Table791011[[#This Row],[Mil m3 '[2020']]]&gt;0,Table791011[[#This Row],[Mrd m3 '[2020']2]],Table791011[[#This Row],[Mrd m3 '[2020']]])*9.77*(-1)</f>
        <v>-611.70270126686103</v>
      </c>
    </row>
    <row r="13" spans="1:7">
      <c r="A13" t="s">
        <v>160</v>
      </c>
      <c r="B13" t="s">
        <v>170</v>
      </c>
      <c r="C13">
        <f>935.383807806868-C12-C10-C9-C11-C21</f>
        <v>178.95511859578477</v>
      </c>
      <c r="E13" s="2">
        <f>Table791011[[#This Row],[Mil m3 '[2020']]]/1000</f>
        <v>0</v>
      </c>
      <c r="F13" s="2">
        <f>Table791011[[#This Row],[TWh '[2020']]]*1000</f>
        <v>-1748391.5086808172</v>
      </c>
      <c r="G13" s="3">
        <f>IF(Table791011[[#This Row],[Mil m3 '[2020']]]&gt;0,Table791011[[#This Row],[Mrd m3 '[2020']2]],Table791011[[#This Row],[Mrd m3 '[2020']]])*9.77*(-1)</f>
        <v>-1748.3915086808172</v>
      </c>
    </row>
    <row r="14" spans="1:7">
      <c r="A14" t="s">
        <v>173</v>
      </c>
      <c r="B14" t="s">
        <v>174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2">
        <f>Table791011[[#This Row],[TWh '[2020']]]*1000</f>
        <v>-1229677.2340959844</v>
      </c>
      <c r="G14" s="3">
        <f>IF(Table791011[[#This Row],[Mil m3 '[2020']]]&gt;0,Table791011[[#This Row],[Mrd m3 '[2020']2]],Table791011[[#This Row],[Mrd m3 '[2020']]])*9.77*(-1)</f>
        <v>-1229.6772340959844</v>
      </c>
    </row>
    <row r="15" spans="1:7">
      <c r="A15" t="s">
        <v>41</v>
      </c>
      <c r="B15" t="s">
        <v>70</v>
      </c>
      <c r="C15">
        <v>453.37094395280201</v>
      </c>
      <c r="E15" s="2">
        <f>Table791011[[#This Row],[Mil m3 '[2020']]]/1000</f>
        <v>0</v>
      </c>
      <c r="F15" s="2">
        <f>Table791011[[#This Row],[TWh '[2020']]]*1000</f>
        <v>-4429434.1224188758</v>
      </c>
      <c r="G15" s="3">
        <f>IF(Table791011[[#This Row],[Mil m3 '[2020']]]&gt;0,Table791011[[#This Row],[Mrd m3 '[2020']2]],Table791011[[#This Row],[Mrd m3 '[2020']]])*9.77*(-1)</f>
        <v>-4429.4341224188756</v>
      </c>
    </row>
    <row r="16" spans="1:7">
      <c r="A16" t="s">
        <v>50</v>
      </c>
      <c r="B16" t="s">
        <v>79</v>
      </c>
      <c r="C16">
        <v>50.338750000000005</v>
      </c>
      <c r="E16" s="2">
        <f>Table791011[[#This Row],[Mil m3 '[2020']]]/1000</f>
        <v>0</v>
      </c>
      <c r="F16" s="2">
        <f>Table791011[[#This Row],[TWh '[2020']]]*1000</f>
        <v>-491809.58750000002</v>
      </c>
      <c r="G16" s="3">
        <f>IF(Table791011[[#This Row],[Mil m3 '[2020']]]&gt;0,Table791011[[#This Row],[Mrd m3 '[2020']2]],Table791011[[#This Row],[Mrd m3 '[2020']]])*9.77*(-1)</f>
        <v>-491.80958750000002</v>
      </c>
    </row>
    <row r="17" spans="1:7">
      <c r="A17" t="s">
        <v>52</v>
      </c>
      <c r="B17" t="s">
        <v>81</v>
      </c>
      <c r="C17">
        <v>10.1</v>
      </c>
      <c r="E17" s="2">
        <f>Table791011[[#This Row],[Mil m3 '[2020']]]/1000</f>
        <v>0</v>
      </c>
      <c r="F17" s="2">
        <f>Table791011[[#This Row],[TWh '[2020']]]*1000</f>
        <v>-98676.999999999985</v>
      </c>
      <c r="G17" s="3">
        <f>IF(Table791011[[#This Row],[Mil m3 '[2020']]]&gt;0,Table791011[[#This Row],[Mrd m3 '[2020']2]],Table791011[[#This Row],[Mrd m3 '[2020']]])*9.77*(-1)</f>
        <v>-98.676999999999992</v>
      </c>
    </row>
    <row r="18" spans="1:7">
      <c r="A18" t="s">
        <v>51</v>
      </c>
      <c r="B18" t="s">
        <v>80</v>
      </c>
      <c r="C18">
        <v>3.5904531497162</v>
      </c>
      <c r="E18" s="2">
        <f>Table791011[[#This Row],[Mil m3 '[2020']]]/1000</f>
        <v>0</v>
      </c>
      <c r="F18" s="2">
        <f>Table791011[[#This Row],[TWh '[2020']]]*1000</f>
        <v>-35078.727272727272</v>
      </c>
      <c r="G18" s="3">
        <f>IF(Table791011[[#This Row],[Mil m3 '[2020']]]&gt;0,Table791011[[#This Row],[Mrd m3 '[2020']2]],Table791011[[#This Row],[Mrd m3 '[2020']]])*9.77*(-1)</f>
        <v>-35.078727272727271</v>
      </c>
    </row>
    <row r="19" spans="1:7">
      <c r="A19" t="s">
        <v>97</v>
      </c>
      <c r="B19" t="s">
        <v>176</v>
      </c>
      <c r="C19">
        <v>0.22269575424695218</v>
      </c>
      <c r="E19" s="2">
        <f>Table791011[[#This Row],[Mil m3 '[2020']]]/1000</f>
        <v>0</v>
      </c>
      <c r="F19" s="2">
        <f>Table791011[[#This Row],[TWh '[2020']]]*1000</f>
        <v>-2175.7375189927229</v>
      </c>
      <c r="G19" s="3">
        <f>IF(Table791011[[#This Row],[Mil m3 '[2020']]]&gt;0,Table791011[[#This Row],[Mrd m3 '[2020']2]],Table791011[[#This Row],[Mrd m3 '[2020']]])*9.77*(-1)</f>
        <v>-2.1757375189927228</v>
      </c>
    </row>
    <row r="20" spans="1:7">
      <c r="A20" t="s">
        <v>178</v>
      </c>
      <c r="B20" t="s">
        <v>179</v>
      </c>
      <c r="C20">
        <v>60.044388607206308</v>
      </c>
      <c r="E20" s="2">
        <f>Table791011[[#This Row],[Mil m3 '[2020']]]/1000</f>
        <v>0</v>
      </c>
      <c r="F20" s="2">
        <f>Table791011[[#This Row],[TWh '[2020']]]*1000</f>
        <v>-586633.6766924056</v>
      </c>
      <c r="G20" s="3">
        <f>IF(Table791011[[#This Row],[Mil m3 '[2020']]]&gt;0,Table791011[[#This Row],[Mrd m3 '[2020']2]],Table791011[[#This Row],[Mrd m3 '[2020']]])*9.77*(-1)</f>
        <v>-586.63367669240563</v>
      </c>
    </row>
    <row r="21" spans="1:7">
      <c r="A21" t="s">
        <v>193</v>
      </c>
      <c r="B21" t="s">
        <v>196</v>
      </c>
      <c r="C21">
        <f>45.4449851278232+46.0715052691446</f>
        <v>91.516490396967811</v>
      </c>
      <c r="E21" s="2">
        <f>Table791011[[#This Row],[Mil m3 '[2020']]]/1000</f>
        <v>0</v>
      </c>
      <c r="F21" s="2">
        <f>Table791011[[#This Row],[TWh '[2020']]]*1000</f>
        <v>-894116.11117837555</v>
      </c>
      <c r="G21" s="3">
        <f>IF(Table791011[[#This Row],[Mil m3 '[2020']]]&gt;0,Table791011[[#This Row],[Mrd m3 '[2020']2]],Table791011[[#This Row],[Mrd m3 '[2020']]])*9.77*(-1)</f>
        <v>-894.11611117837549</v>
      </c>
    </row>
    <row r="22" spans="1:7">
      <c r="A22" t="s">
        <v>53</v>
      </c>
      <c r="B22" t="s">
        <v>82</v>
      </c>
      <c r="C22">
        <v>16.784035990584101</v>
      </c>
      <c r="E22" s="2">
        <f>Table791011[[#This Row],[Mil m3 '[2020']]]/1000</f>
        <v>0</v>
      </c>
      <c r="F22" s="2">
        <f>Table791011[[#This Row],[TWh '[2020']]]*1000</f>
        <v>-163980.03162800666</v>
      </c>
      <c r="G22" s="3">
        <f>IF(Table791011[[#This Row],[Mil m3 '[2020']]]&gt;0,Table791011[[#This Row],[Mrd m3 '[2020']2]],Table791011[[#This Row],[Mrd m3 '[2020']]])*9.77*(-1)</f>
        <v>-163.98003162800666</v>
      </c>
    </row>
    <row r="24" spans="1:7">
      <c r="A24" t="s">
        <v>80</v>
      </c>
      <c r="B24" t="s">
        <v>137</v>
      </c>
    </row>
    <row r="25" spans="1:7">
      <c r="A25" t="s">
        <v>81</v>
      </c>
      <c r="B25" t="s">
        <v>177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09"/>
  <sheetViews>
    <sheetView topLeftCell="A26" workbookViewId="0">
      <selection activeCell="D84" sqref="D84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139</v>
      </c>
      <c r="D1" t="s">
        <v>140</v>
      </c>
      <c r="E1" t="s">
        <v>141</v>
      </c>
      <c r="F1" t="s">
        <v>106</v>
      </c>
      <c r="G1" t="s">
        <v>107</v>
      </c>
      <c r="H1" t="s">
        <v>143</v>
      </c>
    </row>
    <row r="2" spans="1:8">
      <c r="A2" t="s">
        <v>42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2" si="0">F2/1000</f>
        <v>177.79150000000001</v>
      </c>
    </row>
    <row r="3" spans="1:8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>
      <c r="A10" t="s">
        <v>17</v>
      </c>
      <c r="B10" t="s">
        <v>43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>
      <c r="A13" t="s">
        <v>32</v>
      </c>
      <c r="B13" t="s">
        <v>265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>
      <c r="A14" t="s">
        <v>32</v>
      </c>
      <c r="B14" t="s">
        <v>46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>
      <c r="A15" t="s">
        <v>32</v>
      </c>
      <c r="B15" t="s">
        <v>34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7">
      <c r="A17" t="s">
        <v>32</v>
      </c>
      <c r="B17" t="s">
        <v>47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7">
      <c r="A18" t="s">
        <v>53</v>
      </c>
      <c r="B18" t="s">
        <v>35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7">
      <c r="A19" t="s">
        <v>53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7">
      <c r="A20" t="s">
        <v>53</v>
      </c>
      <c r="B20" t="s">
        <v>39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7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7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7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7">
      <c r="A24" t="s">
        <v>28</v>
      </c>
      <c r="B24" t="s">
        <v>19</v>
      </c>
      <c r="C24">
        <v>1231.759</v>
      </c>
      <c r="F24">
        <f>MIN(Table3[[#This Row],[GWh/d '[capacity map']]:[GWh/d '[transparency map']]])*365</f>
        <v>449592.03500000003</v>
      </c>
      <c r="G24">
        <f t="shared" si="0"/>
        <v>449.59203500000001</v>
      </c>
    </row>
    <row r="25" spans="1:7">
      <c r="A25" t="s">
        <v>28</v>
      </c>
      <c r="B25" t="s">
        <v>27</v>
      </c>
      <c r="C25">
        <v>28</v>
      </c>
      <c r="F25">
        <f>MIN(Table3[[#This Row],[GWh/d '[capacity map']]:[GWh/d '[transparency map']]])*365</f>
        <v>10220</v>
      </c>
      <c r="G25">
        <f t="shared" si="0"/>
        <v>10.220000000000001</v>
      </c>
    </row>
    <row r="26" spans="1:7">
      <c r="A26" t="s">
        <v>28</v>
      </c>
      <c r="B26" t="s">
        <v>29</v>
      </c>
      <c r="C26">
        <v>1246.4000000000001</v>
      </c>
      <c r="F26">
        <f>MIN(Table3[[#This Row],[GWh/d '[capacity map']]:[GWh/d '[transparency map']]])*365</f>
        <v>454936.00000000006</v>
      </c>
      <c r="G26">
        <f t="shared" si="0"/>
        <v>454.93600000000004</v>
      </c>
    </row>
    <row r="27" spans="1:7">
      <c r="A27" t="s">
        <v>19</v>
      </c>
      <c r="B27" t="s">
        <v>20</v>
      </c>
      <c r="C27">
        <v>344.24799999999993</v>
      </c>
      <c r="F27">
        <f>MIN(Table3[[#This Row],[GWh/d '[capacity map']]:[GWh/d '[transparency map']]])*365</f>
        <v>125650.51999999997</v>
      </c>
      <c r="G27">
        <f t="shared" si="0"/>
        <v>125.65051999999997</v>
      </c>
    </row>
    <row r="28" spans="1:7">
      <c r="A28" t="s">
        <v>19</v>
      </c>
      <c r="B28" t="s">
        <v>17</v>
      </c>
      <c r="C28">
        <v>396.15000000000003</v>
      </c>
      <c r="F28">
        <f>MIN(Table3[[#This Row],[GWh/d '[capacity map']]:[GWh/d '[transparency map']]])*365</f>
        <v>144594.75</v>
      </c>
      <c r="G28">
        <f t="shared" si="0"/>
        <v>144.59475</v>
      </c>
    </row>
    <row r="29" spans="1:7">
      <c r="A29" t="s">
        <v>19</v>
      </c>
      <c r="B29" t="s">
        <v>22</v>
      </c>
      <c r="C29">
        <v>328</v>
      </c>
      <c r="F29">
        <f>MIN(Table3[[#This Row],[GWh/d '[capacity map']]:[GWh/d '[transparency map']]])*365</f>
        <v>119720</v>
      </c>
      <c r="G29">
        <f t="shared" si="0"/>
        <v>119.72</v>
      </c>
    </row>
    <row r="30" spans="1:7">
      <c r="A30" t="s">
        <v>19</v>
      </c>
      <c r="B30" t="s">
        <v>28</v>
      </c>
      <c r="C30">
        <v>1803.77</v>
      </c>
      <c r="F30">
        <f>MIN(Table3[[#This Row],[GWh/d '[capacity map']]:[GWh/d '[transparency map']]])*365</f>
        <v>658376.05000000005</v>
      </c>
      <c r="G30">
        <f t="shared" si="0"/>
        <v>658.37605000000008</v>
      </c>
    </row>
    <row r="31" spans="1:7">
      <c r="A31" t="s">
        <v>19</v>
      </c>
      <c r="B31" t="s">
        <v>26</v>
      </c>
      <c r="C31">
        <v>136.11199999999999</v>
      </c>
      <c r="F31">
        <f>MIN(Table3[[#This Row],[GWh/d '[capacity map']]:[GWh/d '[transparency map']]])*365</f>
        <v>49680.88</v>
      </c>
      <c r="G31">
        <f t="shared" si="0"/>
        <v>49.680879999999995</v>
      </c>
    </row>
    <row r="32" spans="1:7">
      <c r="A32" t="s">
        <v>19</v>
      </c>
      <c r="B32" t="s">
        <v>25</v>
      </c>
      <c r="C32">
        <v>613.71600000000001</v>
      </c>
      <c r="F32">
        <f>MIN(Table3[[#This Row],[GWh/d '[capacity map']]:[GWh/d '[transparency map']]])*365</f>
        <v>224006.34</v>
      </c>
      <c r="G32">
        <f t="shared" si="0"/>
        <v>224.00633999999999</v>
      </c>
    </row>
    <row r="33" spans="1:8">
      <c r="A33" t="s">
        <v>19</v>
      </c>
      <c r="B33" t="s">
        <v>43</v>
      </c>
      <c r="C33">
        <v>26.71</v>
      </c>
      <c r="F33">
        <f>MIN(Table3[[#This Row],[GWh/d '[capacity map']]:[GWh/d '[transparency map']]])*365</f>
        <v>9749.15</v>
      </c>
      <c r="G33">
        <f t="shared" ref="G33:G64" si="1">F33/1000</f>
        <v>9.7491500000000002</v>
      </c>
    </row>
    <row r="34" spans="1:8">
      <c r="A34" t="s">
        <v>19</v>
      </c>
      <c r="B34" t="s">
        <v>18</v>
      </c>
      <c r="C34">
        <v>1628.3030000000001</v>
      </c>
      <c r="F34">
        <f>MIN(Table3[[#This Row],[GWh/d '[capacity map']]:[GWh/d '[transparency map']]])*365</f>
        <v>594330.59500000009</v>
      </c>
      <c r="G34">
        <f t="shared" si="1"/>
        <v>594.33059500000013</v>
      </c>
    </row>
    <row r="35" spans="1:8">
      <c r="A35" t="s">
        <v>19</v>
      </c>
      <c r="B35" t="s">
        <v>27</v>
      </c>
      <c r="C35">
        <v>233.5</v>
      </c>
      <c r="F35">
        <f>MIN(Table3[[#This Row],[GWh/d '[capacity map']]:[GWh/d '[transparency map']]])*365</f>
        <v>85227.5</v>
      </c>
      <c r="G35">
        <f t="shared" si="1"/>
        <v>85.227500000000006</v>
      </c>
    </row>
    <row r="36" spans="1:8">
      <c r="A36" t="s">
        <v>26</v>
      </c>
      <c r="B36" t="s">
        <v>19</v>
      </c>
      <c r="C36">
        <v>4.1189999999999998</v>
      </c>
      <c r="F36">
        <f>MIN(Table3[[#This Row],[GWh/d '[capacity map']]:[GWh/d '[transparency map']]])*365</f>
        <v>1503.4349999999999</v>
      </c>
      <c r="G36">
        <f t="shared" si="1"/>
        <v>1.5034349999999999</v>
      </c>
    </row>
    <row r="37" spans="1:8">
      <c r="A37" t="s">
        <v>26</v>
      </c>
      <c r="B37" t="s">
        <v>83</v>
      </c>
      <c r="E37">
        <v>41</v>
      </c>
      <c r="F37">
        <f>MIN(Table3[[#This Row],[GWh/d '[capacity map']]:[GWh/d '[transparency map']]])*365</f>
        <v>14965</v>
      </c>
      <c r="G37">
        <f t="shared" si="1"/>
        <v>14.965</v>
      </c>
      <c r="H37" t="s">
        <v>146</v>
      </c>
    </row>
    <row r="38" spans="1:8">
      <c r="A38" t="s">
        <v>50</v>
      </c>
      <c r="B38" t="s">
        <v>37</v>
      </c>
      <c r="C38">
        <v>731.7</v>
      </c>
      <c r="D38">
        <v>337.1</v>
      </c>
      <c r="F38">
        <f>MIN(Table3[[#This Row],[GWh/d '[capacity map']]:[GWh/d '[transparency map']]])*365</f>
        <v>123041.50000000001</v>
      </c>
      <c r="G38">
        <f t="shared" si="1"/>
        <v>123.04150000000001</v>
      </c>
    </row>
    <row r="39" spans="1:8">
      <c r="A39" t="s">
        <v>50</v>
      </c>
      <c r="B39" t="s">
        <v>97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  <c r="H39" t="s">
        <v>147</v>
      </c>
    </row>
    <row r="40" spans="1:8">
      <c r="A40" t="s">
        <v>50</v>
      </c>
      <c r="B40" t="s">
        <v>51</v>
      </c>
      <c r="C40">
        <v>1138.0999999999999</v>
      </c>
      <c r="D40">
        <v>1154</v>
      </c>
      <c r="F40">
        <f>MIN(Table3[[#This Row],[GWh/d '[capacity map']]:[GWh/d '[transparency map']]])*365</f>
        <v>415406.49999999994</v>
      </c>
      <c r="G40">
        <f t="shared" si="1"/>
        <v>415.40649999999994</v>
      </c>
      <c r="H40" t="s">
        <v>145</v>
      </c>
    </row>
    <row r="41" spans="1:8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8">
      <c r="A42" t="s">
        <v>54</v>
      </c>
      <c r="B42" t="s">
        <v>36</v>
      </c>
      <c r="E42">
        <v>67.7</v>
      </c>
      <c r="F42">
        <f>MIN(Table3[[#This Row],[GWh/d '[capacity map']]:[GWh/d '[transparency map']]])*365</f>
        <v>24710.5</v>
      </c>
      <c r="G42">
        <f t="shared" si="1"/>
        <v>24.7105</v>
      </c>
    </row>
    <row r="43" spans="1:8">
      <c r="A43" t="s">
        <v>265</v>
      </c>
      <c r="B43" t="s">
        <v>42</v>
      </c>
      <c r="C43">
        <v>487.1</v>
      </c>
      <c r="D43">
        <v>549.9</v>
      </c>
      <c r="F43">
        <f>MIN(Table3[[#This Row],[GWh/d '[capacity map']]:[GWh/d '[transparency map']]])*365</f>
        <v>177791.5</v>
      </c>
      <c r="G43">
        <f t="shared" si="1"/>
        <v>177.79150000000001</v>
      </c>
      <c r="H43" t="s">
        <v>144</v>
      </c>
    </row>
    <row r="44" spans="1:8">
      <c r="A44" t="s">
        <v>265</v>
      </c>
      <c r="B44" t="s">
        <v>32</v>
      </c>
      <c r="C44">
        <v>64.819999999999993</v>
      </c>
      <c r="F44">
        <f>MIN(Table3[[#This Row],[GWh/d '[capacity map']]:[GWh/d '[transparency map']]])*365</f>
        <v>23659.3</v>
      </c>
      <c r="G44">
        <f t="shared" si="1"/>
        <v>23.659299999999998</v>
      </c>
    </row>
    <row r="45" spans="1:8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8">
      <c r="A46" t="s">
        <v>37</v>
      </c>
      <c r="B46" t="s">
        <v>38</v>
      </c>
      <c r="C46">
        <v>144</v>
      </c>
      <c r="F46">
        <f>MIN(Table3[[#This Row],[GWh/d '[capacity map']]:[GWh/d '[transparency map']]])*365</f>
        <v>52560</v>
      </c>
      <c r="G46">
        <f t="shared" si="1"/>
        <v>52.56</v>
      </c>
    </row>
    <row r="47" spans="1:8">
      <c r="A47" t="s">
        <v>55</v>
      </c>
      <c r="B47" t="s">
        <v>54</v>
      </c>
      <c r="E47">
        <v>32.802250000000008</v>
      </c>
      <c r="F47">
        <f>MIN(Table3[[#This Row],[GWh/d '[capacity map']]:[GWh/d '[transparency map']]])*365</f>
        <v>11972.821250000003</v>
      </c>
      <c r="G47">
        <f t="shared" si="1"/>
        <v>11.972821250000003</v>
      </c>
    </row>
    <row r="48" spans="1:8">
      <c r="A48" t="s">
        <v>25</v>
      </c>
      <c r="B48" t="s">
        <v>17</v>
      </c>
      <c r="C48">
        <v>270</v>
      </c>
      <c r="F48">
        <f>MIN(Table3[[#This Row],[GWh/d '[capacity map']]:[GWh/d '[transparency map']]])*365</f>
        <v>98550</v>
      </c>
      <c r="G48">
        <f t="shared" si="1"/>
        <v>98.55</v>
      </c>
    </row>
    <row r="49" spans="1:7">
      <c r="A49" t="s">
        <v>25</v>
      </c>
      <c r="B49" t="s">
        <v>22</v>
      </c>
      <c r="C49">
        <v>223</v>
      </c>
      <c r="F49">
        <f>MIN(Table3[[#This Row],[GWh/d '[capacity map']]:[GWh/d '[transparency map']]])*365</f>
        <v>81395</v>
      </c>
      <c r="G49">
        <f t="shared" si="1"/>
        <v>81.394999999999996</v>
      </c>
    </row>
    <row r="50" spans="1:7">
      <c r="A50" t="s">
        <v>25</v>
      </c>
      <c r="B50" t="s">
        <v>37</v>
      </c>
      <c r="C50">
        <v>164.572</v>
      </c>
      <c r="F50">
        <f>MIN(Table3[[#This Row],[GWh/d '[capacity map']]:[GWh/d '[transparency map']]])*365</f>
        <v>60068.78</v>
      </c>
      <c r="G50">
        <f t="shared" si="1"/>
        <v>60.068779999999997</v>
      </c>
    </row>
    <row r="51" spans="1:7">
      <c r="A51" t="s">
        <v>24</v>
      </c>
      <c r="B51" t="s">
        <v>30</v>
      </c>
      <c r="C51">
        <v>48.57</v>
      </c>
      <c r="F51">
        <f>MIN(Table3[[#This Row],[GWh/d '[capacity map']]:[GWh/d '[transparency map']]])*365</f>
        <v>17728.05</v>
      </c>
      <c r="G51">
        <f t="shared" si="1"/>
        <v>17.72805</v>
      </c>
    </row>
    <row r="52" spans="1:7">
      <c r="A52" t="s">
        <v>24</v>
      </c>
      <c r="B52" t="s">
        <v>23</v>
      </c>
      <c r="C52">
        <v>7.7</v>
      </c>
      <c r="F52">
        <f>MIN(Table3[[#This Row],[GWh/d '[capacity map']]:[GWh/d '[transparency map']]])*365</f>
        <v>2810.5</v>
      </c>
      <c r="G52">
        <f t="shared" si="1"/>
        <v>2.8105000000000002</v>
      </c>
    </row>
    <row r="53" spans="1:7">
      <c r="A53" t="s">
        <v>30</v>
      </c>
      <c r="B53" t="s">
        <v>24</v>
      </c>
      <c r="C53">
        <v>77.400000000000006</v>
      </c>
      <c r="F53">
        <f>MIN(Table3[[#This Row],[GWh/d '[capacity map']]:[GWh/d '[transparency map']]])*365</f>
        <v>28251.000000000004</v>
      </c>
      <c r="G53">
        <f t="shared" si="1"/>
        <v>28.251000000000005</v>
      </c>
    </row>
    <row r="54" spans="1:7">
      <c r="A54" t="s">
        <v>30</v>
      </c>
      <c r="B54" t="s">
        <v>34</v>
      </c>
      <c r="C54">
        <v>77.5</v>
      </c>
      <c r="F54">
        <f>MIN(Table3[[#This Row],[GWh/d '[capacity map']]:[GWh/d '[transparency map']]])*365</f>
        <v>28287.5</v>
      </c>
      <c r="G54">
        <f t="shared" si="1"/>
        <v>28.287500000000001</v>
      </c>
    </row>
    <row r="55" spans="1:7">
      <c r="A55" t="s">
        <v>30</v>
      </c>
      <c r="B55" t="s">
        <v>31</v>
      </c>
      <c r="C55">
        <v>142</v>
      </c>
      <c r="D55">
        <v>142</v>
      </c>
      <c r="F55">
        <f>MIN(Table3[[#This Row],[GWh/d '[capacity map']]:[GWh/d '[transparency map']]])*365</f>
        <v>51830</v>
      </c>
      <c r="G55">
        <f t="shared" si="1"/>
        <v>51.83</v>
      </c>
    </row>
    <row r="56" spans="1:7">
      <c r="A56" t="s">
        <v>30</v>
      </c>
      <c r="B56" t="s">
        <v>29</v>
      </c>
      <c r="C56">
        <v>50.883000000000003</v>
      </c>
      <c r="F56">
        <f>MIN(Table3[[#This Row],[GWh/d '[capacity map']]:[GWh/d '[transparency map']]])*365</f>
        <v>18572.295000000002</v>
      </c>
      <c r="G56">
        <f t="shared" si="1"/>
        <v>18.572295</v>
      </c>
    </row>
    <row r="57" spans="1:7">
      <c r="A57" t="s">
        <v>21</v>
      </c>
      <c r="B57" t="s">
        <v>20</v>
      </c>
      <c r="C57">
        <v>193.5</v>
      </c>
      <c r="F57">
        <f>MIN(Table3[[#This Row],[GWh/d '[capacity map']]:[GWh/d '[transparency map']]])*365</f>
        <v>70627.5</v>
      </c>
      <c r="G57">
        <f t="shared" si="1"/>
        <v>70.627499999999998</v>
      </c>
    </row>
    <row r="58" spans="1:7">
      <c r="A58" t="s">
        <v>21</v>
      </c>
      <c r="B58" t="s">
        <v>22</v>
      </c>
      <c r="C58">
        <v>431.4</v>
      </c>
      <c r="F58">
        <f>MIN(Table3[[#This Row],[GWh/d '[capacity map']]:[GWh/d '[transparency map']]])*365</f>
        <v>157461</v>
      </c>
      <c r="G58">
        <f t="shared" si="1"/>
        <v>157.46100000000001</v>
      </c>
    </row>
    <row r="59" spans="1:7">
      <c r="A59" t="s">
        <v>21</v>
      </c>
      <c r="B59" t="s">
        <v>23</v>
      </c>
      <c r="C59">
        <v>28.5</v>
      </c>
      <c r="F59">
        <f>MIN(Table3[[#This Row],[GWh/d '[capacity map']]:[GWh/d '[transparency map']]])*365</f>
        <v>10402.5</v>
      </c>
      <c r="G59">
        <f t="shared" si="1"/>
        <v>10.4025</v>
      </c>
    </row>
    <row r="60" spans="1:7">
      <c r="A60" t="s">
        <v>35</v>
      </c>
      <c r="B60" t="s">
        <v>36</v>
      </c>
      <c r="C60">
        <v>67.599999999999994</v>
      </c>
      <c r="F60">
        <f>MIN(Table3[[#This Row],[GWh/d '[capacity map']]:[GWh/d '[transparency map']]])*365</f>
        <v>24673.999999999996</v>
      </c>
      <c r="G60">
        <f t="shared" si="1"/>
        <v>24.673999999999996</v>
      </c>
    </row>
    <row r="61" spans="1:7">
      <c r="A61" t="s">
        <v>35</v>
      </c>
      <c r="B61" t="s">
        <v>41</v>
      </c>
      <c r="C61">
        <v>114.2</v>
      </c>
      <c r="F61">
        <f>MIN(Table3[[#This Row],[GWh/d '[capacity map']]:[GWh/d '[transparency map']]])*365</f>
        <v>41683</v>
      </c>
      <c r="G61">
        <f t="shared" si="1"/>
        <v>41.683</v>
      </c>
    </row>
    <row r="62" spans="1:7">
      <c r="A62" t="s">
        <v>43</v>
      </c>
      <c r="B62" t="s">
        <v>17</v>
      </c>
      <c r="E62">
        <v>41.973541999999995</v>
      </c>
      <c r="F62">
        <f>MIN(Table3[[#This Row],[GWh/d '[capacity map']]:[GWh/d '[transparency map']]])*365</f>
        <v>15320.342829999998</v>
      </c>
      <c r="G62">
        <f t="shared" si="1"/>
        <v>15.320342829999998</v>
      </c>
    </row>
    <row r="63" spans="1:7">
      <c r="A63" t="s">
        <v>36</v>
      </c>
      <c r="B63" t="s">
        <v>54</v>
      </c>
      <c r="E63">
        <v>67.7</v>
      </c>
      <c r="F63">
        <f>MIN(Table3[[#This Row],[GWh/d '[capacity map']]:[GWh/d '[transparency map']]])*365</f>
        <v>24710.5</v>
      </c>
      <c r="G63">
        <f t="shared" si="1"/>
        <v>24.7105</v>
      </c>
    </row>
    <row r="64" spans="1:7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7">
      <c r="A65" t="s">
        <v>36</v>
      </c>
      <c r="B65" t="s">
        <v>41</v>
      </c>
      <c r="C65">
        <v>85</v>
      </c>
      <c r="D65">
        <v>118</v>
      </c>
      <c r="F65">
        <f>MIN(Table3[[#This Row],[GWh/d '[capacity map']]:[GWh/d '[transparency map']]])*365</f>
        <v>31025</v>
      </c>
      <c r="G65">
        <f t="shared" ref="G65:G95" si="2">F65/1000</f>
        <v>31.024999999999999</v>
      </c>
    </row>
    <row r="66" spans="1:7">
      <c r="A66" t="s">
        <v>52</v>
      </c>
      <c r="B66" t="s">
        <v>21</v>
      </c>
      <c r="C66">
        <v>475.8</v>
      </c>
      <c r="D66">
        <v>493.7</v>
      </c>
      <c r="F66">
        <f>MIN(Table3[[#This Row],[GWh/d '[capacity map']]:[GWh/d '[transparency map']]])*365</f>
        <v>173667</v>
      </c>
      <c r="G66">
        <f t="shared" si="2"/>
        <v>173.667</v>
      </c>
    </row>
    <row r="67" spans="1:7">
      <c r="A67" t="s">
        <v>97</v>
      </c>
      <c r="B67" t="s">
        <v>37</v>
      </c>
      <c r="D67">
        <v>442.8</v>
      </c>
      <c r="F67">
        <f>MIN(Table3[[#This Row],[GWh/d '[capacity map']]:[GWh/d '[transparency map']]])*365</f>
        <v>161622</v>
      </c>
      <c r="G67">
        <f t="shared" si="2"/>
        <v>161.62200000000001</v>
      </c>
    </row>
    <row r="68" spans="1:7">
      <c r="A68" t="s">
        <v>40</v>
      </c>
      <c r="B68" t="s">
        <v>34</v>
      </c>
      <c r="C68">
        <v>2.2000000000000002</v>
      </c>
      <c r="F68">
        <f>MIN(Table3[[#This Row],[GWh/d '[capacity map']]:[GWh/d '[transparency map']]])*365</f>
        <v>803.00000000000011</v>
      </c>
      <c r="G68">
        <f t="shared" si="2"/>
        <v>0.80300000000000016</v>
      </c>
    </row>
    <row r="69" spans="1:7">
      <c r="A69" t="s">
        <v>40</v>
      </c>
      <c r="B69" t="s">
        <v>39</v>
      </c>
      <c r="E69">
        <v>80.846503979999994</v>
      </c>
      <c r="F69">
        <f>MIN(Table3[[#This Row],[GWh/d '[capacity map']]:[GWh/d '[transparency map']]])*365</f>
        <v>29508.973952699998</v>
      </c>
      <c r="G69">
        <f t="shared" si="2"/>
        <v>29.5089739527</v>
      </c>
    </row>
    <row r="70" spans="1:7">
      <c r="A70" t="s">
        <v>18</v>
      </c>
      <c r="B70" t="s">
        <v>17</v>
      </c>
      <c r="C70">
        <v>1397.2</v>
      </c>
      <c r="F70">
        <f>MIN(Table3[[#This Row],[GWh/d '[capacity map']]:[GWh/d '[transparency map']]])*365</f>
        <v>509978</v>
      </c>
      <c r="G70">
        <f t="shared" si="2"/>
        <v>509.97800000000001</v>
      </c>
    </row>
    <row r="71" spans="1:7">
      <c r="A71" t="s">
        <v>18</v>
      </c>
      <c r="B71" t="s">
        <v>19</v>
      </c>
      <c r="C71">
        <v>1925.7729999999999</v>
      </c>
      <c r="F71">
        <f>MIN(Table3[[#This Row],[GWh/d '[capacity map']]:[GWh/d '[transparency map']]])*365</f>
        <v>702907.14500000002</v>
      </c>
      <c r="G71">
        <f t="shared" si="2"/>
        <v>702.90714500000001</v>
      </c>
    </row>
    <row r="72" spans="1:7">
      <c r="A72" t="s">
        <v>18</v>
      </c>
      <c r="B72" t="s">
        <v>11</v>
      </c>
      <c r="C72">
        <v>494.4</v>
      </c>
      <c r="F72">
        <f>MIN(Table3[[#This Row],[GWh/d '[capacity map']]:[GWh/d '[transparency map']]])*365</f>
        <v>180456</v>
      </c>
      <c r="G72">
        <f t="shared" si="2"/>
        <v>180.45599999999999</v>
      </c>
    </row>
    <row r="73" spans="1:7">
      <c r="A73" t="s">
        <v>49</v>
      </c>
      <c r="B73" t="s">
        <v>17</v>
      </c>
      <c r="C73">
        <v>488</v>
      </c>
      <c r="D73">
        <v>459.6</v>
      </c>
      <c r="F73">
        <f>MIN(Table3[[#This Row],[GWh/d '[capacity map']]:[GWh/d '[transparency map']]])*365</f>
        <v>167754</v>
      </c>
      <c r="G73">
        <f t="shared" si="2"/>
        <v>167.75399999999999</v>
      </c>
    </row>
    <row r="74" spans="1:7">
      <c r="A74" t="s">
        <v>49</v>
      </c>
      <c r="B74" t="s">
        <v>19</v>
      </c>
      <c r="C74">
        <v>2210.5639999999999</v>
      </c>
      <c r="D74">
        <v>1247</v>
      </c>
      <c r="F74">
        <f>MIN(Table3[[#This Row],[GWh/d '[capacity map']]:[GWh/d '[transparency map']]])*365</f>
        <v>455155</v>
      </c>
      <c r="G74">
        <f t="shared" si="2"/>
        <v>455.15499999999997</v>
      </c>
    </row>
    <row r="75" spans="1:7">
      <c r="A75" t="s">
        <v>49</v>
      </c>
      <c r="B75" t="s">
        <v>25</v>
      </c>
      <c r="C75">
        <v>570</v>
      </c>
      <c r="D75">
        <v>568.5</v>
      </c>
      <c r="F75">
        <f>MIN(Table3[[#This Row],[GWh/d '[capacity map']]:[GWh/d '[transparency map']]])*365</f>
        <v>207502.5</v>
      </c>
      <c r="G75">
        <f t="shared" si="2"/>
        <v>207.5025</v>
      </c>
    </row>
    <row r="76" spans="1:7">
      <c r="A76" t="s">
        <v>49</v>
      </c>
      <c r="B76" t="s">
        <v>18</v>
      </c>
      <c r="D76">
        <v>963.6</v>
      </c>
      <c r="F76">
        <f>MIN(Table3[[#This Row],[GWh/d '[capacity map']]:[GWh/d '[transparency map']]])*365</f>
        <v>351714</v>
      </c>
      <c r="G76">
        <f t="shared" si="2"/>
        <v>351.714</v>
      </c>
    </row>
    <row r="77" spans="1:7">
      <c r="A77" t="s">
        <v>49</v>
      </c>
      <c r="B77" t="s">
        <v>11</v>
      </c>
      <c r="C77">
        <v>1499.1</v>
      </c>
      <c r="D77">
        <v>1406</v>
      </c>
      <c r="F77">
        <f>MIN(Table3[[#This Row],[GWh/d '[capacity map']]:[GWh/d '[transparency map']]])*365</f>
        <v>513190</v>
      </c>
      <c r="G77">
        <f t="shared" si="2"/>
        <v>513.19000000000005</v>
      </c>
    </row>
    <row r="78" spans="1:7">
      <c r="A78" t="s">
        <v>27</v>
      </c>
      <c r="B78" t="s">
        <v>19</v>
      </c>
      <c r="C78">
        <v>931.6</v>
      </c>
      <c r="F78">
        <f>MIN(Table3[[#This Row],[GWh/d '[capacity map']]:[GWh/d '[transparency map']]])*365</f>
        <v>340034</v>
      </c>
      <c r="G78">
        <f t="shared" si="2"/>
        <v>340.03399999999999</v>
      </c>
    </row>
    <row r="79" spans="1:7">
      <c r="A79" t="s">
        <v>38</v>
      </c>
      <c r="B79" t="s">
        <v>37</v>
      </c>
      <c r="C79">
        <v>80</v>
      </c>
      <c r="F79">
        <f>MIN(Table3[[#This Row],[GWh/d '[capacity map']]:[GWh/d '[transparency map']]])*365</f>
        <v>29200</v>
      </c>
      <c r="G79">
        <f t="shared" si="2"/>
        <v>29.2</v>
      </c>
    </row>
    <row r="80" spans="1:7">
      <c r="A80" t="s">
        <v>34</v>
      </c>
      <c r="B80" t="s">
        <v>32</v>
      </c>
      <c r="C80">
        <v>805.75000000000011</v>
      </c>
      <c r="F80">
        <f>MIN(Table3[[#This Row],[GWh/d '[capacity map']]:[GWh/d '[transparency map']]])*365</f>
        <v>294098.75000000006</v>
      </c>
      <c r="G80">
        <f t="shared" si="2"/>
        <v>294.09875000000005</v>
      </c>
    </row>
    <row r="81" spans="1:8">
      <c r="A81" t="s">
        <v>34</v>
      </c>
      <c r="B81" t="s">
        <v>30</v>
      </c>
      <c r="C81">
        <v>50.3</v>
      </c>
      <c r="F81">
        <f>MIN(Table3[[#This Row],[GWh/d '[capacity map']]:[GWh/d '[transparency map']]])*365</f>
        <v>18359.5</v>
      </c>
      <c r="G81">
        <f t="shared" si="2"/>
        <v>18.359500000000001</v>
      </c>
    </row>
    <row r="82" spans="1:8">
      <c r="A82" t="s">
        <v>34</v>
      </c>
      <c r="B82" t="s">
        <v>40</v>
      </c>
      <c r="C82">
        <v>16.100000000000001</v>
      </c>
      <c r="E82">
        <v>55.7</v>
      </c>
      <c r="F82">
        <f>MIN(Table3[[#This Row],[GWh/d '[capacity map']]:[GWh/d '[transparency map']]])*365</f>
        <v>5876.5000000000009</v>
      </c>
      <c r="G82">
        <f t="shared" si="2"/>
        <v>5.8765000000000009</v>
      </c>
    </row>
    <row r="83" spans="1:8">
      <c r="A83" t="s">
        <v>34</v>
      </c>
      <c r="B83" t="s">
        <v>39</v>
      </c>
      <c r="C83">
        <v>122.2</v>
      </c>
      <c r="F83">
        <f>MIN(Table3[[#This Row],[GWh/d '[capacity map']]:[GWh/d '[transparency map']]])*365</f>
        <v>44603</v>
      </c>
      <c r="G83">
        <f t="shared" si="2"/>
        <v>44.603000000000002</v>
      </c>
    </row>
    <row r="84" spans="1:8">
      <c r="A84" t="s">
        <v>31</v>
      </c>
      <c r="B84" t="s">
        <v>45</v>
      </c>
      <c r="C84">
        <v>17.98</v>
      </c>
      <c r="F84">
        <f>MIN(Table3[[#This Row],[GWh/d '[capacity map']]:[GWh/d '[transparency map']]])*365</f>
        <v>6562.7</v>
      </c>
      <c r="G84">
        <f t="shared" si="2"/>
        <v>6.5626999999999995</v>
      </c>
    </row>
    <row r="85" spans="1:8">
      <c r="A85" t="s">
        <v>31</v>
      </c>
      <c r="B85" t="s">
        <v>32</v>
      </c>
      <c r="C85">
        <v>335.26</v>
      </c>
      <c r="F85">
        <f>MIN(Table3[[#This Row],[GWh/d '[capacity map']]:[GWh/d '[transparency map']]])*365</f>
        <v>122369.9</v>
      </c>
      <c r="G85">
        <f t="shared" si="2"/>
        <v>122.3699</v>
      </c>
    </row>
    <row r="86" spans="1:8">
      <c r="A86" t="s">
        <v>31</v>
      </c>
      <c r="B86" t="s">
        <v>30</v>
      </c>
      <c r="D86">
        <v>245.8</v>
      </c>
      <c r="F86">
        <f>MIN(Table3[[#This Row],[GWh/d '[capacity map']]:[GWh/d '[transparency map']]])*365</f>
        <v>89717</v>
      </c>
      <c r="G86">
        <f t="shared" si="2"/>
        <v>89.716999999999999</v>
      </c>
    </row>
    <row r="87" spans="1:8">
      <c r="A87" t="s">
        <v>41</v>
      </c>
      <c r="B87" t="s">
        <v>53</v>
      </c>
      <c r="C87">
        <v>1203.4999999999998</v>
      </c>
      <c r="F87">
        <f>MIN(Table3[[#This Row],[GWh/d '[capacity map']]:[GWh/d '[transparency map']]])*365</f>
        <v>439277.49999999994</v>
      </c>
      <c r="G87">
        <f t="shared" si="2"/>
        <v>439.27749999999992</v>
      </c>
    </row>
    <row r="88" spans="1:8">
      <c r="A88" t="s">
        <v>41</v>
      </c>
      <c r="B88" t="s">
        <v>19</v>
      </c>
      <c r="C88">
        <v>1742</v>
      </c>
      <c r="D88">
        <v>1406</v>
      </c>
      <c r="F88">
        <f>MIN(Table3[[#This Row],[GWh/d '[capacity map']]:[GWh/d '[transparency map']]])*365</f>
        <v>513190</v>
      </c>
      <c r="G88">
        <f t="shared" si="2"/>
        <v>513.19000000000005</v>
      </c>
    </row>
    <row r="89" spans="1:8">
      <c r="A89" t="s">
        <v>41</v>
      </c>
      <c r="B89" t="s">
        <v>55</v>
      </c>
      <c r="C89">
        <v>220</v>
      </c>
      <c r="D89">
        <v>220</v>
      </c>
      <c r="F89">
        <f>MIN(Table3[[#This Row],[GWh/d '[capacity map']]:[GWh/d '[transparency map']]])*365</f>
        <v>80300</v>
      </c>
      <c r="G89">
        <f t="shared" si="2"/>
        <v>80.3</v>
      </c>
    </row>
    <row r="90" spans="1:8">
      <c r="A90" t="s">
        <v>41</v>
      </c>
      <c r="B90" t="s">
        <v>36</v>
      </c>
      <c r="C90">
        <v>168</v>
      </c>
      <c r="D90">
        <v>168</v>
      </c>
      <c r="F90">
        <f>MIN(Table3[[#This Row],[GWh/d '[capacity map']]:[GWh/d '[transparency map']]])*365</f>
        <v>61320</v>
      </c>
      <c r="G90">
        <f t="shared" si="2"/>
        <v>61.32</v>
      </c>
    </row>
    <row r="91" spans="1:8">
      <c r="A91" t="s">
        <v>41</v>
      </c>
      <c r="B91" t="s">
        <v>47</v>
      </c>
      <c r="E91">
        <v>958.9</v>
      </c>
      <c r="F91">
        <f>MIN(Table3[[#This Row],[GWh/d '[capacity map']]:[GWh/d '[transparency map']]])*365</f>
        <v>349998.5</v>
      </c>
      <c r="G91">
        <f t="shared" si="2"/>
        <v>349.99849999999998</v>
      </c>
      <c r="H91" t="s">
        <v>142</v>
      </c>
    </row>
    <row r="92" spans="1:8">
      <c r="A92" t="s">
        <v>41</v>
      </c>
      <c r="B92" t="s">
        <v>39</v>
      </c>
      <c r="D92">
        <v>1334</v>
      </c>
      <c r="E92">
        <v>5459.5088498999994</v>
      </c>
      <c r="F92">
        <f>MIN(Table3[[#This Row],[GWh/d '[capacity map']]:[GWh/d '[transparency map']]])*365</f>
        <v>486910</v>
      </c>
      <c r="G92">
        <f t="shared" si="2"/>
        <v>486.91</v>
      </c>
    </row>
    <row r="93" spans="1:8">
      <c r="A93" t="s">
        <v>23</v>
      </c>
      <c r="B93" t="s">
        <v>24</v>
      </c>
      <c r="C93">
        <v>53.7</v>
      </c>
      <c r="F93">
        <f>MIN(Table3[[#This Row],[GWh/d '[capacity map']]:[GWh/d '[transparency map']]])*365</f>
        <v>19600.5</v>
      </c>
      <c r="G93">
        <f t="shared" si="2"/>
        <v>19.6005</v>
      </c>
    </row>
    <row r="94" spans="1:8">
      <c r="A94" t="s">
        <v>23</v>
      </c>
      <c r="B94" t="s">
        <v>21</v>
      </c>
      <c r="C94">
        <v>21.5</v>
      </c>
      <c r="F94">
        <f>MIN(Table3[[#This Row],[GWh/d '[capacity map']]:[GWh/d '[transparency map']]])*365</f>
        <v>7847.5</v>
      </c>
      <c r="G94">
        <f t="shared" si="2"/>
        <v>7.8475000000000001</v>
      </c>
    </row>
    <row r="95" spans="1:8">
      <c r="A95" t="s">
        <v>29</v>
      </c>
      <c r="B95" t="s">
        <v>20</v>
      </c>
      <c r="C95">
        <v>1570.4</v>
      </c>
      <c r="F95">
        <f>MIN(Table3[[#This Row],[GWh/d '[capacity map']]:[GWh/d '[transparency map']]])*365</f>
        <v>573196</v>
      </c>
      <c r="G95">
        <f t="shared" si="2"/>
        <v>573.19600000000003</v>
      </c>
    </row>
    <row r="96" spans="1:8">
      <c r="A96" t="s">
        <v>29</v>
      </c>
      <c r="B96" t="s">
        <v>28</v>
      </c>
      <c r="C96">
        <v>457.6</v>
      </c>
      <c r="F96">
        <f>MIN(Table3[[#This Row],[GWh/d '[capacity map']]:[GWh/d '[transparency map']]])*365</f>
        <v>167024</v>
      </c>
      <c r="G96">
        <f t="shared" ref="G96:G109" si="3">F96/1000</f>
        <v>167.024</v>
      </c>
    </row>
    <row r="97" spans="1:7">
      <c r="A97" t="s">
        <v>29</v>
      </c>
      <c r="B97" t="s">
        <v>30</v>
      </c>
      <c r="C97">
        <v>128.9</v>
      </c>
      <c r="F97">
        <f>MIN(Table3[[#This Row],[GWh/d '[capacity map']]:[GWh/d '[transparency map']]])*365</f>
        <v>47048.5</v>
      </c>
      <c r="G97">
        <f t="shared" si="3"/>
        <v>47.048499999999997</v>
      </c>
    </row>
    <row r="98" spans="1:7">
      <c r="A98" t="s">
        <v>29</v>
      </c>
      <c r="B98" t="s">
        <v>39</v>
      </c>
      <c r="C98">
        <v>416</v>
      </c>
      <c r="D98">
        <v>280.8</v>
      </c>
      <c r="F98">
        <f>MIN(Table3[[#This Row],[GWh/d '[capacity map']]:[GWh/d '[transparency map']]])*365</f>
        <v>102492</v>
      </c>
      <c r="G98">
        <f t="shared" si="3"/>
        <v>102.492</v>
      </c>
    </row>
    <row r="99" spans="1:7">
      <c r="A99" t="s">
        <v>51</v>
      </c>
      <c r="B99" t="s">
        <v>21</v>
      </c>
      <c r="C99">
        <v>1138.0999999999999</v>
      </c>
      <c r="D99">
        <v>1154</v>
      </c>
      <c r="F99">
        <f>MIN(Table3[[#This Row],[GWh/d '[capacity map']]:[GWh/d '[transparency map']]])*365</f>
        <v>415406.49999999994</v>
      </c>
      <c r="G99">
        <f t="shared" si="3"/>
        <v>415.40649999999994</v>
      </c>
    </row>
    <row r="100" spans="1:7">
      <c r="A100" t="s">
        <v>47</v>
      </c>
      <c r="B100" t="s">
        <v>32</v>
      </c>
      <c r="C100">
        <v>576.03</v>
      </c>
      <c r="D100">
        <v>701.8</v>
      </c>
      <c r="F100">
        <f>MIN(Table3[[#This Row],[GWh/d '[capacity map']]:[GWh/d '[transparency map']]])*365</f>
        <v>210250.94999999998</v>
      </c>
      <c r="G100">
        <f t="shared" si="3"/>
        <v>210.25094999999999</v>
      </c>
    </row>
    <row r="101" spans="1:7">
      <c r="A101" t="s">
        <v>47</v>
      </c>
      <c r="B101" t="s">
        <v>265</v>
      </c>
      <c r="C101">
        <v>398.6</v>
      </c>
      <c r="D101">
        <v>395</v>
      </c>
      <c r="F101">
        <f>MIN(Table3[[#This Row],[GWh/d '[capacity map']]:[GWh/d '[transparency map']]])*365</f>
        <v>144175</v>
      </c>
      <c r="G101">
        <f t="shared" si="3"/>
        <v>144.17500000000001</v>
      </c>
    </row>
    <row r="102" spans="1:7">
      <c r="A102" t="s">
        <v>39</v>
      </c>
      <c r="B102" t="s">
        <v>30</v>
      </c>
      <c r="C102">
        <v>515.6</v>
      </c>
      <c r="D102">
        <v>517.5</v>
      </c>
      <c r="F102">
        <f>MIN(Table3[[#This Row],[GWh/d '[capacity map']]:[GWh/d '[transparency map']]])*365</f>
        <v>188194</v>
      </c>
      <c r="G102">
        <f t="shared" si="3"/>
        <v>188.19399999999999</v>
      </c>
    </row>
    <row r="103" spans="1:7">
      <c r="A103" t="s">
        <v>39</v>
      </c>
      <c r="B103" t="s">
        <v>40</v>
      </c>
      <c r="E103">
        <v>255.46047452000005</v>
      </c>
      <c r="F103">
        <f>MIN(Table3[[#This Row],[GWh/d '[capacity map']]:[GWh/d '[transparency map']]])*365</f>
        <v>93243.073199800012</v>
      </c>
      <c r="G103">
        <f t="shared" si="3"/>
        <v>93.243073199800008</v>
      </c>
    </row>
    <row r="104" spans="1:7">
      <c r="A104" t="s">
        <v>39</v>
      </c>
      <c r="B104" t="s">
        <v>27</v>
      </c>
      <c r="C104">
        <v>135.6</v>
      </c>
      <c r="D104">
        <v>135.6</v>
      </c>
      <c r="F104">
        <f>MIN(Table3[[#This Row],[GWh/d '[capacity map']]:[GWh/d '[transparency map']]])*365</f>
        <v>49494</v>
      </c>
      <c r="G104">
        <f t="shared" si="3"/>
        <v>49.494</v>
      </c>
    </row>
    <row r="105" spans="1:7">
      <c r="A105" t="s">
        <v>39</v>
      </c>
      <c r="B105" t="s">
        <v>34</v>
      </c>
      <c r="C105">
        <v>1163.4000000000001</v>
      </c>
      <c r="D105">
        <v>201.6</v>
      </c>
      <c r="F105">
        <f>MIN(Table3[[#This Row],[GWh/d '[capacity map']]:[GWh/d '[transparency map']]])*365</f>
        <v>73584</v>
      </c>
      <c r="G105">
        <f t="shared" si="3"/>
        <v>73.584000000000003</v>
      </c>
    </row>
    <row r="106" spans="1:7">
      <c r="A106" t="s">
        <v>39</v>
      </c>
      <c r="B106" t="s">
        <v>29</v>
      </c>
      <c r="C106">
        <v>2277.6</v>
      </c>
      <c r="D106">
        <f>1799+436.8</f>
        <v>2235.8000000000002</v>
      </c>
      <c r="F106">
        <f>MIN(Table3[[#This Row],[GWh/d '[capacity map']]:[GWh/d '[transparency map']]])*365</f>
        <v>816067.00000000012</v>
      </c>
      <c r="G106">
        <f t="shared" si="3"/>
        <v>816.06700000000012</v>
      </c>
    </row>
    <row r="107" spans="1:7">
      <c r="A107" t="s">
        <v>11</v>
      </c>
      <c r="B107" t="s">
        <v>17</v>
      </c>
      <c r="D107">
        <v>227.2</v>
      </c>
      <c r="F107">
        <f>MIN(Table3[[#This Row],[GWh/d '[capacity map']]:[GWh/d '[transparency map']]])*365</f>
        <v>82928</v>
      </c>
      <c r="G107">
        <f t="shared" si="3"/>
        <v>82.927999999999997</v>
      </c>
    </row>
    <row r="108" spans="1:7">
      <c r="A108" t="s">
        <v>11</v>
      </c>
      <c r="B108" t="s">
        <v>44</v>
      </c>
      <c r="C108">
        <v>386.9</v>
      </c>
      <c r="D108">
        <v>385</v>
      </c>
      <c r="F108">
        <f>MIN(Table3[[#This Row],[GWh/d '[capacity map']]:[GWh/d '[transparency map']]])*365</f>
        <v>140525</v>
      </c>
      <c r="G108">
        <f t="shared" si="3"/>
        <v>140.52500000000001</v>
      </c>
    </row>
    <row r="109" spans="1:7">
      <c r="A109" t="s">
        <v>11</v>
      </c>
      <c r="B109" t="s">
        <v>18</v>
      </c>
      <c r="C109">
        <v>494.4</v>
      </c>
      <c r="D109">
        <v>184.8</v>
      </c>
      <c r="F109">
        <f>MIN(Table3[[#This Row],[GWh/d '[capacity map']]:[GWh/d '[transparency map']]])*365</f>
        <v>67452</v>
      </c>
      <c r="G109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8" workbookViewId="0">
      <selection activeCell="O22" sqref="O22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106</v>
      </c>
      <c r="E1" t="s">
        <v>107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173</v>
      </c>
      <c r="B3" t="s">
        <v>47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97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98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265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47</v>
      </c>
      <c r="B27" t="s">
        <v>265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97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124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125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126</v>
      </c>
    </row>
    <row r="31" spans="1:6">
      <c r="A31" t="s">
        <v>41</v>
      </c>
      <c r="B31" t="s">
        <v>53</v>
      </c>
      <c r="F31" t="s">
        <v>127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99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99</v>
      </c>
    </row>
    <row r="37" spans="1:6">
      <c r="A37" t="s">
        <v>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5"/>
  <sheetViews>
    <sheetView topLeftCell="A16" workbookViewId="0">
      <selection activeCell="A24" sqref="A24:XFD24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139</v>
      </c>
      <c r="D1" t="s">
        <v>140</v>
      </c>
      <c r="E1" t="s">
        <v>141</v>
      </c>
      <c r="F1" t="s">
        <v>106</v>
      </c>
      <c r="G1" t="s">
        <v>107</v>
      </c>
      <c r="H1" t="s">
        <v>143</v>
      </c>
    </row>
    <row r="2" spans="1:8">
      <c r="A2" t="s">
        <v>42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2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43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265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46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34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47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149</v>
      </c>
    </row>
    <row r="18" spans="1:8">
      <c r="A18" t="s">
        <v>53</v>
      </c>
      <c r="B18" t="s">
        <v>35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149</v>
      </c>
    </row>
    <row r="19" spans="1:8">
      <c r="A19" t="s">
        <v>53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149</v>
      </c>
    </row>
    <row r="20" spans="1:8">
      <c r="A20" t="s">
        <v>53</v>
      </c>
      <c r="B20" t="s">
        <v>39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43</v>
      </c>
      <c r="C33">
        <v>24</v>
      </c>
      <c r="F33">
        <f>MIN(Table37[[#This Row],[GWh/d '[capacity map']]:[GWh/d '[transparency map']]])*365</f>
        <v>8760</v>
      </c>
      <c r="G33">
        <f t="shared" ref="G33:G64" si="1">F33/1000</f>
        <v>8.76</v>
      </c>
    </row>
    <row r="34" spans="1:8">
      <c r="A34" t="s">
        <v>19</v>
      </c>
      <c r="B34" t="s">
        <v>18</v>
      </c>
      <c r="C34">
        <v>1513.9</v>
      </c>
      <c r="F34">
        <f>MIN(Table37[[#This Row],[GWh/d '[capacity map']]:[GWh/d '[transparency map']]])*365</f>
        <v>552573.5</v>
      </c>
      <c r="G34">
        <f t="shared" si="1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MIN(Table37[[#This Row],[GWh/d '[capacity map']]:[GWh/d '[transparency map']]])*365</f>
        <v>119092.2</v>
      </c>
      <c r="G35">
        <f t="shared" si="1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MIN(Table37[[#This Row],[GWh/d '[capacity map']]:[GWh/d '[transparency map']]])*365</f>
        <v>5730.5</v>
      </c>
      <c r="G36">
        <f t="shared" si="1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MIN(Table37[[#This Row],[GWh/d '[capacity map']]:[GWh/d '[transparency map']]])*365</f>
        <v>117384.00000000001</v>
      </c>
      <c r="G37">
        <f t="shared" si="1"/>
        <v>117.38400000000001</v>
      </c>
    </row>
    <row r="38" spans="1:8">
      <c r="A38" t="s">
        <v>26</v>
      </c>
      <c r="B38" t="s">
        <v>83</v>
      </c>
      <c r="E38">
        <v>30</v>
      </c>
      <c r="F38">
        <f>MIN(Table37[[#This Row],[GWh/d '[capacity map']]:[GWh/d '[transparency map']]])*365</f>
        <v>10950</v>
      </c>
      <c r="G38">
        <f t="shared" si="1"/>
        <v>10.95</v>
      </c>
      <c r="H38" t="s">
        <v>146</v>
      </c>
    </row>
    <row r="39" spans="1:8">
      <c r="A39" t="s">
        <v>50</v>
      </c>
      <c r="B39" t="s">
        <v>37</v>
      </c>
      <c r="C39">
        <v>337.12</v>
      </c>
      <c r="D39">
        <v>337.1</v>
      </c>
      <c r="F39">
        <f>MIN(Table37[[#This Row],[GWh/d '[capacity map']]:[GWh/d '[transparency map']]])*365</f>
        <v>123041.50000000001</v>
      </c>
      <c r="G39">
        <f t="shared" si="1"/>
        <v>123.04150000000001</v>
      </c>
    </row>
    <row r="40" spans="1:8">
      <c r="A40" t="s">
        <v>50</v>
      </c>
      <c r="B40" t="s">
        <v>97</v>
      </c>
      <c r="D40">
        <v>31.92</v>
      </c>
      <c r="F40">
        <f>MIN(Table37[[#This Row],[GWh/d '[capacity map']]:[GWh/d '[transparency map']]])*365</f>
        <v>11650.800000000001</v>
      </c>
      <c r="G40">
        <f t="shared" si="1"/>
        <v>11.6508</v>
      </c>
      <c r="H40" t="s">
        <v>147</v>
      </c>
    </row>
    <row r="41" spans="1:8">
      <c r="A41" t="s">
        <v>50</v>
      </c>
      <c r="B41" t="s">
        <v>51</v>
      </c>
      <c r="C41">
        <v>1154.47</v>
      </c>
      <c r="F41">
        <f>MIN(Table37[[#This Row],[GWh/d '[capacity map']]:[GWh/d '[transparency map']]])*365</f>
        <v>421381.55</v>
      </c>
      <c r="G41">
        <f t="shared" si="1"/>
        <v>421.38155</v>
      </c>
      <c r="H41" t="s">
        <v>145</v>
      </c>
    </row>
    <row r="42" spans="1:8">
      <c r="A42" t="s">
        <v>54</v>
      </c>
      <c r="B42" t="s">
        <v>55</v>
      </c>
      <c r="E42">
        <v>61.341321000000001</v>
      </c>
      <c r="F42">
        <f>MIN(Table37[[#This Row],[GWh/d '[capacity map']]:[GWh/d '[transparency map']]])*365</f>
        <v>22389.582165</v>
      </c>
      <c r="G42">
        <f t="shared" si="1"/>
        <v>22.389582165</v>
      </c>
    </row>
    <row r="43" spans="1:8">
      <c r="A43" t="s">
        <v>54</v>
      </c>
      <c r="B43" t="s">
        <v>36</v>
      </c>
      <c r="E43">
        <v>67.7</v>
      </c>
      <c r="F43">
        <f>MIN(Table37[[#This Row],[GWh/d '[capacity map']]:[GWh/d '[transparency map']]])*365</f>
        <v>24710.5</v>
      </c>
      <c r="G43">
        <f t="shared" si="1"/>
        <v>24.7105</v>
      </c>
    </row>
    <row r="44" spans="1:8">
      <c r="A44" t="s">
        <v>265</v>
      </c>
      <c r="B44" t="s">
        <v>42</v>
      </c>
      <c r="C44">
        <v>487.1</v>
      </c>
      <c r="F44">
        <f>MIN(Table37[[#This Row],[GWh/d '[capacity map']]:[GWh/d '[transparency map']]])*365</f>
        <v>177791.5</v>
      </c>
      <c r="G44">
        <f t="shared" si="1"/>
        <v>177.79150000000001</v>
      </c>
      <c r="H44" t="s">
        <v>144</v>
      </c>
    </row>
    <row r="45" spans="1:8">
      <c r="A45" t="s">
        <v>265</v>
      </c>
      <c r="B45" t="s">
        <v>32</v>
      </c>
      <c r="C45">
        <v>172.57</v>
      </c>
      <c r="F45">
        <f>MIN(Table37[[#This Row],[GWh/d '[capacity map']]:[GWh/d '[transparency map']]])*365</f>
        <v>62988.049999999996</v>
      </c>
      <c r="G45">
        <f t="shared" si="1"/>
        <v>62.988049999999994</v>
      </c>
    </row>
    <row r="46" spans="1:8">
      <c r="A46" t="s">
        <v>37</v>
      </c>
      <c r="B46" t="s">
        <v>25</v>
      </c>
      <c r="C46">
        <v>224.4</v>
      </c>
      <c r="F46">
        <f>MIN(Table37[[#This Row],[GWh/d '[capacity map']]:[GWh/d '[transparency map']]])*365</f>
        <v>81906</v>
      </c>
      <c r="G46">
        <f t="shared" si="1"/>
        <v>81.906000000000006</v>
      </c>
    </row>
    <row r="47" spans="1:8">
      <c r="A47" t="s">
        <v>37</v>
      </c>
      <c r="B47" t="s">
        <v>38</v>
      </c>
      <c r="C47">
        <v>144</v>
      </c>
      <c r="F47">
        <f>MIN(Table37[[#This Row],[GWh/d '[capacity map']]:[GWh/d '[transparency map']]])*365</f>
        <v>52560</v>
      </c>
      <c r="G47">
        <f t="shared" si="1"/>
        <v>52.56</v>
      </c>
    </row>
    <row r="48" spans="1:8">
      <c r="A48" t="s">
        <v>55</v>
      </c>
      <c r="B48" t="s">
        <v>54</v>
      </c>
      <c r="C48" s="5">
        <v>78</v>
      </c>
      <c r="E48">
        <v>32.802250000000008</v>
      </c>
      <c r="F48">
        <f>MIN(Table37[[#This Row],[GWh/d '[capacity map']]:[GWh/d '[transparency map']]])*365</f>
        <v>11972.821250000003</v>
      </c>
      <c r="G48">
        <f t="shared" si="1"/>
        <v>11.972821250000003</v>
      </c>
    </row>
    <row r="49" spans="1:8">
      <c r="A49" t="s">
        <v>25</v>
      </c>
      <c r="B49" t="s">
        <v>17</v>
      </c>
      <c r="C49">
        <v>270</v>
      </c>
      <c r="F49">
        <f>MIN(Table37[[#This Row],[GWh/d '[capacity map']]:[GWh/d '[transparency map']]])*365</f>
        <v>98550</v>
      </c>
      <c r="G49">
        <f t="shared" si="1"/>
        <v>98.55</v>
      </c>
    </row>
    <row r="50" spans="1:8">
      <c r="A50" t="s">
        <v>25</v>
      </c>
      <c r="B50" t="s">
        <v>22</v>
      </c>
      <c r="C50">
        <v>259.02</v>
      </c>
      <c r="F50">
        <f>MIN(Table37[[#This Row],[GWh/d '[capacity map']]:[GWh/d '[transparency map']]])*365</f>
        <v>94542.299999999988</v>
      </c>
      <c r="G50">
        <f t="shared" si="1"/>
        <v>94.542299999999983</v>
      </c>
    </row>
    <row r="51" spans="1:8">
      <c r="A51" t="s">
        <v>25</v>
      </c>
      <c r="B51" t="s">
        <v>19</v>
      </c>
      <c r="C51">
        <v>100</v>
      </c>
      <c r="F51">
        <f>MIN(Table37[[#This Row],[GWh/d '[capacity map']]:[GWh/d '[transparency map']]])*365</f>
        <v>36500</v>
      </c>
      <c r="G51">
        <f t="shared" si="1"/>
        <v>36.5</v>
      </c>
    </row>
    <row r="52" spans="1:8">
      <c r="A52" t="s">
        <v>25</v>
      </c>
      <c r="B52" t="s">
        <v>37</v>
      </c>
      <c r="C52">
        <v>164.57</v>
      </c>
      <c r="F52">
        <f>MIN(Table37[[#This Row],[GWh/d '[capacity map']]:[GWh/d '[transparency map']]])*365</f>
        <v>60068.049999999996</v>
      </c>
      <c r="G52">
        <f t="shared" si="1"/>
        <v>60.068049999999992</v>
      </c>
    </row>
    <row r="53" spans="1:8">
      <c r="A53" t="s">
        <v>24</v>
      </c>
      <c r="B53" t="s">
        <v>30</v>
      </c>
      <c r="C53">
        <v>50.9</v>
      </c>
      <c r="F53">
        <f>MIN(Table37[[#This Row],[GWh/d '[capacity map']]:[GWh/d '[transparency map']]])*365</f>
        <v>18578.5</v>
      </c>
      <c r="G53">
        <f t="shared" si="1"/>
        <v>18.578499999999998</v>
      </c>
    </row>
    <row r="54" spans="1:8">
      <c r="A54" t="s">
        <v>24</v>
      </c>
      <c r="B54" t="s">
        <v>23</v>
      </c>
      <c r="C54">
        <v>7.7</v>
      </c>
      <c r="F54">
        <f>MIN(Table37[[#This Row],[GWh/d '[capacity map']]:[GWh/d '[transparency map']]])*365</f>
        <v>2810.5</v>
      </c>
      <c r="G54">
        <f t="shared" si="1"/>
        <v>2.8105000000000002</v>
      </c>
    </row>
    <row r="55" spans="1:8">
      <c r="A55" t="s">
        <v>30</v>
      </c>
      <c r="B55" t="s">
        <v>24</v>
      </c>
      <c r="C55">
        <v>77.2</v>
      </c>
      <c r="F55">
        <f>MIN(Table37[[#This Row],[GWh/d '[capacity map']]:[GWh/d '[transparency map']]])*365</f>
        <v>28178</v>
      </c>
      <c r="G55">
        <f t="shared" si="1"/>
        <v>28.178000000000001</v>
      </c>
    </row>
    <row r="56" spans="1:8">
      <c r="A56" t="s">
        <v>30</v>
      </c>
      <c r="B56" t="s">
        <v>34</v>
      </c>
      <c r="C56">
        <v>77.459999999999994</v>
      </c>
      <c r="F56">
        <f>MIN(Table37[[#This Row],[GWh/d '[capacity map']]:[GWh/d '[transparency map']]])*365</f>
        <v>28272.899999999998</v>
      </c>
      <c r="G56">
        <f t="shared" si="1"/>
        <v>28.272899999999996</v>
      </c>
    </row>
    <row r="57" spans="1:8">
      <c r="A57" t="s">
        <v>30</v>
      </c>
      <c r="B57" t="s">
        <v>31</v>
      </c>
      <c r="C57">
        <v>141.97999999999999</v>
      </c>
      <c r="D57">
        <v>245.8</v>
      </c>
      <c r="F57">
        <f>MIN(Table37[[#This Row],[GWh/d '[capacity map']]:[GWh/d '[transparency map']]])*365</f>
        <v>51822.7</v>
      </c>
      <c r="G57">
        <f t="shared" si="1"/>
        <v>51.822699999999998</v>
      </c>
    </row>
    <row r="58" spans="1:8">
      <c r="A58" t="s">
        <v>30</v>
      </c>
      <c r="B58" t="s">
        <v>29</v>
      </c>
      <c r="C58">
        <v>50.88</v>
      </c>
      <c r="F58">
        <f>MIN(Table37[[#This Row],[GWh/d '[capacity map']]:[GWh/d '[transparency map']]])*365</f>
        <v>18571.2</v>
      </c>
      <c r="G58">
        <f t="shared" si="1"/>
        <v>18.571200000000001</v>
      </c>
    </row>
    <row r="59" spans="1:8">
      <c r="A59" t="s">
        <v>21</v>
      </c>
      <c r="B59" t="s">
        <v>20</v>
      </c>
      <c r="C59">
        <v>194.05</v>
      </c>
      <c r="F59">
        <f>MIN(Table37[[#This Row],[GWh/d '[capacity map']]:[GWh/d '[transparency map']]])*365</f>
        <v>70828.25</v>
      </c>
      <c r="G59">
        <f t="shared" si="1"/>
        <v>70.828249999999997</v>
      </c>
    </row>
    <row r="60" spans="1:8">
      <c r="A60" t="s">
        <v>21</v>
      </c>
      <c r="B60" t="s">
        <v>22</v>
      </c>
      <c r="C60">
        <v>387.85</v>
      </c>
      <c r="F60">
        <f>MIN(Table37[[#This Row],[GWh/d '[capacity map']]:[GWh/d '[transparency map']]])*365</f>
        <v>141565.25</v>
      </c>
      <c r="G60">
        <f t="shared" si="1"/>
        <v>141.56524999999999</v>
      </c>
    </row>
    <row r="61" spans="1:8">
      <c r="A61" t="s">
        <v>21</v>
      </c>
      <c r="B61" t="s">
        <v>23</v>
      </c>
      <c r="C61">
        <v>38.99</v>
      </c>
      <c r="F61">
        <f>MIN(Table37[[#This Row],[GWh/d '[capacity map']]:[GWh/d '[transparency map']]])*365</f>
        <v>14231.35</v>
      </c>
      <c r="G61">
        <f t="shared" si="1"/>
        <v>14.231350000000001</v>
      </c>
    </row>
    <row r="62" spans="1:8">
      <c r="A62" t="s">
        <v>35</v>
      </c>
      <c r="B62" t="s">
        <v>36</v>
      </c>
      <c r="C62">
        <v>90</v>
      </c>
      <c r="F62">
        <f>MIN(Table37[[#This Row],[GWh/d '[capacity map']]:[GWh/d '[transparency map']]])*365</f>
        <v>32850</v>
      </c>
      <c r="G62">
        <f t="shared" si="1"/>
        <v>32.85</v>
      </c>
    </row>
    <row r="63" spans="1:8">
      <c r="A63" t="s">
        <v>35</v>
      </c>
      <c r="B63" t="s">
        <v>27</v>
      </c>
      <c r="C63">
        <v>58.069200000000002</v>
      </c>
      <c r="F63">
        <f>MIN(Table37[[#This Row],[GWh/d '[capacity map']]:[GWh/d '[transparency map']]])*365</f>
        <v>21195.258000000002</v>
      </c>
      <c r="G63">
        <f t="shared" si="1"/>
        <v>21.195258000000003</v>
      </c>
    </row>
    <row r="64" spans="1:8">
      <c r="A64" t="s">
        <v>35</v>
      </c>
      <c r="B64" t="s">
        <v>41</v>
      </c>
      <c r="C64">
        <v>0</v>
      </c>
      <c r="F64">
        <f>MIN(Table37[[#This Row],[GWh/d '[capacity map']]:[GWh/d '[transparency map']]])*365</f>
        <v>0</v>
      </c>
      <c r="G64">
        <f t="shared" si="1"/>
        <v>0</v>
      </c>
      <c r="H64" t="s">
        <v>149</v>
      </c>
    </row>
    <row r="65" spans="1:8">
      <c r="A65" t="s">
        <v>43</v>
      </c>
      <c r="B65" t="s">
        <v>17</v>
      </c>
      <c r="E65">
        <v>41.973541999999995</v>
      </c>
      <c r="F65">
        <f>MIN(Table37[[#This Row],[GWh/d '[capacity map']]:[GWh/d '[transparency map']]])*365</f>
        <v>15320.342829999998</v>
      </c>
      <c r="G65">
        <f t="shared" ref="G65:G95" si="2">F65/1000</f>
        <v>15.320342829999998</v>
      </c>
    </row>
    <row r="66" spans="1:8">
      <c r="A66" t="s">
        <v>36</v>
      </c>
      <c r="B66" t="s">
        <v>54</v>
      </c>
      <c r="E66">
        <v>67.7</v>
      </c>
      <c r="F66">
        <f>MIN(Table37[[#This Row],[GWh/d '[capacity map']]:[GWh/d '[transparency map']]])*365</f>
        <v>24710.5</v>
      </c>
      <c r="G66">
        <f t="shared" si="2"/>
        <v>24.7105</v>
      </c>
    </row>
    <row r="67" spans="1:8">
      <c r="A67" t="s">
        <v>36</v>
      </c>
      <c r="B67" t="s">
        <v>35</v>
      </c>
      <c r="C67">
        <v>82</v>
      </c>
      <c r="F67">
        <f>MIN(Table37[[#This Row],[GWh/d '[capacity map']]:[GWh/d '[transparency map']]])*365</f>
        <v>29930</v>
      </c>
      <c r="G67">
        <f t="shared" si="2"/>
        <v>29.93</v>
      </c>
    </row>
    <row r="68" spans="1:8">
      <c r="A68" t="s">
        <v>36</v>
      </c>
      <c r="B68" t="s">
        <v>41</v>
      </c>
      <c r="D68">
        <v>0</v>
      </c>
      <c r="F68">
        <f>MIN(Table37[[#This Row],[GWh/d '[capacity map']]:[GWh/d '[transparency map']]])*365</f>
        <v>0</v>
      </c>
      <c r="G68">
        <f t="shared" si="2"/>
        <v>0</v>
      </c>
    </row>
    <row r="69" spans="1:8">
      <c r="A69" t="s">
        <v>52</v>
      </c>
      <c r="B69" t="s">
        <v>21</v>
      </c>
      <c r="D69">
        <v>493.7</v>
      </c>
      <c r="F69">
        <f>MIN(Table37[[#This Row],[GWh/d '[capacity map']]:[GWh/d '[transparency map']]])*365</f>
        <v>180200.5</v>
      </c>
      <c r="G69">
        <f t="shared" si="2"/>
        <v>180.20050000000001</v>
      </c>
      <c r="H69" t="s">
        <v>149</v>
      </c>
    </row>
    <row r="70" spans="1:8">
      <c r="A70" t="s">
        <v>97</v>
      </c>
      <c r="B70" t="s">
        <v>37</v>
      </c>
      <c r="D70">
        <v>31.92</v>
      </c>
      <c r="F70">
        <f>MIN(Table37[[#This Row],[GWh/d '[capacity map']]:[GWh/d '[transparency map']]])*365</f>
        <v>11650.800000000001</v>
      </c>
      <c r="G70">
        <f t="shared" si="2"/>
        <v>11.6508</v>
      </c>
    </row>
    <row r="71" spans="1:8">
      <c r="A71" t="s">
        <v>40</v>
      </c>
      <c r="B71" t="s">
        <v>34</v>
      </c>
      <c r="C71">
        <v>2.2000000000000002</v>
      </c>
      <c r="F71">
        <f>MIN(Table37[[#This Row],[GWh/d '[capacity map']]:[GWh/d '[transparency map']]])*365</f>
        <v>803.00000000000011</v>
      </c>
      <c r="G71">
        <f t="shared" si="2"/>
        <v>0.80300000000000016</v>
      </c>
    </row>
    <row r="72" spans="1:8">
      <c r="A72" t="s">
        <v>40</v>
      </c>
      <c r="B72" t="s">
        <v>39</v>
      </c>
      <c r="E72">
        <v>80.846503979999994</v>
      </c>
      <c r="F72">
        <f>MIN(Table37[[#This Row],[GWh/d '[capacity map']]:[GWh/d '[transparency map']]])*365</f>
        <v>29508.973952699998</v>
      </c>
      <c r="G72">
        <f t="shared" si="2"/>
        <v>29.5089739527</v>
      </c>
    </row>
    <row r="73" spans="1:8">
      <c r="A73" t="s">
        <v>18</v>
      </c>
      <c r="B73" t="s">
        <v>17</v>
      </c>
      <c r="C73">
        <v>1387.5634559999999</v>
      </c>
      <c r="F73">
        <f>MIN(Table37[[#This Row],[GWh/d '[capacity map']]:[GWh/d '[transparency map']]])*365</f>
        <v>506460.66143999994</v>
      </c>
      <c r="G73">
        <f t="shared" si="2"/>
        <v>506.46066143999991</v>
      </c>
    </row>
    <row r="74" spans="1:8">
      <c r="A74" t="s">
        <v>18</v>
      </c>
      <c r="B74" t="s">
        <v>19</v>
      </c>
      <c r="C74">
        <v>1849.1500000000003</v>
      </c>
      <c r="F74">
        <f>MIN(Table37[[#This Row],[GWh/d '[capacity map']]:[GWh/d '[transparency map']]])*365</f>
        <v>674939.75000000012</v>
      </c>
      <c r="G74">
        <f t="shared" si="2"/>
        <v>674.93975000000012</v>
      </c>
    </row>
    <row r="75" spans="1:8">
      <c r="A75" t="s">
        <v>18</v>
      </c>
      <c r="B75" t="s">
        <v>11</v>
      </c>
      <c r="C75">
        <v>494.4</v>
      </c>
      <c r="F75">
        <f>MIN(Table37[[#This Row],[GWh/d '[capacity map']]:[GWh/d '[transparency map']]])*365</f>
        <v>180456</v>
      </c>
      <c r="G75">
        <f t="shared" si="2"/>
        <v>180.45599999999999</v>
      </c>
    </row>
    <row r="76" spans="1:8">
      <c r="A76" t="s">
        <v>49</v>
      </c>
      <c r="B76" t="s">
        <v>17</v>
      </c>
      <c r="C76">
        <v>488.4</v>
      </c>
      <c r="D76">
        <v>453.2</v>
      </c>
      <c r="F76">
        <f>MIN(Table37[[#This Row],[GWh/d '[capacity map']]:[GWh/d '[transparency map']]])*365</f>
        <v>165418</v>
      </c>
      <c r="G76">
        <f t="shared" si="2"/>
        <v>165.41800000000001</v>
      </c>
    </row>
    <row r="77" spans="1:8">
      <c r="A77" t="s">
        <v>49</v>
      </c>
      <c r="B77" t="s">
        <v>19</v>
      </c>
      <c r="C77">
        <v>2195.9271199999998</v>
      </c>
      <c r="D77">
        <v>1226</v>
      </c>
      <c r="F77">
        <f>MIN(Table37[[#This Row],[GWh/d '[capacity map']]:[GWh/d '[transparency map']]])*365</f>
        <v>447490</v>
      </c>
      <c r="G77">
        <f t="shared" si="2"/>
        <v>447.49</v>
      </c>
    </row>
    <row r="78" spans="1:8">
      <c r="A78" t="s">
        <v>49</v>
      </c>
      <c r="B78" t="s">
        <v>25</v>
      </c>
      <c r="C78">
        <v>575</v>
      </c>
      <c r="D78">
        <v>568.5</v>
      </c>
      <c r="F78">
        <f>MIN(Table37[[#This Row],[GWh/d '[capacity map']]:[GWh/d '[transparency map']]])*365</f>
        <v>207502.5</v>
      </c>
      <c r="G78">
        <f t="shared" si="2"/>
        <v>207.5025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2"/>
        <v>351.714</v>
      </c>
    </row>
    <row r="80" spans="1:8">
      <c r="A80" t="s">
        <v>49</v>
      </c>
      <c r="B80" t="s">
        <v>11</v>
      </c>
      <c r="C80">
        <v>1499.1</v>
      </c>
      <c r="D80">
        <v>1406</v>
      </c>
      <c r="F80">
        <f>MIN(Table37[[#This Row],[GWh/d '[capacity map']]:[GWh/d '[transparency map']]])*365</f>
        <v>513190</v>
      </c>
      <c r="G80">
        <f t="shared" si="2"/>
        <v>513.19000000000005</v>
      </c>
    </row>
    <row r="81" spans="1:8">
      <c r="A81" t="s">
        <v>27</v>
      </c>
      <c r="B81" t="s">
        <v>19</v>
      </c>
      <c r="C81">
        <v>0.09</v>
      </c>
      <c r="F81">
        <f>MIN(Table37[[#This Row],[GWh/d '[capacity map']]:[GWh/d '[transparency map']]])*365</f>
        <v>32.85</v>
      </c>
      <c r="G81">
        <f t="shared" si="2"/>
        <v>3.2850000000000004E-2</v>
      </c>
    </row>
    <row r="82" spans="1:8">
      <c r="A82" t="s">
        <v>27</v>
      </c>
      <c r="B82" t="s">
        <v>26</v>
      </c>
      <c r="C82">
        <v>91.2</v>
      </c>
      <c r="F82">
        <f>MIN(Table37[[#This Row],[GWh/d '[capacity map']]:[GWh/d '[transparency map']]])*365</f>
        <v>33288</v>
      </c>
      <c r="G82">
        <f t="shared" si="2"/>
        <v>33.287999999999997</v>
      </c>
    </row>
    <row r="83" spans="1:8">
      <c r="A83" t="s">
        <v>27</v>
      </c>
      <c r="B83" t="s">
        <v>29</v>
      </c>
      <c r="C83">
        <v>173.94</v>
      </c>
      <c r="F83">
        <f>MIN(Table37[[#This Row],[GWh/d '[capacity map']]:[GWh/d '[transparency map']]])*365</f>
        <v>63488.1</v>
      </c>
      <c r="G83">
        <f t="shared" si="2"/>
        <v>63.488099999999996</v>
      </c>
    </row>
    <row r="84" spans="1:8">
      <c r="A84" t="s">
        <v>38</v>
      </c>
      <c r="B84" t="s">
        <v>37</v>
      </c>
      <c r="C84">
        <v>80</v>
      </c>
      <c r="F84">
        <f>MIN(Table37[[#This Row],[GWh/d '[capacity map']]:[GWh/d '[transparency map']]])*365</f>
        <v>29200</v>
      </c>
      <c r="G84">
        <f t="shared" si="2"/>
        <v>29.2</v>
      </c>
    </row>
    <row r="85" spans="1:8">
      <c r="A85" t="s">
        <v>34</v>
      </c>
      <c r="B85" t="s">
        <v>32</v>
      </c>
      <c r="C85">
        <v>231.417</v>
      </c>
      <c r="F85">
        <f>MIN(Table37[[#This Row],[GWh/d '[capacity map']]:[GWh/d '[transparency map']]])*365</f>
        <v>84467.205000000002</v>
      </c>
      <c r="G85">
        <f t="shared" si="2"/>
        <v>84.467205000000007</v>
      </c>
    </row>
    <row r="86" spans="1:8">
      <c r="A86" t="s">
        <v>34</v>
      </c>
      <c r="B86" t="s">
        <v>30</v>
      </c>
      <c r="C86">
        <v>73.37</v>
      </c>
      <c r="F86">
        <f>MIN(Table37[[#This Row],[GWh/d '[capacity map']]:[GWh/d '[transparency map']]])*365</f>
        <v>26780.050000000003</v>
      </c>
      <c r="G86">
        <f t="shared" si="2"/>
        <v>26.780050000000003</v>
      </c>
    </row>
    <row r="87" spans="1:8">
      <c r="A87" t="s">
        <v>34</v>
      </c>
      <c r="B87" t="s">
        <v>40</v>
      </c>
      <c r="C87">
        <v>55.7</v>
      </c>
      <c r="E87">
        <v>55.7</v>
      </c>
      <c r="F87">
        <f>MIN(Table37[[#This Row],[GWh/d '[capacity map']]:[GWh/d '[transparency map']]])*365</f>
        <v>20330.5</v>
      </c>
      <c r="G87">
        <f t="shared" si="2"/>
        <v>20.330500000000001</v>
      </c>
    </row>
    <row r="88" spans="1:8">
      <c r="A88" t="s">
        <v>34</v>
      </c>
      <c r="B88" t="s">
        <v>39</v>
      </c>
      <c r="C88">
        <v>122.2</v>
      </c>
      <c r="F88">
        <f>MIN(Table37[[#This Row],[GWh/d '[capacity map']]:[GWh/d '[transparency map']]])*365</f>
        <v>44603</v>
      </c>
      <c r="G88">
        <f t="shared" si="2"/>
        <v>44.603000000000002</v>
      </c>
    </row>
    <row r="89" spans="1:8">
      <c r="A89" t="s">
        <v>31</v>
      </c>
      <c r="B89" t="s">
        <v>45</v>
      </c>
      <c r="C89">
        <v>14</v>
      </c>
      <c r="F89">
        <f>MIN(Table37[[#This Row],[GWh/d '[capacity map']]:[GWh/d '[transparency map']]])*365</f>
        <v>5110</v>
      </c>
      <c r="G89">
        <f t="shared" si="2"/>
        <v>5.1100000000000003</v>
      </c>
    </row>
    <row r="90" spans="1:8">
      <c r="A90" t="s">
        <v>31</v>
      </c>
      <c r="B90" t="s">
        <v>32</v>
      </c>
      <c r="C90">
        <v>350.11200000000002</v>
      </c>
      <c r="F90">
        <f>MIN(Table37[[#This Row],[GWh/d '[capacity map']]:[GWh/d '[transparency map']]])*365</f>
        <v>127790.88</v>
      </c>
      <c r="G90">
        <f t="shared" si="2"/>
        <v>127.79088</v>
      </c>
    </row>
    <row r="91" spans="1:8">
      <c r="A91" t="s">
        <v>31</v>
      </c>
      <c r="B91" t="s">
        <v>30</v>
      </c>
      <c r="D91">
        <v>245.8</v>
      </c>
      <c r="F91">
        <f>MIN(Table37[[#This Row],[GWh/d '[capacity map']]:[GWh/d '[transparency map']]])*365</f>
        <v>89717</v>
      </c>
      <c r="G91">
        <f t="shared" si="2"/>
        <v>89.716999999999999</v>
      </c>
    </row>
    <row r="92" spans="1:8">
      <c r="A92" t="s">
        <v>41</v>
      </c>
      <c r="B92" t="s">
        <v>53</v>
      </c>
      <c r="C92">
        <v>1203.4999999999998</v>
      </c>
      <c r="F92">
        <f>MIN(Table37[[#This Row],[GWh/d '[capacity map']]:[GWh/d '[transparency map']]])*365</f>
        <v>439277.49999999994</v>
      </c>
      <c r="G92">
        <f t="shared" si="2"/>
        <v>439.27749999999992</v>
      </c>
    </row>
    <row r="93" spans="1:8">
      <c r="A93" t="s">
        <v>41</v>
      </c>
      <c r="B93" t="s">
        <v>19</v>
      </c>
      <c r="D93">
        <v>0</v>
      </c>
      <c r="F93">
        <f>MIN(Table37[[#This Row],[GWh/d '[capacity map']]:[GWh/d '[transparency map']]])*365</f>
        <v>0</v>
      </c>
      <c r="G93">
        <f t="shared" si="2"/>
        <v>0</v>
      </c>
    </row>
    <row r="94" spans="1:8">
      <c r="A94" t="s">
        <v>41</v>
      </c>
      <c r="B94" t="s">
        <v>55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8">
      <c r="A95" t="s">
        <v>41</v>
      </c>
      <c r="B95" t="s">
        <v>36</v>
      </c>
      <c r="D95">
        <v>0</v>
      </c>
      <c r="F95">
        <f>MIN(Table37[[#This Row],[GWh/d '[capacity map']]:[GWh/d '[transparency map']]])*365</f>
        <v>0</v>
      </c>
      <c r="G95">
        <f t="shared" si="2"/>
        <v>0</v>
      </c>
    </row>
    <row r="96" spans="1:8">
      <c r="A96" t="s">
        <v>41</v>
      </c>
      <c r="B96" t="s">
        <v>47</v>
      </c>
      <c r="E96">
        <v>958.9</v>
      </c>
      <c r="F96">
        <f>MIN(Table37[[#This Row],[GWh/d '[capacity map']]:[GWh/d '[transparency map']]])*365</f>
        <v>349998.5</v>
      </c>
      <c r="G96">
        <f t="shared" ref="G96:G115" si="3">F96/1000</f>
        <v>349.99849999999998</v>
      </c>
      <c r="H96" t="s">
        <v>142</v>
      </c>
    </row>
    <row r="97" spans="1:8">
      <c r="A97" t="s">
        <v>41</v>
      </c>
      <c r="B97" t="s">
        <v>39</v>
      </c>
      <c r="E97">
        <v>5459.5088498999994</v>
      </c>
      <c r="F97">
        <f>MIN(Table37[[#This Row],[GWh/d '[capacity map']]:[GWh/d '[transparency map']]])*365</f>
        <v>1992720.7302134999</v>
      </c>
      <c r="G97">
        <f t="shared" si="3"/>
        <v>1992.7207302134998</v>
      </c>
    </row>
    <row r="98" spans="1:8">
      <c r="A98" t="s">
        <v>23</v>
      </c>
      <c r="B98" t="s">
        <v>24</v>
      </c>
      <c r="C98">
        <v>53.7</v>
      </c>
      <c r="F98">
        <f>MIN(Table37[[#This Row],[GWh/d '[capacity map']]:[GWh/d '[transparency map']]])*365</f>
        <v>19600.5</v>
      </c>
      <c r="G98">
        <f t="shared" si="3"/>
        <v>19.6005</v>
      </c>
    </row>
    <row r="99" spans="1:8">
      <c r="A99" t="s">
        <v>23</v>
      </c>
      <c r="B99" t="s">
        <v>21</v>
      </c>
      <c r="C99">
        <v>25.77</v>
      </c>
      <c r="F99">
        <f>MIN(Table37[[#This Row],[GWh/d '[capacity map']]:[GWh/d '[transparency map']]])*365</f>
        <v>9406.0499999999993</v>
      </c>
      <c r="G99">
        <f t="shared" si="3"/>
        <v>9.4060499999999987</v>
      </c>
    </row>
    <row r="100" spans="1:8">
      <c r="A100" t="s">
        <v>29</v>
      </c>
      <c r="B100" t="s">
        <v>20</v>
      </c>
      <c r="C100">
        <v>1708.7</v>
      </c>
      <c r="F100">
        <f>MIN(Table37[[#This Row],[GWh/d '[capacity map']]:[GWh/d '[transparency map']]])*365</f>
        <v>623675.5</v>
      </c>
      <c r="G100">
        <f t="shared" si="3"/>
        <v>623.67550000000006</v>
      </c>
    </row>
    <row r="101" spans="1:8">
      <c r="A101" t="s">
        <v>29</v>
      </c>
      <c r="B101" t="s">
        <v>28</v>
      </c>
      <c r="C101">
        <v>395.2</v>
      </c>
      <c r="F101">
        <f>MIN(Table37[[#This Row],[GWh/d '[capacity map']]:[GWh/d '[transparency map']]])*365</f>
        <v>144248</v>
      </c>
      <c r="G101">
        <f t="shared" si="3"/>
        <v>144.24799999999999</v>
      </c>
    </row>
    <row r="102" spans="1:8">
      <c r="A102" t="s">
        <v>29</v>
      </c>
      <c r="B102" t="s">
        <v>30</v>
      </c>
      <c r="C102">
        <v>128.97</v>
      </c>
      <c r="F102">
        <f>MIN(Table37[[#This Row],[GWh/d '[capacity map']]:[GWh/d '[transparency map']]])*365</f>
        <v>47074.05</v>
      </c>
      <c r="G102">
        <f t="shared" si="3"/>
        <v>47.07405</v>
      </c>
    </row>
    <row r="103" spans="1:8">
      <c r="A103" t="s">
        <v>29</v>
      </c>
      <c r="B103" t="s">
        <v>27</v>
      </c>
      <c r="C103">
        <v>144.50399999999999</v>
      </c>
      <c r="F103">
        <f>MIN(Table37[[#This Row],[GWh/d '[capacity map']]:[GWh/d '[transparency map']]])*365</f>
        <v>52743.96</v>
      </c>
      <c r="G103">
        <f t="shared" si="3"/>
        <v>52.743960000000001</v>
      </c>
    </row>
    <row r="104" spans="1:8">
      <c r="A104" t="s">
        <v>29</v>
      </c>
      <c r="B104" t="s">
        <v>39</v>
      </c>
      <c r="C104">
        <v>436.8</v>
      </c>
      <c r="D104">
        <v>280.8</v>
      </c>
      <c r="F104">
        <f>MIN(Table37[[#This Row],[GWh/d '[capacity map']]:[GWh/d '[transparency map']]])*365</f>
        <v>102492</v>
      </c>
      <c r="G104">
        <f t="shared" si="3"/>
        <v>102.492</v>
      </c>
    </row>
    <row r="105" spans="1:8">
      <c r="A105" t="s">
        <v>51</v>
      </c>
      <c r="B105" t="s">
        <v>21</v>
      </c>
      <c r="C105">
        <v>1154.47</v>
      </c>
      <c r="D105">
        <v>1154</v>
      </c>
      <c r="F105">
        <f>MIN(Table37[[#This Row],[GWh/d '[capacity map']]:[GWh/d '[transparency map']]])*365</f>
        <v>421210</v>
      </c>
      <c r="G105">
        <f t="shared" si="3"/>
        <v>421.21</v>
      </c>
      <c r="H105" t="s">
        <v>148</v>
      </c>
    </row>
    <row r="106" spans="1:8">
      <c r="A106" t="s">
        <v>47</v>
      </c>
      <c r="B106" t="s">
        <v>32</v>
      </c>
      <c r="C106">
        <v>576.03</v>
      </c>
      <c r="F106">
        <f>MIN(Table37[[#This Row],[GWh/d '[capacity map']]:[GWh/d '[transparency map']]])*365</f>
        <v>210250.94999999998</v>
      </c>
      <c r="G106">
        <f t="shared" si="3"/>
        <v>210.25094999999999</v>
      </c>
    </row>
    <row r="107" spans="1:8">
      <c r="A107" t="s">
        <v>47</v>
      </c>
      <c r="B107" t="s">
        <v>265</v>
      </c>
      <c r="C107">
        <v>398.6</v>
      </c>
      <c r="F107">
        <f>MIN(Table37[[#This Row],[GWh/d '[capacity map']]:[GWh/d '[transparency map']]])*365</f>
        <v>145489</v>
      </c>
      <c r="G107">
        <f t="shared" si="3"/>
        <v>145.489</v>
      </c>
    </row>
    <row r="108" spans="1:8">
      <c r="A108" t="s">
        <v>39</v>
      </c>
      <c r="B108" t="s">
        <v>30</v>
      </c>
      <c r="D108">
        <v>84.77</v>
      </c>
      <c r="F108">
        <f>MIN(Table37[[#This Row],[GWh/d '[capacity map']]:[GWh/d '[transparency map']]])*365</f>
        <v>30941.05</v>
      </c>
      <c r="G108">
        <f t="shared" si="3"/>
        <v>30.941050000000001</v>
      </c>
    </row>
    <row r="109" spans="1:8">
      <c r="A109" t="s">
        <v>39</v>
      </c>
      <c r="B109" t="s">
        <v>40</v>
      </c>
      <c r="E109">
        <v>255.46047452000005</v>
      </c>
      <c r="F109">
        <f>MIN(Table37[[#This Row],[GWh/d '[capacity map']]:[GWh/d '[transparency map']]])*365</f>
        <v>93243.073199800012</v>
      </c>
      <c r="G109">
        <f t="shared" si="3"/>
        <v>93.243073199800008</v>
      </c>
    </row>
    <row r="110" spans="1:8">
      <c r="A110" t="s">
        <v>39</v>
      </c>
      <c r="B110" t="s">
        <v>27</v>
      </c>
      <c r="D110">
        <v>135.6</v>
      </c>
      <c r="F110">
        <f>MIN(Table37[[#This Row],[GWh/d '[capacity map']]:[GWh/d '[transparency map']]])*365</f>
        <v>49494</v>
      </c>
      <c r="G110">
        <f t="shared" si="3"/>
        <v>49.494</v>
      </c>
      <c r="H110" t="s">
        <v>149</v>
      </c>
    </row>
    <row r="111" spans="1:8">
      <c r="A111" t="s">
        <v>39</v>
      </c>
      <c r="B111" t="s">
        <v>34</v>
      </c>
      <c r="C111">
        <v>0</v>
      </c>
      <c r="D111">
        <v>0</v>
      </c>
      <c r="F111">
        <f>MIN(Table37[[#This Row],[GWh/d '[capacity map']]:[GWh/d '[transparency map']]])*365</f>
        <v>0</v>
      </c>
      <c r="G111">
        <f t="shared" si="3"/>
        <v>0</v>
      </c>
      <c r="H111" t="s">
        <v>149</v>
      </c>
    </row>
    <row r="112" spans="1:8">
      <c r="A112" t="s">
        <v>39</v>
      </c>
      <c r="B112" t="s">
        <v>29</v>
      </c>
      <c r="C112">
        <v>249.6</v>
      </c>
      <c r="D112">
        <v>1799</v>
      </c>
      <c r="F112">
        <f>MIN(Table37[[#This Row],[GWh/d '[capacity map']]:[GWh/d '[transparency map']]])*365</f>
        <v>91104</v>
      </c>
      <c r="G112">
        <f t="shared" si="3"/>
        <v>91.103999999999999</v>
      </c>
    </row>
    <row r="113" spans="1:7">
      <c r="A113" t="s">
        <v>11</v>
      </c>
      <c r="B113" t="s">
        <v>17</v>
      </c>
      <c r="C113">
        <v>651.70000000000005</v>
      </c>
      <c r="D113">
        <v>205.9</v>
      </c>
      <c r="F113">
        <f>MIN(Table37[[#This Row],[GWh/d '[capacity map']]:[GWh/d '[transparency map']]])*365</f>
        <v>75153.5</v>
      </c>
      <c r="G113">
        <f t="shared" si="3"/>
        <v>75.153499999999994</v>
      </c>
    </row>
    <row r="114" spans="1:7">
      <c r="A114" t="s">
        <v>11</v>
      </c>
      <c r="B114" t="s">
        <v>44</v>
      </c>
      <c r="C114">
        <v>386.58</v>
      </c>
      <c r="D114">
        <v>385</v>
      </c>
      <c r="F114">
        <f>MIN(Table37[[#This Row],[GWh/d '[capacity map']]:[GWh/d '[transparency map']]])*365</f>
        <v>140525</v>
      </c>
      <c r="G114">
        <f t="shared" si="3"/>
        <v>140.52500000000001</v>
      </c>
    </row>
    <row r="115" spans="1:7">
      <c r="A115" t="s">
        <v>11</v>
      </c>
      <c r="B115" t="s">
        <v>18</v>
      </c>
      <c r="C115">
        <v>168</v>
      </c>
      <c r="F115">
        <f>MIN(Table37[[#This Row],[GWh/d '[capacity map']]:[GWh/d '[transparency map']]])*365</f>
        <v>61320</v>
      </c>
      <c r="G115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L1" sqref="L1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12">
      <c r="A1" t="s">
        <v>93</v>
      </c>
      <c r="B1" t="s">
        <v>94</v>
      </c>
      <c r="C1" t="s">
        <v>254</v>
      </c>
      <c r="D1" t="s">
        <v>106</v>
      </c>
      <c r="E1" t="s">
        <v>107</v>
      </c>
      <c r="F1" t="s">
        <v>272</v>
      </c>
      <c r="G1" t="s">
        <v>271</v>
      </c>
      <c r="H1" t="s">
        <v>253</v>
      </c>
      <c r="I1" t="s">
        <v>257</v>
      </c>
      <c r="L1" t="s">
        <v>255</v>
      </c>
    </row>
    <row r="2" spans="1:12">
      <c r="A2" t="s">
        <v>41</v>
      </c>
      <c r="B2" t="s">
        <v>157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263</v>
      </c>
    </row>
    <row r="3" spans="1:12">
      <c r="A3" t="s">
        <v>41</v>
      </c>
      <c r="B3" t="s">
        <v>53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270</v>
      </c>
    </row>
    <row r="4" spans="1:12">
      <c r="A4" t="s">
        <v>41</v>
      </c>
      <c r="B4" t="s">
        <v>173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261</v>
      </c>
    </row>
    <row r="5" spans="1:12">
      <c r="A5" t="s">
        <v>150</v>
      </c>
      <c r="B5" t="s">
        <v>197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262</v>
      </c>
    </row>
    <row r="6" spans="1:12">
      <c r="A6" t="s">
        <v>197</v>
      </c>
      <c r="B6" t="s">
        <v>150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262</v>
      </c>
    </row>
    <row r="7" spans="1:12">
      <c r="A7" t="s">
        <v>173</v>
      </c>
      <c r="B7" t="s">
        <v>157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260</v>
      </c>
    </row>
    <row r="8" spans="1:12">
      <c r="A8" t="s">
        <v>173</v>
      </c>
      <c r="B8" t="s">
        <v>47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269</v>
      </c>
    </row>
    <row r="9" spans="1:12">
      <c r="A9" t="s">
        <v>153</v>
      </c>
      <c r="B9" t="s">
        <v>155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259</v>
      </c>
    </row>
    <row r="10" spans="1:12">
      <c r="A10" t="s">
        <v>153</v>
      </c>
      <c r="B10" t="s">
        <v>173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264</v>
      </c>
    </row>
    <row r="11" spans="1:12">
      <c r="A11" t="s">
        <v>154</v>
      </c>
      <c r="B11" t="s">
        <v>153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258</v>
      </c>
    </row>
    <row r="12" spans="1:12">
      <c r="A12" t="s">
        <v>153</v>
      </c>
      <c r="B12" t="s">
        <v>154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258</v>
      </c>
    </row>
    <row r="13" spans="1:12">
      <c r="A13" t="s">
        <v>160</v>
      </c>
      <c r="B13" t="s">
        <v>157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256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0"/>
  <sheetViews>
    <sheetView topLeftCell="A67" workbookViewId="0">
      <selection activeCell="C78" sqref="C78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181</v>
      </c>
      <c r="D1" s="9" t="s">
        <v>106</v>
      </c>
      <c r="E1" s="9" t="s">
        <v>107</v>
      </c>
      <c r="F1" s="9" t="s">
        <v>199</v>
      </c>
      <c r="G1" s="9" t="s">
        <v>198</v>
      </c>
      <c r="H1" s="9" t="s">
        <v>212</v>
      </c>
      <c r="I1" s="9" t="s">
        <v>143</v>
      </c>
      <c r="M1" t="s">
        <v>200</v>
      </c>
    </row>
    <row r="2" spans="1:13">
      <c r="A2" t="s">
        <v>180</v>
      </c>
      <c r="B2" t="s">
        <v>187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239</v>
      </c>
      <c r="M2" t="s">
        <v>235</v>
      </c>
    </row>
    <row r="3" spans="1:13">
      <c r="A3" t="s">
        <v>180</v>
      </c>
      <c r="B3" t="s">
        <v>185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240</v>
      </c>
      <c r="M3" t="s">
        <v>236</v>
      </c>
    </row>
    <row r="4" spans="1:13">
      <c r="A4" t="s">
        <v>180</v>
      </c>
      <c r="B4" t="s">
        <v>188</v>
      </c>
      <c r="E4">
        <f t="shared" si="0"/>
        <v>0</v>
      </c>
      <c r="F4">
        <v>10339</v>
      </c>
      <c r="G4">
        <f>LNG_global[[#This Row],[Distance '[miles']]]*1.60934449789256</f>
        <v>16639.012763711176</v>
      </c>
      <c r="H4" t="s">
        <v>241</v>
      </c>
      <c r="I4" t="s">
        <v>275</v>
      </c>
      <c r="M4" t="s">
        <v>246</v>
      </c>
    </row>
    <row r="5" spans="1:13">
      <c r="A5" t="s">
        <v>180</v>
      </c>
      <c r="B5" t="s">
        <v>189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241</v>
      </c>
      <c r="I5" t="s">
        <v>243</v>
      </c>
      <c r="M5" t="s">
        <v>247</v>
      </c>
    </row>
    <row r="6" spans="1:13">
      <c r="A6" t="s">
        <v>180</v>
      </c>
      <c r="B6" t="s">
        <v>190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213</v>
      </c>
      <c r="I6" t="s">
        <v>244</v>
      </c>
      <c r="M6" t="s">
        <v>282</v>
      </c>
    </row>
    <row r="7" spans="1:13">
      <c r="A7" t="s">
        <v>180</v>
      </c>
      <c r="B7" t="s">
        <v>191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241</v>
      </c>
      <c r="I7" t="s">
        <v>245</v>
      </c>
      <c r="M7" t="s">
        <v>249</v>
      </c>
    </row>
    <row r="8" spans="1:13">
      <c r="A8" t="s">
        <v>180</v>
      </c>
      <c r="B8" t="s">
        <v>192</v>
      </c>
      <c r="E8">
        <f t="shared" si="0"/>
        <v>0</v>
      </c>
      <c r="F8">
        <v>6850</v>
      </c>
      <c r="G8">
        <f>LNG_global[[#This Row],[Distance '[miles']]]*1.60934449789256</f>
        <v>11024.009810564035</v>
      </c>
      <c r="H8" t="s">
        <v>213</v>
      </c>
      <c r="I8" t="s">
        <v>278</v>
      </c>
      <c r="M8" t="s">
        <v>284</v>
      </c>
    </row>
    <row r="9" spans="1:13">
      <c r="A9" t="s">
        <v>182</v>
      </c>
      <c r="B9" t="s">
        <v>187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239</v>
      </c>
      <c r="M9" t="s">
        <v>251</v>
      </c>
    </row>
    <row r="10" spans="1:13">
      <c r="A10" t="s">
        <v>182</v>
      </c>
      <c r="B10" t="s">
        <v>185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240</v>
      </c>
      <c r="M10" t="s">
        <v>288</v>
      </c>
    </row>
    <row r="11" spans="1:13">
      <c r="A11" t="s">
        <v>182</v>
      </c>
      <c r="B11" t="s">
        <v>188</v>
      </c>
      <c r="E11">
        <f t="shared" si="0"/>
        <v>0</v>
      </c>
      <c r="F11">
        <v>9750</v>
      </c>
      <c r="G11">
        <f>LNG_global[[#This Row],[Distance '[miles']]]*1.60934449789256</f>
        <v>15691.108854452459</v>
      </c>
      <c r="H11" t="s">
        <v>241</v>
      </c>
      <c r="I11" t="s">
        <v>285</v>
      </c>
    </row>
    <row r="12" spans="1:13">
      <c r="A12" t="s">
        <v>182</v>
      </c>
      <c r="B12" t="s">
        <v>189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241</v>
      </c>
      <c r="I12" t="s">
        <v>243</v>
      </c>
    </row>
    <row r="13" spans="1:13">
      <c r="A13" t="s">
        <v>182</v>
      </c>
      <c r="B13" t="s">
        <v>190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213</v>
      </c>
      <c r="I13" t="s">
        <v>244</v>
      </c>
    </row>
    <row r="14" spans="1:13">
      <c r="A14" t="s">
        <v>182</v>
      </c>
      <c r="B14" t="s">
        <v>191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213</v>
      </c>
      <c r="I14" t="s">
        <v>245</v>
      </c>
    </row>
    <row r="15" spans="1:13">
      <c r="A15" t="s">
        <v>182</v>
      </c>
      <c r="B15" t="s">
        <v>192</v>
      </c>
      <c r="E15">
        <f t="shared" si="0"/>
        <v>0</v>
      </c>
      <c r="F15">
        <v>5493</v>
      </c>
      <c r="G15">
        <f>LNG_global[[#This Row],[Distance '[miles']]]*1.60934449789256</f>
        <v>8840.1293269238322</v>
      </c>
      <c r="H15" t="s">
        <v>213</v>
      </c>
      <c r="I15" t="s">
        <v>278</v>
      </c>
    </row>
    <row r="16" spans="1:13">
      <c r="A16" t="s">
        <v>183</v>
      </c>
      <c r="B16" t="s">
        <v>187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239</v>
      </c>
    </row>
    <row r="17" spans="1:9">
      <c r="A17" t="s">
        <v>183</v>
      </c>
      <c r="B17" t="s">
        <v>185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240</v>
      </c>
    </row>
    <row r="18" spans="1:9">
      <c r="A18" t="s">
        <v>183</v>
      </c>
      <c r="B18" t="s">
        <v>188</v>
      </c>
      <c r="E18">
        <f t="shared" si="0"/>
        <v>0</v>
      </c>
      <c r="F18">
        <v>5001</v>
      </c>
      <c r="G18">
        <f>LNG_global[[#This Row],[Distance '[miles']]]*1.60934449789256</f>
        <v>8048.3318339606922</v>
      </c>
      <c r="I18" t="s">
        <v>242</v>
      </c>
    </row>
    <row r="19" spans="1:9">
      <c r="A19" t="s">
        <v>183</v>
      </c>
      <c r="B19" t="s">
        <v>189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243</v>
      </c>
    </row>
    <row r="20" spans="1:9">
      <c r="A20" t="s">
        <v>183</v>
      </c>
      <c r="B20" t="s">
        <v>190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244</v>
      </c>
    </row>
    <row r="21" spans="1:9">
      <c r="A21" t="s">
        <v>183</v>
      </c>
      <c r="B21" t="s">
        <v>191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245</v>
      </c>
    </row>
    <row r="22" spans="1:9">
      <c r="A22" t="s">
        <v>183</v>
      </c>
      <c r="B22" t="s">
        <v>192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213</v>
      </c>
    </row>
    <row r="23" spans="1:9">
      <c r="A23" t="s">
        <v>184</v>
      </c>
      <c r="B23" t="s">
        <v>187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239</v>
      </c>
    </row>
    <row r="24" spans="1:9">
      <c r="A24" t="s">
        <v>184</v>
      </c>
      <c r="B24" t="s">
        <v>185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240</v>
      </c>
    </row>
    <row r="25" spans="1:9">
      <c r="A25" t="s">
        <v>184</v>
      </c>
      <c r="B25" t="s">
        <v>188</v>
      </c>
      <c r="E25">
        <f t="shared" si="1"/>
        <v>0</v>
      </c>
      <c r="F25">
        <v>5845</v>
      </c>
      <c r="G25">
        <f>LNG_global[[#This Row],[Distance '[miles']]]*1.60934449789256</f>
        <v>9406.6185901820136</v>
      </c>
      <c r="I25" t="s">
        <v>242</v>
      </c>
    </row>
    <row r="26" spans="1:9">
      <c r="A26" t="s">
        <v>184</v>
      </c>
      <c r="B26" t="s">
        <v>189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243</v>
      </c>
    </row>
    <row r="27" spans="1:9">
      <c r="A27" t="s">
        <v>184</v>
      </c>
      <c r="B27" t="s">
        <v>190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244</v>
      </c>
    </row>
    <row r="28" spans="1:9">
      <c r="A28" t="s">
        <v>184</v>
      </c>
      <c r="B28" t="s">
        <v>191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245</v>
      </c>
    </row>
    <row r="29" spans="1:9">
      <c r="A29" t="s">
        <v>184</v>
      </c>
      <c r="B29" t="s">
        <v>192</v>
      </c>
      <c r="E29">
        <f t="shared" si="1"/>
        <v>0</v>
      </c>
      <c r="F29">
        <v>2906</v>
      </c>
      <c r="G29">
        <f>LNG_global[[#This Row],[Distance '[miles']]]*1.60934449789256</f>
        <v>4676.7551108757789</v>
      </c>
      <c r="I29" t="s">
        <v>213</v>
      </c>
    </row>
    <row r="30" spans="1:9">
      <c r="A30" t="s">
        <v>185</v>
      </c>
      <c r="B30" t="s">
        <v>187</v>
      </c>
      <c r="E30">
        <f>D30/1000</f>
        <v>0</v>
      </c>
      <c r="F30">
        <v>3392</v>
      </c>
      <c r="G30">
        <f>LNG_global[[#This Row],[Distance '[miles']]]*1.60934449789256</f>
        <v>5458.8965368515637</v>
      </c>
      <c r="I30" t="s">
        <v>239</v>
      </c>
    </row>
    <row r="31" spans="1:9">
      <c r="A31" t="s">
        <v>185</v>
      </c>
      <c r="B31" t="s">
        <v>188</v>
      </c>
      <c r="E31">
        <f t="shared" ref="E31:E35" si="2">D31/1000</f>
        <v>0</v>
      </c>
      <c r="F31">
        <v>9306</v>
      </c>
      <c r="G31">
        <f>LNG_global[[#This Row],[Distance '[miles']]]*1.60934449789256</f>
        <v>14976.559897388162</v>
      </c>
      <c r="I31" t="s">
        <v>242</v>
      </c>
    </row>
    <row r="32" spans="1:9">
      <c r="A32" t="s">
        <v>185</v>
      </c>
      <c r="B32" t="s">
        <v>189</v>
      </c>
      <c r="E32">
        <f t="shared" si="2"/>
        <v>0</v>
      </c>
      <c r="F32">
        <v>10752</v>
      </c>
      <c r="G32">
        <f>LNG_global[[#This Row],[Distance '[miles']]]*1.60934449789256</f>
        <v>17303.672041340804</v>
      </c>
      <c r="I32" t="s">
        <v>243</v>
      </c>
    </row>
    <row r="33" spans="1:9">
      <c r="A33" t="s">
        <v>185</v>
      </c>
      <c r="B33" t="s">
        <v>190</v>
      </c>
      <c r="E33">
        <f t="shared" si="2"/>
        <v>0</v>
      </c>
      <c r="F33">
        <v>7030</v>
      </c>
      <c r="G33">
        <f>LNG_global[[#This Row],[Distance '[miles']]]*1.60934449789256</f>
        <v>11313.691820184697</v>
      </c>
      <c r="I33" t="s">
        <v>244</v>
      </c>
    </row>
    <row r="34" spans="1:9">
      <c r="A34" t="s">
        <v>185</v>
      </c>
      <c r="B34" t="s">
        <v>191</v>
      </c>
      <c r="E34">
        <f t="shared" si="2"/>
        <v>0</v>
      </c>
      <c r="F34">
        <v>8808</v>
      </c>
      <c r="G34">
        <f>LNG_global[[#This Row],[Distance '[miles']]]*1.60934449789256</f>
        <v>14175.106337437668</v>
      </c>
      <c r="I34" t="s">
        <v>245</v>
      </c>
    </row>
    <row r="35" spans="1:9">
      <c r="A35" t="s">
        <v>185</v>
      </c>
      <c r="B35" t="s">
        <v>192</v>
      </c>
      <c r="E35">
        <f t="shared" si="2"/>
        <v>0</v>
      </c>
      <c r="F35">
        <v>5391</v>
      </c>
      <c r="G35">
        <f>LNG_global[[#This Row],[Distance '[miles']]]*1.60934449789256</f>
        <v>8675.9761881387913</v>
      </c>
      <c r="H35" t="s">
        <v>213</v>
      </c>
      <c r="I35" t="s">
        <v>278</v>
      </c>
    </row>
    <row r="36" spans="1:9">
      <c r="A36" t="s">
        <v>186</v>
      </c>
      <c r="B36" t="s">
        <v>187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250</v>
      </c>
    </row>
    <row r="37" spans="1:9">
      <c r="A37" t="s">
        <v>186</v>
      </c>
      <c r="B37" t="s">
        <v>185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240</v>
      </c>
    </row>
    <row r="38" spans="1:9">
      <c r="A38" t="s">
        <v>186</v>
      </c>
      <c r="B38" t="s">
        <v>188</v>
      </c>
      <c r="E38">
        <f t="shared" si="3"/>
        <v>0</v>
      </c>
      <c r="F38">
        <v>2353</v>
      </c>
      <c r="G38">
        <f>LNG_global[[#This Row],[Distance '[miles']]]*1.60934449789256</f>
        <v>3786.7876035411937</v>
      </c>
      <c r="I38" t="s">
        <v>277</v>
      </c>
    </row>
    <row r="39" spans="1:9">
      <c r="A39" t="s">
        <v>186</v>
      </c>
      <c r="B39" t="s">
        <v>189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243</v>
      </c>
    </row>
    <row r="40" spans="1:9">
      <c r="A40" t="s">
        <v>186</v>
      </c>
      <c r="B40" t="s">
        <v>190</v>
      </c>
      <c r="E40">
        <f t="shared" si="3"/>
        <v>0</v>
      </c>
      <c r="F40">
        <v>4477</v>
      </c>
      <c r="G40">
        <f>LNG_global[[#This Row],[Distance '[miles']]]*1.60934449789256</f>
        <v>7205.0353170649905</v>
      </c>
      <c r="I40" t="s">
        <v>244</v>
      </c>
    </row>
    <row r="41" spans="1:9">
      <c r="A41" t="s">
        <v>186</v>
      </c>
      <c r="B41" t="s">
        <v>191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245</v>
      </c>
    </row>
    <row r="42" spans="1:9">
      <c r="A42" t="s">
        <v>186</v>
      </c>
      <c r="B42" t="s">
        <v>192</v>
      </c>
      <c r="E42">
        <f t="shared" si="3"/>
        <v>0</v>
      </c>
      <c r="F42">
        <v>6579</v>
      </c>
      <c r="G42">
        <f>LNG_global[[#This Row],[Distance '[miles']]]*1.60934449789256</f>
        <v>10587.877451635151</v>
      </c>
      <c r="I42" t="s">
        <v>278</v>
      </c>
    </row>
    <row r="43" spans="1:9">
      <c r="A43" t="s">
        <v>194</v>
      </c>
      <c r="B43" t="s">
        <v>187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239</v>
      </c>
    </row>
    <row r="44" spans="1:9">
      <c r="A44" t="s">
        <v>194</v>
      </c>
      <c r="B44" t="s">
        <v>185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240</v>
      </c>
    </row>
    <row r="45" spans="1:9">
      <c r="A45" t="s">
        <v>194</v>
      </c>
      <c r="B45" t="s">
        <v>188</v>
      </c>
      <c r="E45">
        <f t="shared" si="4"/>
        <v>0</v>
      </c>
      <c r="F45">
        <v>13259</v>
      </c>
      <c r="G45">
        <f>LNG_global[[#This Row],[Distance '[miles']]]*1.60934449789256</f>
        <v>21338.298697557453</v>
      </c>
      <c r="H45" t="s">
        <v>213</v>
      </c>
      <c r="I45" t="s">
        <v>285</v>
      </c>
    </row>
    <row r="46" spans="1:9">
      <c r="A46" t="s">
        <v>194</v>
      </c>
      <c r="B46" t="s">
        <v>189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243</v>
      </c>
    </row>
    <row r="47" spans="1:9">
      <c r="A47" t="s">
        <v>194</v>
      </c>
      <c r="B47" t="s">
        <v>190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213</v>
      </c>
      <c r="I47" t="s">
        <v>244</v>
      </c>
    </row>
    <row r="48" spans="1:9">
      <c r="A48" t="s">
        <v>194</v>
      </c>
      <c r="B48" t="s">
        <v>191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213</v>
      </c>
      <c r="I48" t="s">
        <v>245</v>
      </c>
    </row>
    <row r="49" spans="1:9">
      <c r="A49" t="s">
        <v>194</v>
      </c>
      <c r="B49" t="s">
        <v>192</v>
      </c>
      <c r="E49">
        <f t="shared" si="4"/>
        <v>0</v>
      </c>
      <c r="F49">
        <v>6177</v>
      </c>
      <c r="G49">
        <f>LNG_global[[#This Row],[Distance '[miles']]]*1.60934449789256</f>
        <v>9940.9209634823437</v>
      </c>
      <c r="H49" t="s">
        <v>213</v>
      </c>
      <c r="I49" t="s">
        <v>278</v>
      </c>
    </row>
    <row r="50" spans="1:9">
      <c r="A50" t="s">
        <v>192</v>
      </c>
      <c r="B50" t="s">
        <v>187</v>
      </c>
      <c r="E50">
        <f>D50/1000</f>
        <v>0</v>
      </c>
      <c r="F50">
        <v>5988</v>
      </c>
      <c r="G50">
        <f>LNG_global[[#This Row],[Distance '[miles']]]*1.60934449789256</f>
        <v>9636.7548533806494</v>
      </c>
      <c r="I50" t="s">
        <v>239</v>
      </c>
    </row>
    <row r="51" spans="1:9">
      <c r="A51" t="s">
        <v>192</v>
      </c>
      <c r="B51" t="s">
        <v>185</v>
      </c>
      <c r="E51">
        <f t="shared" ref="E51:E56" si="5">D51/1000</f>
        <v>0</v>
      </c>
      <c r="F51">
        <v>5135</v>
      </c>
      <c r="G51">
        <f>LNG_global[[#This Row],[Distance '[miles']]]*1.60934449789256</f>
        <v>8263.9839966782947</v>
      </c>
      <c r="I51" t="s">
        <v>240</v>
      </c>
    </row>
    <row r="52" spans="1:9">
      <c r="A52" t="s">
        <v>192</v>
      </c>
      <c r="B52" t="s">
        <v>188</v>
      </c>
      <c r="E52">
        <f t="shared" si="5"/>
        <v>0</v>
      </c>
      <c r="F52">
        <v>7934</v>
      </c>
      <c r="G52">
        <f>LNG_global[[#This Row],[Distance '[miles']]]*1.60934449789256</f>
        <v>12768.53924627957</v>
      </c>
      <c r="H52" t="s">
        <v>213</v>
      </c>
      <c r="I52" t="s">
        <v>275</v>
      </c>
    </row>
    <row r="53" spans="1:9">
      <c r="A53" t="s">
        <v>192</v>
      </c>
      <c r="B53" t="s">
        <v>189</v>
      </c>
      <c r="E53">
        <f t="shared" si="5"/>
        <v>0</v>
      </c>
      <c r="F53">
        <v>8074</v>
      </c>
      <c r="G53">
        <f>LNG_global[[#This Row],[Distance '[miles']]]*1.60934449789256</f>
        <v>12993.847475984529</v>
      </c>
      <c r="H53" t="s">
        <v>213</v>
      </c>
      <c r="I53" t="s">
        <v>243</v>
      </c>
    </row>
    <row r="54" spans="1:9">
      <c r="A54" t="s">
        <v>192</v>
      </c>
      <c r="B54" t="s">
        <v>190</v>
      </c>
      <c r="E54">
        <f t="shared" si="5"/>
        <v>0</v>
      </c>
      <c r="F54">
        <v>3043</v>
      </c>
      <c r="G54">
        <f>LNG_global[[#This Row],[Distance '[miles']]]*1.60934449789256</f>
        <v>4897.2353070870604</v>
      </c>
      <c r="H54" t="s">
        <v>213</v>
      </c>
      <c r="I54" t="s">
        <v>244</v>
      </c>
    </row>
    <row r="55" spans="1:9">
      <c r="A55" t="s">
        <v>192</v>
      </c>
      <c r="B55" t="s">
        <v>191</v>
      </c>
      <c r="E55">
        <f t="shared" si="5"/>
        <v>0</v>
      </c>
      <c r="F55">
        <v>6001</v>
      </c>
      <c r="G55">
        <f>LNG_global[[#This Row],[Distance '[miles']]]*1.60934449789256</f>
        <v>9657.6763318532521</v>
      </c>
      <c r="H55" t="s">
        <v>213</v>
      </c>
      <c r="I55" t="s">
        <v>245</v>
      </c>
    </row>
    <row r="56" spans="1:9">
      <c r="A56" t="s">
        <v>195</v>
      </c>
      <c r="B56" t="s">
        <v>187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239</v>
      </c>
    </row>
    <row r="57" spans="1:9">
      <c r="A57" t="s">
        <v>195</v>
      </c>
      <c r="B57" t="s">
        <v>185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240</v>
      </c>
    </row>
    <row r="58" spans="1:9">
      <c r="A58" t="s">
        <v>195</v>
      </c>
      <c r="B58" t="s">
        <v>188</v>
      </c>
      <c r="E58">
        <f t="shared" si="6"/>
        <v>0</v>
      </c>
      <c r="F58">
        <v>2186</v>
      </c>
      <c r="G58">
        <f>LNG_global[[#This Row],[Distance '[miles']]]*1.60934449789256</f>
        <v>3518.0270723931362</v>
      </c>
      <c r="I58" t="s">
        <v>285</v>
      </c>
    </row>
    <row r="59" spans="1:9">
      <c r="A59" t="s">
        <v>195</v>
      </c>
      <c r="B59" t="s">
        <v>189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243</v>
      </c>
    </row>
    <row r="60" spans="1:9">
      <c r="A60" t="s">
        <v>195</v>
      </c>
      <c r="B60" t="s">
        <v>190</v>
      </c>
      <c r="E60">
        <f t="shared" si="6"/>
        <v>0</v>
      </c>
      <c r="F60">
        <v>3760</v>
      </c>
      <c r="G60">
        <f>LNG_global[[#This Row],[Distance '[miles']]]*1.60934449789256</f>
        <v>6051.135312076025</v>
      </c>
      <c r="I60" t="s">
        <v>244</v>
      </c>
    </row>
    <row r="61" spans="1:9">
      <c r="A61" t="s">
        <v>195</v>
      </c>
      <c r="B61" t="s">
        <v>191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245</v>
      </c>
    </row>
    <row r="62" spans="1:9">
      <c r="A62" t="s">
        <v>195</v>
      </c>
      <c r="B62" t="s">
        <v>192</v>
      </c>
      <c r="E62">
        <f t="shared" si="6"/>
        <v>0</v>
      </c>
      <c r="F62">
        <v>5866</v>
      </c>
      <c r="G62">
        <f>LNG_global[[#This Row],[Distance '[miles']]]*1.60934449789256</f>
        <v>9440.4148246377572</v>
      </c>
      <c r="I62" t="s">
        <v>278</v>
      </c>
    </row>
    <row r="63" spans="1:9">
      <c r="A63" t="s">
        <v>184</v>
      </c>
      <c r="B63" t="s">
        <v>201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213</v>
      </c>
      <c r="I63" t="s">
        <v>234</v>
      </c>
    </row>
    <row r="64" spans="1:9">
      <c r="A64" t="s">
        <v>184</v>
      </c>
      <c r="B64" t="s">
        <v>202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213</v>
      </c>
      <c r="I64" t="s">
        <v>214</v>
      </c>
    </row>
    <row r="65" spans="1:9">
      <c r="A65" t="s">
        <v>184</v>
      </c>
      <c r="B65" t="s">
        <v>268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213</v>
      </c>
      <c r="I65" t="s">
        <v>215</v>
      </c>
    </row>
    <row r="66" spans="1:9">
      <c r="A66" t="s">
        <v>184</v>
      </c>
      <c r="B66" t="s">
        <v>203</v>
      </c>
      <c r="E66">
        <f t="shared" si="7"/>
        <v>0</v>
      </c>
      <c r="F66">
        <v>4380</v>
      </c>
      <c r="G66">
        <f>LNG_global[[#This Row],[Distance '[miles']]]*1.60934449789256</f>
        <v>7048.9289007694124</v>
      </c>
      <c r="H66" t="s">
        <v>213</v>
      </c>
      <c r="I66" t="s">
        <v>287</v>
      </c>
    </row>
    <row r="67" spans="1:9">
      <c r="A67" t="s">
        <v>184</v>
      </c>
      <c r="B67" t="s">
        <v>204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213</v>
      </c>
      <c r="I67" t="s">
        <v>217</v>
      </c>
    </row>
    <row r="68" spans="1:9">
      <c r="A68" t="s">
        <v>184</v>
      </c>
      <c r="B68" t="s">
        <v>205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213</v>
      </c>
      <c r="I68" t="s">
        <v>218</v>
      </c>
    </row>
    <row r="69" spans="1:9">
      <c r="A69" t="s">
        <v>184</v>
      </c>
      <c r="B69" t="s">
        <v>206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213</v>
      </c>
      <c r="I69" t="s">
        <v>219</v>
      </c>
    </row>
    <row r="70" spans="1:9">
      <c r="A70" t="s">
        <v>184</v>
      </c>
      <c r="B70" t="s">
        <v>207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213</v>
      </c>
      <c r="I70" t="s">
        <v>220</v>
      </c>
    </row>
    <row r="71" spans="1:9">
      <c r="A71" t="s">
        <v>184</v>
      </c>
      <c r="B71" t="s">
        <v>208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213</v>
      </c>
      <c r="I71" t="s">
        <v>221</v>
      </c>
    </row>
    <row r="72" spans="1:9">
      <c r="A72" t="s">
        <v>184</v>
      </c>
      <c r="B72" t="s">
        <v>209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213</v>
      </c>
      <c r="I72" t="s">
        <v>222</v>
      </c>
    </row>
    <row r="73" spans="1:9">
      <c r="A73" t="s">
        <v>184</v>
      </c>
      <c r="B73" t="s">
        <v>210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213</v>
      </c>
      <c r="I73" t="s">
        <v>223</v>
      </c>
    </row>
    <row r="74" spans="1:9">
      <c r="A74" t="s">
        <v>184</v>
      </c>
      <c r="B74" t="s">
        <v>211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213</v>
      </c>
      <c r="I74" t="s">
        <v>238</v>
      </c>
    </row>
    <row r="75" spans="1:9">
      <c r="A75" t="s">
        <v>180</v>
      </c>
      <c r="B75" t="s">
        <v>201</v>
      </c>
      <c r="E75">
        <f>D75/1000</f>
        <v>0</v>
      </c>
      <c r="F75">
        <v>4986</v>
      </c>
      <c r="G75">
        <f>LNG_global[[#This Row],[Distance '[miles']]]*1.60934449789256</f>
        <v>8024.1916664923037</v>
      </c>
      <c r="I75" t="s">
        <v>234</v>
      </c>
    </row>
    <row r="76" spans="1:9">
      <c r="A76" t="s">
        <v>180</v>
      </c>
      <c r="B76" t="s">
        <v>202</v>
      </c>
      <c r="E76">
        <f t="shared" ref="E76:E86" si="8">D76/1000</f>
        <v>0</v>
      </c>
      <c r="F76">
        <v>4958</v>
      </c>
      <c r="G76">
        <f>LNG_global[[#This Row],[Distance '[miles']]]*1.60934449789256</f>
        <v>7979.1300205513126</v>
      </c>
      <c r="I76" t="s">
        <v>252</v>
      </c>
    </row>
    <row r="77" spans="1:9">
      <c r="A77" t="s">
        <v>180</v>
      </c>
      <c r="B77" t="s">
        <v>268</v>
      </c>
      <c r="E77">
        <f t="shared" si="8"/>
        <v>0</v>
      </c>
      <c r="F77">
        <v>6255</v>
      </c>
      <c r="G77">
        <f>LNG_global[[#This Row],[Distance '[miles']]]*1.60934449789256</f>
        <v>10066.449834317962</v>
      </c>
      <c r="I77" t="s">
        <v>215</v>
      </c>
    </row>
    <row r="78" spans="1:9">
      <c r="A78" t="s">
        <v>180</v>
      </c>
      <c r="B78" t="s">
        <v>203</v>
      </c>
      <c r="E78">
        <f t="shared" si="8"/>
        <v>0</v>
      </c>
      <c r="F78">
        <v>5631</v>
      </c>
      <c r="G78">
        <f>LNG_global[[#This Row],[Distance '[miles']]]*1.60934449789256</f>
        <v>9062.2188676330043</v>
      </c>
      <c r="I78" t="s">
        <v>276</v>
      </c>
    </row>
    <row r="79" spans="1:9">
      <c r="A79" t="s">
        <v>180</v>
      </c>
      <c r="B79" t="s">
        <v>204</v>
      </c>
      <c r="E79">
        <f t="shared" si="8"/>
        <v>0</v>
      </c>
      <c r="F79">
        <v>6380</v>
      </c>
      <c r="G79">
        <f>LNG_global[[#This Row],[Distance '[miles']]]*1.60934449789256</f>
        <v>10267.617896554533</v>
      </c>
      <c r="I79" t="s">
        <v>217</v>
      </c>
    </row>
    <row r="80" spans="1:9">
      <c r="A80" t="s">
        <v>180</v>
      </c>
      <c r="B80" t="s">
        <v>205</v>
      </c>
      <c r="E80">
        <f t="shared" si="8"/>
        <v>0</v>
      </c>
      <c r="F80">
        <v>5634</v>
      </c>
      <c r="G80">
        <f>LNG_global[[#This Row],[Distance '[miles']]]*1.60934449789256</f>
        <v>9067.0469011266832</v>
      </c>
      <c r="I80" t="s">
        <v>218</v>
      </c>
    </row>
    <row r="81" spans="1:9">
      <c r="A81" t="s">
        <v>180</v>
      </c>
      <c r="B81" t="s">
        <v>206</v>
      </c>
      <c r="E81">
        <f t="shared" si="8"/>
        <v>0</v>
      </c>
      <c r="F81">
        <v>5052</v>
      </c>
      <c r="G81">
        <f>LNG_global[[#This Row],[Distance '[miles']]]*1.60934449789256</f>
        <v>8130.4084033532126</v>
      </c>
      <c r="I81" t="s">
        <v>219</v>
      </c>
    </row>
    <row r="82" spans="1:9">
      <c r="A82" t="s">
        <v>180</v>
      </c>
      <c r="B82" t="s">
        <v>207</v>
      </c>
      <c r="E82">
        <f t="shared" si="8"/>
        <v>0</v>
      </c>
      <c r="F82">
        <v>5443</v>
      </c>
      <c r="G82">
        <f>LNG_global[[#This Row],[Distance '[miles']]]*1.60934449789256</f>
        <v>8759.6621020292041</v>
      </c>
      <c r="I82" t="s">
        <v>220</v>
      </c>
    </row>
    <row r="83" spans="1:9">
      <c r="A83" t="s">
        <v>180</v>
      </c>
      <c r="B83" t="s">
        <v>208</v>
      </c>
      <c r="E83">
        <f t="shared" si="8"/>
        <v>0</v>
      </c>
      <c r="F83">
        <v>4565</v>
      </c>
      <c r="G83">
        <f>LNG_global[[#This Row],[Distance '[miles']]]*1.60934449789256</f>
        <v>7346.6576328795363</v>
      </c>
      <c r="I83" t="s">
        <v>221</v>
      </c>
    </row>
    <row r="84" spans="1:9">
      <c r="A84" t="s">
        <v>180</v>
      </c>
      <c r="B84" t="s">
        <v>209</v>
      </c>
      <c r="E84">
        <f t="shared" si="8"/>
        <v>0</v>
      </c>
      <c r="F84">
        <v>4697</v>
      </c>
      <c r="G84">
        <f>LNG_global[[#This Row],[Distance '[miles']]]*1.60934449789256</f>
        <v>7559.0911066013541</v>
      </c>
      <c r="I84" t="s">
        <v>248</v>
      </c>
    </row>
    <row r="85" spans="1:9">
      <c r="A85" t="s">
        <v>180</v>
      </c>
      <c r="B85" t="s">
        <v>210</v>
      </c>
      <c r="E85">
        <f t="shared" si="8"/>
        <v>0</v>
      </c>
      <c r="F85">
        <v>6409</v>
      </c>
      <c r="G85">
        <f>LNG_global[[#This Row],[Distance '[miles']]]*1.60934449789256</f>
        <v>10314.288886993416</v>
      </c>
      <c r="I85" t="s">
        <v>223</v>
      </c>
    </row>
    <row r="86" spans="1:9">
      <c r="A86" t="s">
        <v>180</v>
      </c>
      <c r="B86" t="s">
        <v>211</v>
      </c>
      <c r="E86">
        <f t="shared" si="8"/>
        <v>0</v>
      </c>
      <c r="F86">
        <v>4666</v>
      </c>
      <c r="G86">
        <f>LNG_global[[#This Row],[Distance '[miles']]]*1.60934449789256</f>
        <v>7509.2014271666849</v>
      </c>
      <c r="I86" t="s">
        <v>238</v>
      </c>
    </row>
    <row r="87" spans="1:9">
      <c r="A87" t="s">
        <v>182</v>
      </c>
      <c r="B87" t="s">
        <v>201</v>
      </c>
      <c r="E87">
        <f>D87/1000</f>
        <v>0</v>
      </c>
      <c r="F87">
        <v>3985</v>
      </c>
      <c r="G87">
        <f>LNG_global[[#This Row],[Distance '[miles']]]*1.60934449789256</f>
        <v>6413.2378241018514</v>
      </c>
      <c r="I87" t="s">
        <v>234</v>
      </c>
    </row>
    <row r="88" spans="1:9">
      <c r="A88" t="s">
        <v>182</v>
      </c>
      <c r="B88" t="s">
        <v>202</v>
      </c>
      <c r="E88">
        <f t="shared" ref="E88:E98" si="9">D88/1000</f>
        <v>0</v>
      </c>
      <c r="F88">
        <v>3952</v>
      </c>
      <c r="G88">
        <f>LNG_global[[#This Row],[Distance '[miles']]]*1.60934449789256</f>
        <v>6360.1294556713965</v>
      </c>
      <c r="I88" t="s">
        <v>252</v>
      </c>
    </row>
    <row r="89" spans="1:9">
      <c r="A89" t="s">
        <v>182</v>
      </c>
      <c r="B89" t="s">
        <v>268</v>
      </c>
      <c r="E89">
        <f t="shared" si="9"/>
        <v>0</v>
      </c>
      <c r="F89">
        <v>4898</v>
      </c>
      <c r="G89">
        <f>LNG_global[[#This Row],[Distance '[miles']]]*1.60934449789256</f>
        <v>7882.5693506777588</v>
      </c>
      <c r="I89" t="s">
        <v>215</v>
      </c>
    </row>
    <row r="90" spans="1:9">
      <c r="A90" t="s">
        <v>182</v>
      </c>
      <c r="B90" t="s">
        <v>203</v>
      </c>
      <c r="E90">
        <f t="shared" si="9"/>
        <v>0</v>
      </c>
      <c r="F90">
        <v>5075</v>
      </c>
      <c r="G90">
        <f>LNG_global[[#This Row],[Distance '[miles']]]*1.60934449789256</f>
        <v>8167.4233268047419</v>
      </c>
      <c r="I90" t="s">
        <v>287</v>
      </c>
    </row>
    <row r="91" spans="1:9">
      <c r="A91" t="s">
        <v>182</v>
      </c>
      <c r="B91" t="s">
        <v>204</v>
      </c>
      <c r="E91">
        <f t="shared" si="9"/>
        <v>0</v>
      </c>
      <c r="F91">
        <v>5023</v>
      </c>
      <c r="G91">
        <f>LNG_global[[#This Row],[Distance '[miles']]]*1.60934449789256</f>
        <v>8083.7374129143291</v>
      </c>
      <c r="I91" t="s">
        <v>217</v>
      </c>
    </row>
    <row r="92" spans="1:9">
      <c r="A92" t="s">
        <v>182</v>
      </c>
      <c r="B92" t="s">
        <v>205</v>
      </c>
      <c r="E92">
        <f t="shared" si="9"/>
        <v>0</v>
      </c>
      <c r="F92">
        <v>4823</v>
      </c>
      <c r="G92">
        <f>LNG_global[[#This Row],[Distance '[miles']]]*1.60934449789256</f>
        <v>7761.8685133358167</v>
      </c>
      <c r="I92" t="s">
        <v>218</v>
      </c>
    </row>
    <row r="93" spans="1:9">
      <c r="A93" t="s">
        <v>182</v>
      </c>
      <c r="B93" t="s">
        <v>206</v>
      </c>
      <c r="E93">
        <f t="shared" si="9"/>
        <v>0</v>
      </c>
      <c r="F93">
        <v>4051</v>
      </c>
      <c r="G93">
        <f>LNG_global[[#This Row],[Distance '[miles']]]*1.60934449789256</f>
        <v>6519.4545609627603</v>
      </c>
      <c r="I93" t="s">
        <v>219</v>
      </c>
    </row>
    <row r="94" spans="1:9">
      <c r="A94" t="s">
        <v>182</v>
      </c>
      <c r="B94" t="s">
        <v>207</v>
      </c>
      <c r="E94">
        <f t="shared" si="9"/>
        <v>0</v>
      </c>
      <c r="F94">
        <v>4632</v>
      </c>
      <c r="G94">
        <f>LNG_global[[#This Row],[Distance '[miles']]]*1.60934449789256</f>
        <v>7454.4837142383376</v>
      </c>
      <c r="I94" t="s">
        <v>220</v>
      </c>
    </row>
    <row r="95" spans="1:9">
      <c r="A95" t="s">
        <v>182</v>
      </c>
      <c r="B95" t="s">
        <v>208</v>
      </c>
      <c r="E95">
        <f t="shared" si="9"/>
        <v>0</v>
      </c>
      <c r="F95">
        <v>3299</v>
      </c>
      <c r="G95">
        <f>LNG_global[[#This Row],[Distance '[miles']]]*1.60934449789256</f>
        <v>5309.2274985475551</v>
      </c>
      <c r="I95" t="s">
        <v>221</v>
      </c>
    </row>
    <row r="96" spans="1:9">
      <c r="A96" t="s">
        <v>182</v>
      </c>
      <c r="B96" t="s">
        <v>209</v>
      </c>
      <c r="E96">
        <f t="shared" si="9"/>
        <v>0</v>
      </c>
      <c r="F96">
        <v>3645</v>
      </c>
      <c r="G96">
        <f>LNG_global[[#This Row],[Distance '[miles']]]*1.60934449789256</f>
        <v>5866.0606948183813</v>
      </c>
      <c r="I96" t="s">
        <v>237</v>
      </c>
    </row>
    <row r="97" spans="1:9">
      <c r="A97" t="s">
        <v>182</v>
      </c>
      <c r="B97" t="s">
        <v>210</v>
      </c>
      <c r="E97">
        <f t="shared" si="9"/>
        <v>0</v>
      </c>
      <c r="F97">
        <v>5052</v>
      </c>
      <c r="G97">
        <f>LNG_global[[#This Row],[Distance '[miles']]]*1.60934449789256</f>
        <v>8130.4084033532126</v>
      </c>
      <c r="I97" t="s">
        <v>223</v>
      </c>
    </row>
    <row r="98" spans="1:9">
      <c r="A98" t="s">
        <v>182</v>
      </c>
      <c r="B98" t="s">
        <v>211</v>
      </c>
      <c r="E98">
        <f t="shared" si="9"/>
        <v>0</v>
      </c>
      <c r="F98">
        <v>3974</v>
      </c>
      <c r="G98">
        <f>LNG_global[[#This Row],[Distance '[miles']]]*1.60934449789256</f>
        <v>6395.5350346250334</v>
      </c>
      <c r="I98" t="s">
        <v>281</v>
      </c>
    </row>
    <row r="99" spans="1:9">
      <c r="A99" t="s">
        <v>183</v>
      </c>
      <c r="B99" t="s">
        <v>201</v>
      </c>
      <c r="E99">
        <f>D99/1000</f>
        <v>0</v>
      </c>
      <c r="F99">
        <v>6210</v>
      </c>
      <c r="G99">
        <f>LNG_global[[#This Row],[Distance '[miles']]]*1.60934449789256</f>
        <v>9994.0293319127977</v>
      </c>
      <c r="H99" t="s">
        <v>213</v>
      </c>
      <c r="I99" t="s">
        <v>234</v>
      </c>
    </row>
    <row r="100" spans="1:9">
      <c r="A100" t="s">
        <v>183</v>
      </c>
      <c r="B100" t="s">
        <v>202</v>
      </c>
      <c r="E100">
        <f t="shared" ref="E100:E110" si="10">D100/1000</f>
        <v>0</v>
      </c>
      <c r="F100">
        <v>6177</v>
      </c>
      <c r="G100">
        <f>LNG_global[[#This Row],[Distance '[miles']]]*1.60934449789256</f>
        <v>9940.9209634823437</v>
      </c>
      <c r="H100" t="s">
        <v>213</v>
      </c>
      <c r="I100" t="s">
        <v>252</v>
      </c>
    </row>
    <row r="101" spans="1:9">
      <c r="A101" t="s">
        <v>183</v>
      </c>
      <c r="B101" t="s">
        <v>268</v>
      </c>
      <c r="E101">
        <f t="shared" si="10"/>
        <v>0</v>
      </c>
      <c r="F101">
        <v>3601</v>
      </c>
      <c r="G101">
        <f>LNG_global[[#This Row],[Distance '[miles']]]*1.60934449789256</f>
        <v>5795.2495369111084</v>
      </c>
      <c r="H101" t="s">
        <v>213</v>
      </c>
      <c r="I101" t="s">
        <v>215</v>
      </c>
    </row>
    <row r="102" spans="1:9">
      <c r="A102" t="s">
        <v>183</v>
      </c>
      <c r="B102" t="s">
        <v>203</v>
      </c>
      <c r="E102">
        <f t="shared" si="10"/>
        <v>0</v>
      </c>
      <c r="F102">
        <v>4385</v>
      </c>
      <c r="G102">
        <f>LNG_global[[#This Row],[Distance '[miles']]]*1.60934449789256</f>
        <v>7056.9756232588752</v>
      </c>
      <c r="H102" t="s">
        <v>213</v>
      </c>
      <c r="I102" t="s">
        <v>216</v>
      </c>
    </row>
    <row r="103" spans="1:9">
      <c r="A103" t="s">
        <v>183</v>
      </c>
      <c r="B103" t="s">
        <v>204</v>
      </c>
      <c r="E103">
        <f t="shared" si="10"/>
        <v>0</v>
      </c>
      <c r="F103">
        <v>4260</v>
      </c>
      <c r="G103">
        <f>LNG_global[[#This Row],[Distance '[miles']]]*1.60934449789256</f>
        <v>6855.807561022305</v>
      </c>
      <c r="H103" t="s">
        <v>213</v>
      </c>
      <c r="I103" t="s">
        <v>217</v>
      </c>
    </row>
    <row r="104" spans="1:9">
      <c r="A104" t="s">
        <v>183</v>
      </c>
      <c r="B104" t="s">
        <v>205</v>
      </c>
      <c r="E104">
        <f t="shared" si="10"/>
        <v>0</v>
      </c>
      <c r="F104">
        <v>7144</v>
      </c>
      <c r="G104">
        <f>LNG_global[[#This Row],[Distance '[miles']]]*1.60934449789256</f>
        <v>11497.157092944448</v>
      </c>
      <c r="H104" t="s">
        <v>213</v>
      </c>
      <c r="I104" t="s">
        <v>218</v>
      </c>
    </row>
    <row r="105" spans="1:9">
      <c r="A105" t="s">
        <v>183</v>
      </c>
      <c r="B105" t="s">
        <v>206</v>
      </c>
      <c r="E105">
        <f t="shared" si="10"/>
        <v>0</v>
      </c>
      <c r="F105">
        <v>6276</v>
      </c>
      <c r="G105">
        <f>LNG_global[[#This Row],[Distance '[miles']]]*1.60934449789256</f>
        <v>10100.246068773706</v>
      </c>
      <c r="H105" t="s">
        <v>213</v>
      </c>
      <c r="I105" t="s">
        <v>219</v>
      </c>
    </row>
    <row r="106" spans="1:9">
      <c r="A106" t="s">
        <v>183</v>
      </c>
      <c r="B106" t="s">
        <v>207</v>
      </c>
      <c r="E106">
        <f t="shared" si="10"/>
        <v>0</v>
      </c>
      <c r="F106">
        <v>6953</v>
      </c>
      <c r="G106">
        <f>LNG_global[[#This Row],[Distance '[miles']]]*1.60934449789256</f>
        <v>11189.772293846969</v>
      </c>
      <c r="H106" t="s">
        <v>213</v>
      </c>
      <c r="I106" t="s">
        <v>220</v>
      </c>
    </row>
    <row r="107" spans="1:9">
      <c r="A107" t="s">
        <v>183</v>
      </c>
      <c r="B107" t="s">
        <v>208</v>
      </c>
      <c r="E107">
        <f t="shared" si="10"/>
        <v>0</v>
      </c>
      <c r="F107">
        <v>5199</v>
      </c>
      <c r="G107">
        <f>LNG_global[[#This Row],[Distance '[miles']]]*1.60934449789256</f>
        <v>8366.9820445434198</v>
      </c>
      <c r="H107" t="s">
        <v>213</v>
      </c>
      <c r="I107" t="s">
        <v>221</v>
      </c>
    </row>
    <row r="108" spans="1:9">
      <c r="A108" t="s">
        <v>183</v>
      </c>
      <c r="B108" t="s">
        <v>209</v>
      </c>
      <c r="E108">
        <f t="shared" si="10"/>
        <v>0</v>
      </c>
      <c r="F108">
        <v>4590</v>
      </c>
      <c r="G108">
        <f>LNG_global[[#This Row],[Distance '[miles']]]*1.60934449789256</f>
        <v>7386.8912453268504</v>
      </c>
      <c r="H108" t="s">
        <v>213</v>
      </c>
      <c r="I108" t="s">
        <v>222</v>
      </c>
    </row>
    <row r="109" spans="1:9">
      <c r="A109" t="s">
        <v>183</v>
      </c>
      <c r="B109" t="s">
        <v>210</v>
      </c>
      <c r="E109">
        <f t="shared" si="10"/>
        <v>0</v>
      </c>
      <c r="F109">
        <v>3600</v>
      </c>
      <c r="G109">
        <f>LNG_global[[#This Row],[Distance '[miles']]]*1.60934449789256</f>
        <v>5793.640192413216</v>
      </c>
      <c r="H109" t="s">
        <v>213</v>
      </c>
      <c r="I109" t="s">
        <v>223</v>
      </c>
    </row>
    <row r="110" spans="1:9">
      <c r="A110" t="s">
        <v>183</v>
      </c>
      <c r="B110" t="s">
        <v>211</v>
      </c>
      <c r="E110">
        <f t="shared" si="10"/>
        <v>0</v>
      </c>
      <c r="F110">
        <v>6024</v>
      </c>
      <c r="G110">
        <f>LNG_global[[#This Row],[Distance '[miles']]]*1.60934449789256</f>
        <v>9694.6912553047805</v>
      </c>
      <c r="H110" t="s">
        <v>213</v>
      </c>
      <c r="I110" t="s">
        <v>238</v>
      </c>
    </row>
    <row r="111" spans="1:9">
      <c r="A111" t="s">
        <v>185</v>
      </c>
      <c r="B111" t="s">
        <v>201</v>
      </c>
      <c r="E111">
        <f t="shared" ref="E111:E122" si="11">D111/1000</f>
        <v>0</v>
      </c>
      <c r="F111">
        <v>4348</v>
      </c>
      <c r="G111">
        <f>LNG_global[[#This Row],[Distance '[miles']]]*1.60934449789256</f>
        <v>6997.4298768368508</v>
      </c>
      <c r="I111" t="s">
        <v>234</v>
      </c>
    </row>
    <row r="112" spans="1:9">
      <c r="A112" t="s">
        <v>185</v>
      </c>
      <c r="B112" t="s">
        <v>202</v>
      </c>
      <c r="E112">
        <f t="shared" si="11"/>
        <v>0</v>
      </c>
      <c r="F112">
        <v>3980</v>
      </c>
      <c r="G112">
        <f>LNG_global[[#This Row],[Distance '[miles']]]*1.60934449789256</f>
        <v>6405.1911016123886</v>
      </c>
      <c r="I112" t="s">
        <v>279</v>
      </c>
    </row>
    <row r="113" spans="1:9">
      <c r="A113" t="s">
        <v>185</v>
      </c>
      <c r="B113" t="s">
        <v>268</v>
      </c>
      <c r="E113">
        <f t="shared" si="11"/>
        <v>0</v>
      </c>
      <c r="F113">
        <v>4824</v>
      </c>
      <c r="G113">
        <f>LNG_global[[#This Row],[Distance '[miles']]]*1.60934449789256</f>
        <v>7763.4778578337091</v>
      </c>
      <c r="I113" t="s">
        <v>215</v>
      </c>
    </row>
    <row r="114" spans="1:9">
      <c r="A114" t="s">
        <v>185</v>
      </c>
      <c r="B114" t="s">
        <v>203</v>
      </c>
      <c r="E114">
        <f t="shared" si="11"/>
        <v>0</v>
      </c>
      <c r="F114">
        <v>4172</v>
      </c>
      <c r="G114">
        <f>LNG_global[[#This Row],[Distance '[miles']]]*1.60934449789256</f>
        <v>6714.1852452077601</v>
      </c>
      <c r="I114" t="s">
        <v>276</v>
      </c>
    </row>
    <row r="115" spans="1:9">
      <c r="A115" t="s">
        <v>185</v>
      </c>
      <c r="B115" t="s">
        <v>204</v>
      </c>
      <c r="E115">
        <f t="shared" si="11"/>
        <v>0</v>
      </c>
      <c r="F115">
        <v>4949</v>
      </c>
      <c r="G115">
        <f>LNG_global[[#This Row],[Distance '[miles']]]*1.60934449789256</f>
        <v>7964.6459200702793</v>
      </c>
      <c r="I115" t="s">
        <v>217</v>
      </c>
    </row>
    <row r="116" spans="1:9">
      <c r="A116" t="s">
        <v>185</v>
      </c>
      <c r="B116" t="s">
        <v>205</v>
      </c>
      <c r="E116">
        <f t="shared" si="11"/>
        <v>0</v>
      </c>
      <c r="F116">
        <v>5282</v>
      </c>
      <c r="G116">
        <f>LNG_global[[#This Row],[Distance '[miles']]]*1.60934449789256</f>
        <v>8500.5576378685018</v>
      </c>
      <c r="I116" t="s">
        <v>218</v>
      </c>
    </row>
    <row r="117" spans="1:9">
      <c r="A117" t="s">
        <v>185</v>
      </c>
      <c r="B117" t="s">
        <v>206</v>
      </c>
      <c r="E117">
        <f t="shared" si="11"/>
        <v>0</v>
      </c>
      <c r="F117">
        <v>4414</v>
      </c>
      <c r="G117">
        <f>LNG_global[[#This Row],[Distance '[miles']]]*1.60934449789256</f>
        <v>7103.6466136977597</v>
      </c>
      <c r="I117" t="s">
        <v>219</v>
      </c>
    </row>
    <row r="118" spans="1:9">
      <c r="A118" t="s">
        <v>185</v>
      </c>
      <c r="B118" t="s">
        <v>207</v>
      </c>
      <c r="E118">
        <f t="shared" si="11"/>
        <v>0</v>
      </c>
      <c r="F118">
        <v>5091</v>
      </c>
      <c r="G118">
        <f>LNG_global[[#This Row],[Distance '[miles']]]*1.60934449789256</f>
        <v>8193.1728387710227</v>
      </c>
      <c r="I118" t="s">
        <v>220</v>
      </c>
    </row>
    <row r="119" spans="1:9">
      <c r="A119" t="s">
        <v>185</v>
      </c>
      <c r="B119" t="s">
        <v>208</v>
      </c>
      <c r="E119">
        <f t="shared" si="11"/>
        <v>0</v>
      </c>
      <c r="F119">
        <v>3389</v>
      </c>
      <c r="G119">
        <f>LNG_global[[#This Row],[Distance '[miles']]]*1.60934449789256</f>
        <v>5454.0685033578857</v>
      </c>
      <c r="I119" t="s">
        <v>221</v>
      </c>
    </row>
    <row r="120" spans="1:9">
      <c r="A120" t="s">
        <v>185</v>
      </c>
      <c r="B120" t="s">
        <v>209</v>
      </c>
      <c r="E120">
        <f t="shared" si="11"/>
        <v>0</v>
      </c>
      <c r="F120">
        <v>3359</v>
      </c>
      <c r="G120">
        <f>LNG_global[[#This Row],[Distance '[miles']]]*1.60934449789256</f>
        <v>5405.7881684211088</v>
      </c>
      <c r="I120" t="s">
        <v>248</v>
      </c>
    </row>
    <row r="121" spans="1:9">
      <c r="A121" t="s">
        <v>185</v>
      </c>
      <c r="B121" t="s">
        <v>210</v>
      </c>
      <c r="E121">
        <f t="shared" si="11"/>
        <v>0</v>
      </c>
      <c r="F121">
        <v>5109</v>
      </c>
      <c r="G121">
        <f>LNG_global[[#This Row],[Distance '[miles']]]*1.60934449789256</f>
        <v>8222.1410397330892</v>
      </c>
      <c r="I121" t="s">
        <v>280</v>
      </c>
    </row>
    <row r="122" spans="1:9">
      <c r="A122" t="s">
        <v>185</v>
      </c>
      <c r="B122" t="s">
        <v>211</v>
      </c>
      <c r="E122">
        <f t="shared" si="11"/>
        <v>0</v>
      </c>
      <c r="F122">
        <v>4309</v>
      </c>
      <c r="G122">
        <f>LNG_global[[#This Row],[Distance '[miles']]]*1.60934449789256</f>
        <v>6934.6654414190407</v>
      </c>
      <c r="I122" t="s">
        <v>281</v>
      </c>
    </row>
    <row r="123" spans="1:9">
      <c r="A123" t="s">
        <v>186</v>
      </c>
      <c r="B123" t="s">
        <v>201</v>
      </c>
      <c r="E123">
        <f>D123/1000</f>
        <v>0</v>
      </c>
      <c r="F123">
        <v>9950</v>
      </c>
      <c r="G123">
        <f>LNG_global[[#This Row],[Distance '[miles']]]*1.60934449789256</f>
        <v>16012.977754030971</v>
      </c>
      <c r="H123" t="s">
        <v>213</v>
      </c>
      <c r="I123" t="s">
        <v>234</v>
      </c>
    </row>
    <row r="124" spans="1:9">
      <c r="A124" t="s">
        <v>186</v>
      </c>
      <c r="B124" t="s">
        <v>202</v>
      </c>
      <c r="E124">
        <f t="shared" ref="E124:E134" si="12">D124/1000</f>
        <v>0</v>
      </c>
      <c r="F124">
        <v>8254</v>
      </c>
      <c r="G124">
        <f>LNG_global[[#This Row],[Distance '[miles']]]*1.60934449789256</f>
        <v>13283.52948560519</v>
      </c>
      <c r="H124" t="s">
        <v>213</v>
      </c>
      <c r="I124" t="s">
        <v>214</v>
      </c>
    </row>
    <row r="125" spans="1:9">
      <c r="A125" t="s">
        <v>186</v>
      </c>
      <c r="B125" t="s">
        <v>268</v>
      </c>
      <c r="E125">
        <f t="shared" si="12"/>
        <v>0</v>
      </c>
      <c r="F125">
        <v>7341</v>
      </c>
      <c r="G125">
        <f>LNG_global[[#This Row],[Distance '[miles']]]*1.60934449789256</f>
        <v>11814.197959029283</v>
      </c>
      <c r="H125" t="s">
        <v>213</v>
      </c>
      <c r="I125" t="s">
        <v>215</v>
      </c>
    </row>
    <row r="126" spans="1:9">
      <c r="A126" t="s">
        <v>186</v>
      </c>
      <c r="B126" t="s">
        <v>203</v>
      </c>
      <c r="E126">
        <f t="shared" si="12"/>
        <v>0</v>
      </c>
      <c r="F126">
        <v>8125</v>
      </c>
      <c r="G126">
        <f>LNG_global[[#This Row],[Distance '[miles']]]*1.60934449789256</f>
        <v>13075.924045377049</v>
      </c>
      <c r="H126" t="s">
        <v>213</v>
      </c>
      <c r="I126" t="s">
        <v>216</v>
      </c>
    </row>
    <row r="127" spans="1:9">
      <c r="A127" t="s">
        <v>186</v>
      </c>
      <c r="B127" t="s">
        <v>204</v>
      </c>
      <c r="E127">
        <f t="shared" si="12"/>
        <v>0</v>
      </c>
      <c r="F127">
        <v>8000</v>
      </c>
      <c r="G127">
        <f>LNG_global[[#This Row],[Distance '[miles']]]*1.60934449789256</f>
        <v>12874.75598314048</v>
      </c>
      <c r="H127" t="s">
        <v>213</v>
      </c>
      <c r="I127" t="s">
        <v>217</v>
      </c>
    </row>
    <row r="128" spans="1:9">
      <c r="A128" t="s">
        <v>186</v>
      </c>
      <c r="B128" t="s">
        <v>205</v>
      </c>
      <c r="E128">
        <f t="shared" si="12"/>
        <v>0</v>
      </c>
      <c r="F128">
        <v>10884</v>
      </c>
      <c r="G128">
        <f>LNG_global[[#This Row],[Distance '[miles']]]*1.60934449789256</f>
        <v>17516.105515062623</v>
      </c>
      <c r="H128" t="s">
        <v>213</v>
      </c>
      <c r="I128" t="s">
        <v>218</v>
      </c>
    </row>
    <row r="129" spans="1:9">
      <c r="A129" t="s">
        <v>186</v>
      </c>
      <c r="B129" t="s">
        <v>206</v>
      </c>
      <c r="E129">
        <f t="shared" si="12"/>
        <v>0</v>
      </c>
      <c r="F129">
        <v>10016</v>
      </c>
      <c r="G129">
        <f>LNG_global[[#This Row],[Distance '[miles']]]*1.60934449789256</f>
        <v>16119.194490891881</v>
      </c>
      <c r="H129" t="s">
        <v>213</v>
      </c>
      <c r="I129" t="s">
        <v>219</v>
      </c>
    </row>
    <row r="130" spans="1:9">
      <c r="A130" t="s">
        <v>186</v>
      </c>
      <c r="B130" t="s">
        <v>207</v>
      </c>
      <c r="E130">
        <f t="shared" si="12"/>
        <v>0</v>
      </c>
      <c r="F130">
        <v>10693</v>
      </c>
      <c r="G130">
        <f>LNG_global[[#This Row],[Distance '[miles']]]*1.60934449789256</f>
        <v>17208.720715965144</v>
      </c>
      <c r="H130" t="s">
        <v>213</v>
      </c>
      <c r="I130" t="s">
        <v>220</v>
      </c>
    </row>
    <row r="131" spans="1:9">
      <c r="A131" t="s">
        <v>186</v>
      </c>
      <c r="B131" t="s">
        <v>208</v>
      </c>
      <c r="E131">
        <f t="shared" si="12"/>
        <v>0</v>
      </c>
      <c r="F131">
        <v>8939</v>
      </c>
      <c r="G131">
        <f>LNG_global[[#This Row],[Distance '[miles']]]*1.60934449789256</f>
        <v>14385.930466661594</v>
      </c>
      <c r="H131" t="s">
        <v>213</v>
      </c>
      <c r="I131" t="s">
        <v>221</v>
      </c>
    </row>
    <row r="132" spans="1:9">
      <c r="A132" t="s">
        <v>186</v>
      </c>
      <c r="B132" t="s">
        <v>209</v>
      </c>
      <c r="E132">
        <f t="shared" si="12"/>
        <v>0</v>
      </c>
      <c r="F132">
        <v>8330</v>
      </c>
      <c r="G132">
        <f>LNG_global[[#This Row],[Distance '[miles']]]*1.60934449789256</f>
        <v>13405.839667445025</v>
      </c>
      <c r="H132" t="s">
        <v>213</v>
      </c>
      <c r="I132" t="s">
        <v>222</v>
      </c>
    </row>
    <row r="133" spans="1:9">
      <c r="A133" t="s">
        <v>186</v>
      </c>
      <c r="B133" t="s">
        <v>210</v>
      </c>
      <c r="E133">
        <f t="shared" si="12"/>
        <v>0</v>
      </c>
      <c r="F133">
        <v>7340</v>
      </c>
      <c r="G133">
        <f>LNG_global[[#This Row],[Distance '[miles']]]*1.60934449789256</f>
        <v>11812.588614531391</v>
      </c>
      <c r="H133" t="s">
        <v>213</v>
      </c>
      <c r="I133" t="s">
        <v>223</v>
      </c>
    </row>
    <row r="134" spans="1:9">
      <c r="A134" t="s">
        <v>186</v>
      </c>
      <c r="B134" t="s">
        <v>211</v>
      </c>
      <c r="E134">
        <f t="shared" si="12"/>
        <v>0</v>
      </c>
      <c r="F134">
        <v>9764</v>
      </c>
      <c r="G134">
        <f>LNG_global[[#This Row],[Distance '[miles']]]*1.60934449789256</f>
        <v>15713.639677422956</v>
      </c>
      <c r="H134" t="s">
        <v>213</v>
      </c>
      <c r="I134" t="s">
        <v>238</v>
      </c>
    </row>
    <row r="135" spans="1:9">
      <c r="A135" t="s">
        <v>192</v>
      </c>
      <c r="B135" t="s">
        <v>201</v>
      </c>
      <c r="E135">
        <f>D135/1000</f>
        <v>0</v>
      </c>
      <c r="F135">
        <v>3208</v>
      </c>
      <c r="G135">
        <f>LNG_global[[#This Row],[Distance '[miles']]]*1.60934449789256</f>
        <v>5162.7771492393322</v>
      </c>
      <c r="I135" t="s">
        <v>234</v>
      </c>
    </row>
    <row r="136" spans="1:9">
      <c r="A136" t="s">
        <v>192</v>
      </c>
      <c r="B136" t="s">
        <v>202</v>
      </c>
      <c r="E136">
        <f t="shared" ref="E136:E146" si="13">D136/1000</f>
        <v>0</v>
      </c>
      <c r="F136">
        <v>1405</v>
      </c>
      <c r="G136">
        <f>LNG_global[[#This Row],[Distance '[miles']]]*1.60934449789256</f>
        <v>2261.1290195390466</v>
      </c>
      <c r="I136" t="s">
        <v>214</v>
      </c>
    </row>
    <row r="137" spans="1:9">
      <c r="A137" t="s">
        <v>192</v>
      </c>
      <c r="B137" t="s">
        <v>268</v>
      </c>
      <c r="E137">
        <f t="shared" si="13"/>
        <v>0</v>
      </c>
      <c r="F137">
        <v>518</v>
      </c>
      <c r="G137">
        <f>LNG_global[[#This Row],[Distance '[miles']]]*1.60934449789256</f>
        <v>833.64044990834611</v>
      </c>
      <c r="I137" t="s">
        <v>215</v>
      </c>
    </row>
    <row r="138" spans="1:9">
      <c r="A138" t="s">
        <v>192</v>
      </c>
      <c r="B138" t="s">
        <v>203</v>
      </c>
      <c r="E138">
        <f t="shared" si="13"/>
        <v>0</v>
      </c>
      <c r="F138">
        <v>1239</v>
      </c>
      <c r="G138">
        <f>LNG_global[[#This Row],[Distance '[miles']]]*1.60934449789256</f>
        <v>1993.9778328888817</v>
      </c>
      <c r="I138" t="s">
        <v>276</v>
      </c>
    </row>
    <row r="139" spans="1:9">
      <c r="A139" t="s">
        <v>192</v>
      </c>
      <c r="B139" t="s">
        <v>204</v>
      </c>
      <c r="E139">
        <f t="shared" si="13"/>
        <v>0</v>
      </c>
      <c r="F139">
        <v>1258</v>
      </c>
      <c r="G139">
        <f>LNG_global[[#This Row],[Distance '[miles']]]*1.60934449789256</f>
        <v>2024.5553783488403</v>
      </c>
      <c r="I139" t="s">
        <v>217</v>
      </c>
    </row>
    <row r="140" spans="1:9">
      <c r="A140" t="s">
        <v>192</v>
      </c>
      <c r="B140" t="s">
        <v>205</v>
      </c>
      <c r="E140">
        <f t="shared" si="13"/>
        <v>0</v>
      </c>
      <c r="F140">
        <v>4142</v>
      </c>
      <c r="G140">
        <f>LNG_global[[#This Row],[Distance '[miles']]]*1.60934449789256</f>
        <v>6665.9049102709832</v>
      </c>
      <c r="I140" t="s">
        <v>218</v>
      </c>
    </row>
    <row r="141" spans="1:9">
      <c r="A141" t="s">
        <v>192</v>
      </c>
      <c r="B141" t="s">
        <v>206</v>
      </c>
      <c r="E141">
        <f t="shared" si="13"/>
        <v>0</v>
      </c>
      <c r="F141">
        <v>3274</v>
      </c>
      <c r="G141">
        <f>LNG_global[[#This Row],[Distance '[miles']]]*1.60934449789256</f>
        <v>5268.9938861002411</v>
      </c>
      <c r="I141" t="s">
        <v>219</v>
      </c>
    </row>
    <row r="142" spans="1:9">
      <c r="A142" t="s">
        <v>192</v>
      </c>
      <c r="B142" t="s">
        <v>207</v>
      </c>
      <c r="E142">
        <f t="shared" si="13"/>
        <v>0</v>
      </c>
      <c r="F142">
        <v>3836</v>
      </c>
      <c r="G142">
        <f>LNG_global[[#This Row],[Distance '[miles']]]*1.60934449789256</f>
        <v>6173.4454939158604</v>
      </c>
      <c r="I142" t="s">
        <v>220</v>
      </c>
    </row>
    <row r="143" spans="1:9">
      <c r="A143" t="s">
        <v>192</v>
      </c>
      <c r="B143" t="s">
        <v>208</v>
      </c>
      <c r="E143">
        <f t="shared" si="13"/>
        <v>0</v>
      </c>
      <c r="F143">
        <v>2082</v>
      </c>
      <c r="G143">
        <f>LNG_global[[#This Row],[Distance '[miles']]]*1.60934449789256</f>
        <v>3350.6552446123096</v>
      </c>
      <c r="I143" t="s">
        <v>221</v>
      </c>
    </row>
    <row r="144" spans="1:9">
      <c r="A144" t="s">
        <v>192</v>
      </c>
      <c r="B144" t="s">
        <v>209</v>
      </c>
      <c r="E144">
        <f t="shared" si="13"/>
        <v>0</v>
      </c>
      <c r="F144">
        <v>1696</v>
      </c>
      <c r="G144">
        <f>LNG_global[[#This Row],[Distance '[miles']]]*1.60934449789256</f>
        <v>2729.4482684257819</v>
      </c>
      <c r="I144" t="s">
        <v>283</v>
      </c>
    </row>
    <row r="145" spans="1:9">
      <c r="A145" t="s">
        <v>192</v>
      </c>
      <c r="B145" t="s">
        <v>210</v>
      </c>
      <c r="E145">
        <f t="shared" si="13"/>
        <v>0</v>
      </c>
      <c r="F145">
        <v>722</v>
      </c>
      <c r="G145">
        <f>LNG_global[[#This Row],[Distance '[miles']]]*1.60934449789256</f>
        <v>1161.9467274784283</v>
      </c>
      <c r="I145" t="s">
        <v>280</v>
      </c>
    </row>
    <row r="146" spans="1:9">
      <c r="A146" t="s">
        <v>192</v>
      </c>
      <c r="B146" t="s">
        <v>211</v>
      </c>
      <c r="E146">
        <f t="shared" si="13"/>
        <v>0</v>
      </c>
      <c r="F146">
        <v>2907</v>
      </c>
      <c r="G146">
        <f>LNG_global[[#This Row],[Distance '[miles']]]*1.60934449789256</f>
        <v>4678.3644553736722</v>
      </c>
      <c r="I146" t="s">
        <v>238</v>
      </c>
    </row>
    <row r="147" spans="1:9">
      <c r="A147" t="s">
        <v>195</v>
      </c>
      <c r="B147" t="s">
        <v>201</v>
      </c>
      <c r="E147">
        <f>D147/1000</f>
        <v>0</v>
      </c>
      <c r="F147">
        <v>9237</v>
      </c>
      <c r="G147">
        <f>LNG_global[[#This Row],[Distance '[miles']]]*1.60934449789256</f>
        <v>14865.515127033575</v>
      </c>
      <c r="H147" t="s">
        <v>213</v>
      </c>
      <c r="I147" t="s">
        <v>234</v>
      </c>
    </row>
    <row r="148" spans="1:9">
      <c r="A148" t="s">
        <v>195</v>
      </c>
      <c r="B148" t="s">
        <v>202</v>
      </c>
      <c r="E148">
        <f t="shared" ref="E148:E158" si="14">D148/1000</f>
        <v>0</v>
      </c>
      <c r="F148">
        <v>8897</v>
      </c>
      <c r="G148">
        <f>LNG_global[[#This Row],[Distance '[miles']]]*1.60934449789256</f>
        <v>14318.337997750106</v>
      </c>
      <c r="H148" t="s">
        <v>213</v>
      </c>
      <c r="I148" t="s">
        <v>279</v>
      </c>
    </row>
    <row r="149" spans="1:9">
      <c r="A149" t="s">
        <v>195</v>
      </c>
      <c r="B149" t="s">
        <v>268</v>
      </c>
      <c r="E149">
        <f t="shared" si="14"/>
        <v>0</v>
      </c>
      <c r="F149">
        <v>6737</v>
      </c>
      <c r="G149">
        <f>LNG_global[[#This Row],[Distance '[miles']]]*1.60934449789256</f>
        <v>10842.153882302176</v>
      </c>
      <c r="H149" t="s">
        <v>213</v>
      </c>
      <c r="I149" t="s">
        <v>286</v>
      </c>
    </row>
    <row r="150" spans="1:9">
      <c r="A150" t="s">
        <v>195</v>
      </c>
      <c r="B150" t="s">
        <v>203</v>
      </c>
      <c r="E150">
        <f t="shared" si="14"/>
        <v>0</v>
      </c>
      <c r="F150">
        <v>7412</v>
      </c>
      <c r="G150">
        <f>LNG_global[[#This Row],[Distance '[miles']]]*1.60934449789256</f>
        <v>11928.461418379655</v>
      </c>
      <c r="H150" t="s">
        <v>213</v>
      </c>
      <c r="I150" t="s">
        <v>216</v>
      </c>
    </row>
    <row r="151" spans="1:9">
      <c r="A151" t="s">
        <v>195</v>
      </c>
      <c r="B151" t="s">
        <v>204</v>
      </c>
      <c r="E151">
        <f t="shared" si="14"/>
        <v>0</v>
      </c>
      <c r="F151">
        <v>7287</v>
      </c>
      <c r="G151">
        <f>LNG_global[[#This Row],[Distance '[miles']]]*1.60934449789256</f>
        <v>11727.293356143084</v>
      </c>
      <c r="H151" t="s">
        <v>213</v>
      </c>
      <c r="I151" t="s">
        <v>217</v>
      </c>
    </row>
    <row r="152" spans="1:9">
      <c r="A152" t="s">
        <v>195</v>
      </c>
      <c r="B152" t="s">
        <v>205</v>
      </c>
      <c r="E152">
        <f t="shared" si="14"/>
        <v>0</v>
      </c>
      <c r="F152">
        <v>10171</v>
      </c>
      <c r="G152">
        <f>LNG_global[[#This Row],[Distance '[miles']]]*1.60934449789256</f>
        <v>16368.642888065227</v>
      </c>
      <c r="H152" t="s">
        <v>213</v>
      </c>
      <c r="I152" t="s">
        <v>218</v>
      </c>
    </row>
    <row r="153" spans="1:9">
      <c r="A153" t="s">
        <v>195</v>
      </c>
      <c r="B153" t="s">
        <v>206</v>
      </c>
      <c r="E153">
        <f t="shared" si="14"/>
        <v>0</v>
      </c>
      <c r="F153">
        <v>9303</v>
      </c>
      <c r="G153">
        <f>LNG_global[[#This Row],[Distance '[miles']]]*1.60934449789256</f>
        <v>14971.731863894485</v>
      </c>
      <c r="H153" t="s">
        <v>213</v>
      </c>
      <c r="I153" t="s">
        <v>219</v>
      </c>
    </row>
    <row r="154" spans="1:9">
      <c r="A154" t="s">
        <v>195</v>
      </c>
      <c r="B154" t="s">
        <v>207</v>
      </c>
      <c r="E154">
        <f t="shared" si="14"/>
        <v>0</v>
      </c>
      <c r="F154">
        <v>9980</v>
      </c>
      <c r="G154">
        <f>LNG_global[[#This Row],[Distance '[miles']]]*1.60934449789256</f>
        <v>16061.258088967748</v>
      </c>
      <c r="H154" t="s">
        <v>213</v>
      </c>
      <c r="I154" t="s">
        <v>220</v>
      </c>
    </row>
    <row r="155" spans="1:9">
      <c r="A155" t="s">
        <v>195</v>
      </c>
      <c r="B155" t="s">
        <v>208</v>
      </c>
      <c r="E155">
        <f t="shared" si="14"/>
        <v>0</v>
      </c>
      <c r="F155">
        <v>8226</v>
      </c>
      <c r="G155">
        <f>LNG_global[[#This Row],[Distance '[miles']]]*1.60934449789256</f>
        <v>13238.467839664198</v>
      </c>
      <c r="H155" t="s">
        <v>213</v>
      </c>
      <c r="I155" t="s">
        <v>221</v>
      </c>
    </row>
    <row r="156" spans="1:9">
      <c r="A156" t="s">
        <v>195</v>
      </c>
      <c r="B156" t="s">
        <v>209</v>
      </c>
      <c r="E156">
        <f t="shared" si="14"/>
        <v>0</v>
      </c>
      <c r="F156">
        <v>7617</v>
      </c>
      <c r="G156">
        <f>LNG_global[[#This Row],[Distance '[miles']]]*1.60934449789256</f>
        <v>12258.377040447629</v>
      </c>
      <c r="H156" t="s">
        <v>213</v>
      </c>
      <c r="I156" t="s">
        <v>222</v>
      </c>
    </row>
    <row r="157" spans="1:9">
      <c r="A157" t="s">
        <v>195</v>
      </c>
      <c r="B157" t="s">
        <v>210</v>
      </c>
      <c r="E157">
        <f t="shared" si="14"/>
        <v>0</v>
      </c>
      <c r="F157">
        <v>6627</v>
      </c>
      <c r="G157">
        <f>LNG_global[[#This Row],[Distance '[miles']]]*1.60934449789256</f>
        <v>10665.125987533995</v>
      </c>
      <c r="H157" t="s">
        <v>213</v>
      </c>
      <c r="I157" t="s">
        <v>223</v>
      </c>
    </row>
    <row r="158" spans="1:9">
      <c r="A158" t="s">
        <v>195</v>
      </c>
      <c r="B158" t="s">
        <v>211</v>
      </c>
      <c r="E158">
        <f t="shared" si="14"/>
        <v>0</v>
      </c>
      <c r="F158">
        <v>9051</v>
      </c>
      <c r="G158">
        <f>LNG_global[[#This Row],[Distance '[miles']]]*1.60934449789256</f>
        <v>14566.17705042556</v>
      </c>
      <c r="H158" t="s">
        <v>213</v>
      </c>
      <c r="I158" t="s">
        <v>238</v>
      </c>
    </row>
    <row r="159" spans="1:9">
      <c r="A159" t="s">
        <v>194</v>
      </c>
      <c r="B159" t="s">
        <v>201</v>
      </c>
      <c r="E159">
        <f>D159/1000</f>
        <v>0</v>
      </c>
      <c r="F159">
        <v>2843</v>
      </c>
      <c r="G159">
        <f>LNG_global[[#This Row],[Distance '[miles']]]*1.60934449789256</f>
        <v>4575.366407508548</v>
      </c>
      <c r="I159" t="s">
        <v>234</v>
      </c>
    </row>
    <row r="160" spans="1:9">
      <c r="A160" t="s">
        <v>194</v>
      </c>
      <c r="B160" t="s">
        <v>202</v>
      </c>
      <c r="E160">
        <f t="shared" ref="E160:E170" si="15">D160/1000</f>
        <v>0</v>
      </c>
      <c r="F160">
        <v>3331</v>
      </c>
      <c r="G160">
        <f>LNG_global[[#This Row],[Distance '[miles']]]*1.60934449789256</f>
        <v>5360.7265224801176</v>
      </c>
      <c r="I160" t="s">
        <v>279</v>
      </c>
    </row>
    <row r="161" spans="1:9">
      <c r="A161" t="s">
        <v>194</v>
      </c>
      <c r="B161" t="s">
        <v>268</v>
      </c>
      <c r="E161">
        <f t="shared" si="15"/>
        <v>0</v>
      </c>
      <c r="F161">
        <v>5582</v>
      </c>
      <c r="G161">
        <f>LNG_global[[#This Row],[Distance '[miles']]]*1.60934449789256</f>
        <v>8983.3609872362704</v>
      </c>
      <c r="I161" t="s">
        <v>215</v>
      </c>
    </row>
    <row r="162" spans="1:9">
      <c r="A162" t="s">
        <v>194</v>
      </c>
      <c r="B162" t="s">
        <v>203</v>
      </c>
      <c r="E162">
        <f t="shared" si="15"/>
        <v>0</v>
      </c>
      <c r="F162">
        <v>5759</v>
      </c>
      <c r="G162">
        <f>LNG_global[[#This Row],[Distance '[miles']]]*1.60934449789256</f>
        <v>9268.2149633632525</v>
      </c>
      <c r="I162" t="s">
        <v>287</v>
      </c>
    </row>
    <row r="163" spans="1:9">
      <c r="A163" t="s">
        <v>194</v>
      </c>
      <c r="B163" t="s">
        <v>204</v>
      </c>
      <c r="E163">
        <f t="shared" si="15"/>
        <v>0</v>
      </c>
      <c r="F163">
        <v>5707</v>
      </c>
      <c r="G163">
        <f>LNG_global[[#This Row],[Distance '[miles']]]*1.60934449789256</f>
        <v>9184.5290494728397</v>
      </c>
      <c r="I163" t="s">
        <v>217</v>
      </c>
    </row>
    <row r="164" spans="1:9">
      <c r="A164" t="s">
        <v>194</v>
      </c>
      <c r="B164" t="s">
        <v>205</v>
      </c>
      <c r="E164">
        <f t="shared" si="15"/>
        <v>0</v>
      </c>
      <c r="F164">
        <v>3047</v>
      </c>
      <c r="G164">
        <f>LNG_global[[#This Row],[Distance '[miles']]]*1.60934449789256</f>
        <v>4903.6726850786299</v>
      </c>
      <c r="I164" t="s">
        <v>218</v>
      </c>
    </row>
    <row r="165" spans="1:9">
      <c r="A165" t="s">
        <v>194</v>
      </c>
      <c r="B165" t="s">
        <v>206</v>
      </c>
      <c r="E165">
        <f t="shared" si="15"/>
        <v>0</v>
      </c>
      <c r="F165">
        <v>2827</v>
      </c>
      <c r="G165">
        <f>LNG_global[[#This Row],[Distance '[miles']]]*1.60934449789256</f>
        <v>4549.6168955422672</v>
      </c>
      <c r="I165" t="s">
        <v>219</v>
      </c>
    </row>
    <row r="166" spans="1:9">
      <c r="A166" t="s">
        <v>194</v>
      </c>
      <c r="B166" t="s">
        <v>207</v>
      </c>
      <c r="E166">
        <f t="shared" si="15"/>
        <v>0</v>
      </c>
      <c r="F166">
        <v>2856</v>
      </c>
      <c r="G166">
        <f>LNG_global[[#This Row],[Distance '[miles']]]*1.60934449789256</f>
        <v>4596.2878859811508</v>
      </c>
      <c r="I166" t="s">
        <v>220</v>
      </c>
    </row>
    <row r="167" spans="1:9">
      <c r="A167" t="s">
        <v>194</v>
      </c>
      <c r="B167" t="s">
        <v>208</v>
      </c>
      <c r="E167">
        <f t="shared" si="15"/>
        <v>0</v>
      </c>
      <c r="F167">
        <v>3840</v>
      </c>
      <c r="G167">
        <f>LNG_global[[#This Row],[Distance '[miles']]]*1.60934449789256</f>
        <v>6179.8828719074299</v>
      </c>
      <c r="I167" t="s">
        <v>221</v>
      </c>
    </row>
    <row r="168" spans="1:9">
      <c r="A168" t="s">
        <v>194</v>
      </c>
      <c r="B168" t="s">
        <v>209</v>
      </c>
      <c r="E168">
        <f t="shared" si="15"/>
        <v>0</v>
      </c>
      <c r="F168">
        <v>3499</v>
      </c>
      <c r="G168">
        <f>LNG_global[[#This Row],[Distance '[miles']]]*1.60934449789256</f>
        <v>5631.0963981260675</v>
      </c>
      <c r="I168" t="s">
        <v>237</v>
      </c>
    </row>
    <row r="169" spans="1:9">
      <c r="A169" t="s">
        <v>194</v>
      </c>
      <c r="B169" t="s">
        <v>210</v>
      </c>
      <c r="E169">
        <f t="shared" si="15"/>
        <v>0</v>
      </c>
      <c r="F169">
        <v>5736</v>
      </c>
      <c r="G169">
        <f>LNG_global[[#This Row],[Distance '[miles']]]*1.60934449789256</f>
        <v>9231.2000399117242</v>
      </c>
      <c r="I169" t="s">
        <v>223</v>
      </c>
    </row>
    <row r="170" spans="1:9">
      <c r="A170" t="s">
        <v>194</v>
      </c>
      <c r="B170" t="s">
        <v>211</v>
      </c>
      <c r="E170">
        <f t="shared" si="15"/>
        <v>0</v>
      </c>
      <c r="F170">
        <v>2866</v>
      </c>
      <c r="G170">
        <f>LNG_global[[#This Row],[Distance '[miles']]]*1.60934449789256</f>
        <v>4612.3813309600764</v>
      </c>
      <c r="I170" t="s">
        <v>281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93A9-6514-42B6-BB9D-65D406982860}">
  <dimension ref="A1:M215"/>
  <sheetViews>
    <sheetView topLeftCell="A199" workbookViewId="0">
      <selection activeCell="K207" sqref="K207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181</v>
      </c>
      <c r="D1" s="9" t="s">
        <v>106</v>
      </c>
      <c r="E1" s="9" t="s">
        <v>107</v>
      </c>
      <c r="F1" s="9" t="s">
        <v>199</v>
      </c>
      <c r="G1" s="9" t="s">
        <v>198</v>
      </c>
      <c r="H1" s="9" t="s">
        <v>212</v>
      </c>
      <c r="I1" s="9" t="s">
        <v>143</v>
      </c>
      <c r="M1" t="s">
        <v>200</v>
      </c>
    </row>
    <row r="2" spans="1:13">
      <c r="A2" t="s">
        <v>180</v>
      </c>
      <c r="B2" t="s">
        <v>187</v>
      </c>
      <c r="E2">
        <f t="shared" ref="E2:E29" si="0">D2/1000</f>
        <v>0</v>
      </c>
      <c r="F2">
        <v>5323</v>
      </c>
      <c r="G2">
        <f>LNG_global14[[#This Row],[Distance '[miles']]]*1.60934449789256</f>
        <v>8566.5407622820967</v>
      </c>
      <c r="I2" t="s">
        <v>239</v>
      </c>
      <c r="M2" t="s">
        <v>235</v>
      </c>
    </row>
    <row r="3" spans="1:13">
      <c r="A3" t="s">
        <v>180</v>
      </c>
      <c r="B3" t="s">
        <v>185</v>
      </c>
      <c r="E3">
        <f t="shared" si="0"/>
        <v>0</v>
      </c>
      <c r="F3">
        <v>6194</v>
      </c>
      <c r="G3">
        <f>LNG_global14[[#This Row],[Distance '[miles']]]*1.60934449789256</f>
        <v>9968.279819946516</v>
      </c>
      <c r="I3" t="s">
        <v>240</v>
      </c>
      <c r="M3" t="s">
        <v>236</v>
      </c>
    </row>
    <row r="4" spans="1:13">
      <c r="A4" t="s">
        <v>180</v>
      </c>
      <c r="B4" t="s">
        <v>188</v>
      </c>
      <c r="E4">
        <f t="shared" si="0"/>
        <v>0</v>
      </c>
      <c r="F4">
        <v>10339</v>
      </c>
      <c r="G4">
        <f>LNG_global14[[#This Row],[Distance '[miles']]]*1.60934449789256</f>
        <v>16639.012763711176</v>
      </c>
      <c r="H4" t="s">
        <v>241</v>
      </c>
      <c r="I4" t="s">
        <v>275</v>
      </c>
      <c r="M4" t="s">
        <v>246</v>
      </c>
    </row>
    <row r="5" spans="1:13">
      <c r="A5" t="s">
        <v>180</v>
      </c>
      <c r="B5" t="s">
        <v>189</v>
      </c>
      <c r="E5">
        <f t="shared" si="0"/>
        <v>0</v>
      </c>
      <c r="F5">
        <v>9266</v>
      </c>
      <c r="G5">
        <f>LNG_global14[[#This Row],[Distance '[miles']]]*1.60934449789256</f>
        <v>14912.18611747246</v>
      </c>
      <c r="H5" t="s">
        <v>241</v>
      </c>
      <c r="I5" t="s">
        <v>243</v>
      </c>
      <c r="M5" t="s">
        <v>247</v>
      </c>
    </row>
    <row r="6" spans="1:13">
      <c r="A6" t="s">
        <v>180</v>
      </c>
      <c r="B6" t="s">
        <v>190</v>
      </c>
      <c r="E6">
        <f t="shared" si="0"/>
        <v>0</v>
      </c>
      <c r="F6">
        <v>9568</v>
      </c>
      <c r="G6">
        <f>LNG_global14[[#This Row],[Distance '[miles']]]*1.60934449789256</f>
        <v>15398.208155836013</v>
      </c>
      <c r="H6" t="s">
        <v>213</v>
      </c>
      <c r="I6" t="s">
        <v>244</v>
      </c>
      <c r="M6" t="s">
        <v>282</v>
      </c>
    </row>
    <row r="7" spans="1:13">
      <c r="A7" t="s">
        <v>180</v>
      </c>
      <c r="B7" t="s">
        <v>191</v>
      </c>
      <c r="E7">
        <f t="shared" si="0"/>
        <v>0</v>
      </c>
      <c r="F7">
        <v>12151</v>
      </c>
      <c r="G7">
        <f>LNG_global14[[#This Row],[Distance '[miles']]]*1.60934449789256</f>
        <v>19555.144993892496</v>
      </c>
      <c r="H7" t="s">
        <v>241</v>
      </c>
      <c r="I7" t="s">
        <v>245</v>
      </c>
      <c r="M7" t="s">
        <v>249</v>
      </c>
    </row>
    <row r="8" spans="1:13">
      <c r="A8" t="s">
        <v>180</v>
      </c>
      <c r="B8" t="s">
        <v>192</v>
      </c>
      <c r="E8">
        <f t="shared" si="0"/>
        <v>0</v>
      </c>
      <c r="F8">
        <v>6850</v>
      </c>
      <c r="G8">
        <f>LNG_global14[[#This Row],[Distance '[miles']]]*1.60934449789256</f>
        <v>11024.009810564035</v>
      </c>
      <c r="H8" t="s">
        <v>213</v>
      </c>
      <c r="I8" t="s">
        <v>278</v>
      </c>
      <c r="M8" t="s">
        <v>284</v>
      </c>
    </row>
    <row r="9" spans="1:13">
      <c r="A9" t="s">
        <v>182</v>
      </c>
      <c r="B9" t="s">
        <v>187</v>
      </c>
      <c r="E9">
        <f t="shared" si="0"/>
        <v>0</v>
      </c>
      <c r="F9">
        <v>3136</v>
      </c>
      <c r="G9">
        <f>LNG_global14[[#This Row],[Distance '[miles']]]*1.60934449789256</f>
        <v>5046.9043453910681</v>
      </c>
      <c r="I9" t="s">
        <v>239</v>
      </c>
      <c r="M9" t="s">
        <v>251</v>
      </c>
    </row>
    <row r="10" spans="1:13">
      <c r="A10" t="s">
        <v>182</v>
      </c>
      <c r="B10" t="s">
        <v>185</v>
      </c>
      <c r="E10">
        <f t="shared" si="0"/>
        <v>0</v>
      </c>
      <c r="F10">
        <v>4174</v>
      </c>
      <c r="G10">
        <f>LNG_global14[[#This Row],[Distance '[miles']]]*1.60934449789256</f>
        <v>6717.4039342035448</v>
      </c>
      <c r="I10" t="s">
        <v>240</v>
      </c>
      <c r="M10" t="s">
        <v>288</v>
      </c>
    </row>
    <row r="11" spans="1:13">
      <c r="A11" t="s">
        <v>182</v>
      </c>
      <c r="B11" t="s">
        <v>188</v>
      </c>
      <c r="E11">
        <f t="shared" si="0"/>
        <v>0</v>
      </c>
      <c r="F11">
        <v>9750</v>
      </c>
      <c r="G11">
        <f>LNG_global14[[#This Row],[Distance '[miles']]]*1.60934449789256</f>
        <v>15691.108854452459</v>
      </c>
      <c r="H11" t="s">
        <v>241</v>
      </c>
      <c r="I11" t="s">
        <v>285</v>
      </c>
    </row>
    <row r="12" spans="1:13">
      <c r="A12" t="s">
        <v>182</v>
      </c>
      <c r="B12" t="s">
        <v>189</v>
      </c>
      <c r="E12">
        <f t="shared" si="0"/>
        <v>0</v>
      </c>
      <c r="F12">
        <v>8878</v>
      </c>
      <c r="G12">
        <f>LNG_global14[[#This Row],[Distance '[miles']]]*1.60934449789256</f>
        <v>14287.760452290147</v>
      </c>
      <c r="H12" t="s">
        <v>241</v>
      </c>
      <c r="I12" t="s">
        <v>243</v>
      </c>
    </row>
    <row r="13" spans="1:13">
      <c r="A13" t="s">
        <v>182</v>
      </c>
      <c r="B13" t="s">
        <v>190</v>
      </c>
      <c r="E13">
        <f t="shared" si="0"/>
        <v>0</v>
      </c>
      <c r="F13">
        <v>8211</v>
      </c>
      <c r="G13">
        <f>LNG_global14[[#This Row],[Distance '[miles']]]*1.60934449789256</f>
        <v>13214.32767219581</v>
      </c>
      <c r="H13" t="s">
        <v>213</v>
      </c>
      <c r="I13" t="s">
        <v>244</v>
      </c>
    </row>
    <row r="14" spans="1:13">
      <c r="A14" t="s">
        <v>182</v>
      </c>
      <c r="B14" t="s">
        <v>191</v>
      </c>
      <c r="E14">
        <f t="shared" si="0"/>
        <v>0</v>
      </c>
      <c r="F14">
        <v>11169</v>
      </c>
      <c r="G14">
        <f>LNG_global14[[#This Row],[Distance '[miles']]]*1.60934449789256</f>
        <v>17974.768696962001</v>
      </c>
      <c r="H14" t="s">
        <v>213</v>
      </c>
      <c r="I14" t="s">
        <v>245</v>
      </c>
    </row>
    <row r="15" spans="1:13">
      <c r="A15" t="s">
        <v>182</v>
      </c>
      <c r="B15" t="s">
        <v>192</v>
      </c>
      <c r="E15">
        <f t="shared" si="0"/>
        <v>0</v>
      </c>
      <c r="F15">
        <v>5493</v>
      </c>
      <c r="G15">
        <f>LNG_global14[[#This Row],[Distance '[miles']]]*1.60934449789256</f>
        <v>8840.1293269238322</v>
      </c>
      <c r="H15" t="s">
        <v>213</v>
      </c>
      <c r="I15" t="s">
        <v>278</v>
      </c>
    </row>
    <row r="16" spans="1:13">
      <c r="A16" t="s">
        <v>183</v>
      </c>
      <c r="B16" t="s">
        <v>187</v>
      </c>
      <c r="E16">
        <f t="shared" si="0"/>
        <v>0</v>
      </c>
      <c r="F16">
        <v>8091</v>
      </c>
      <c r="G16">
        <f>LNG_global14[[#This Row],[Distance '[miles']]]*1.60934449789256</f>
        <v>13021.206332448703</v>
      </c>
      <c r="I16" t="s">
        <v>239</v>
      </c>
    </row>
    <row r="17" spans="1:9">
      <c r="A17" t="s">
        <v>183</v>
      </c>
      <c r="B17" t="s">
        <v>185</v>
      </c>
      <c r="E17">
        <f t="shared" si="0"/>
        <v>0</v>
      </c>
      <c r="F17">
        <v>7282</v>
      </c>
      <c r="G17">
        <f>LNG_global14[[#This Row],[Distance '[miles']]]*1.60934449789256</f>
        <v>11719.246633653622</v>
      </c>
      <c r="I17" t="s">
        <v>240</v>
      </c>
    </row>
    <row r="18" spans="1:9">
      <c r="A18" t="s">
        <v>183</v>
      </c>
      <c r="B18" t="s">
        <v>188</v>
      </c>
      <c r="E18">
        <f t="shared" si="0"/>
        <v>0</v>
      </c>
      <c r="F18">
        <v>5001</v>
      </c>
      <c r="G18">
        <f>LNG_global14[[#This Row],[Distance '[miles']]]*1.60934449789256</f>
        <v>8048.3318339606922</v>
      </c>
      <c r="I18" t="s">
        <v>242</v>
      </c>
    </row>
    <row r="19" spans="1:9">
      <c r="A19" t="s">
        <v>183</v>
      </c>
      <c r="B19" t="s">
        <v>189</v>
      </c>
      <c r="E19">
        <f t="shared" si="0"/>
        <v>0</v>
      </c>
      <c r="F19">
        <v>6445</v>
      </c>
      <c r="G19">
        <f>LNG_global14[[#This Row],[Distance '[miles']]]*1.60934449789256</f>
        <v>10372.225288917549</v>
      </c>
      <c r="I19" t="s">
        <v>243</v>
      </c>
    </row>
    <row r="20" spans="1:9">
      <c r="A20" t="s">
        <v>183</v>
      </c>
      <c r="B20" t="s">
        <v>190</v>
      </c>
      <c r="E20">
        <f t="shared" si="0"/>
        <v>0</v>
      </c>
      <c r="F20">
        <v>951</v>
      </c>
      <c r="G20">
        <f>LNG_global14[[#This Row],[Distance '[miles']]]*1.60934449789256</f>
        <v>1530.4866174958245</v>
      </c>
      <c r="I20" t="s">
        <v>244</v>
      </c>
    </row>
    <row r="21" spans="1:9">
      <c r="A21" t="s">
        <v>183</v>
      </c>
      <c r="B21" t="s">
        <v>191</v>
      </c>
      <c r="E21">
        <f t="shared" si="0"/>
        <v>0</v>
      </c>
      <c r="F21">
        <v>4372</v>
      </c>
      <c r="G21">
        <f>LNG_global14[[#This Row],[Distance '[miles']]]*1.60934449789256</f>
        <v>7036.0541447862724</v>
      </c>
      <c r="I21" t="s">
        <v>245</v>
      </c>
    </row>
    <row r="22" spans="1:9">
      <c r="A22" t="s">
        <v>183</v>
      </c>
      <c r="B22" t="s">
        <v>192</v>
      </c>
      <c r="E22">
        <f t="shared" si="0"/>
        <v>0</v>
      </c>
      <c r="F22">
        <v>2915</v>
      </c>
      <c r="G22">
        <f>LNG_global14[[#This Row],[Distance '[miles']]]*1.60934449789256</f>
        <v>4691.2392113568121</v>
      </c>
      <c r="I22" t="s">
        <v>213</v>
      </c>
    </row>
    <row r="23" spans="1:9">
      <c r="A23" t="s">
        <v>184</v>
      </c>
      <c r="B23" t="s">
        <v>187</v>
      </c>
      <c r="E23">
        <f t="shared" si="0"/>
        <v>0</v>
      </c>
      <c r="F23">
        <v>8158</v>
      </c>
      <c r="G23">
        <f>LNG_global14[[#This Row],[Distance '[miles']]]*1.60934449789256</f>
        <v>13129.032413807505</v>
      </c>
      <c r="I23" t="s">
        <v>239</v>
      </c>
    </row>
    <row r="24" spans="1:9">
      <c r="A24" t="s">
        <v>184</v>
      </c>
      <c r="B24" t="s">
        <v>185</v>
      </c>
      <c r="E24">
        <f t="shared" si="0"/>
        <v>0</v>
      </c>
      <c r="F24">
        <v>7349</v>
      </c>
      <c r="G24">
        <f>LNG_global14[[#This Row],[Distance '[miles']]]*1.60934449789256</f>
        <v>11827.072715012424</v>
      </c>
      <c r="I24" t="s">
        <v>240</v>
      </c>
    </row>
    <row r="25" spans="1:9">
      <c r="A25" t="s">
        <v>184</v>
      </c>
      <c r="B25" t="s">
        <v>188</v>
      </c>
      <c r="E25">
        <f t="shared" si="0"/>
        <v>0</v>
      </c>
      <c r="F25">
        <v>5845</v>
      </c>
      <c r="G25">
        <f>LNG_global14[[#This Row],[Distance '[miles']]]*1.60934449789256</f>
        <v>9406.6185901820136</v>
      </c>
      <c r="I25" t="s">
        <v>242</v>
      </c>
    </row>
    <row r="26" spans="1:9">
      <c r="A26" t="s">
        <v>184</v>
      </c>
      <c r="B26" t="s">
        <v>189</v>
      </c>
      <c r="E26">
        <f t="shared" si="0"/>
        <v>0</v>
      </c>
      <c r="F26">
        <v>6512</v>
      </c>
      <c r="G26">
        <f>LNG_global14[[#This Row],[Distance '[miles']]]*1.60934449789256</f>
        <v>10480.051370276351</v>
      </c>
      <c r="I26" t="s">
        <v>243</v>
      </c>
    </row>
    <row r="27" spans="1:9">
      <c r="A27" t="s">
        <v>184</v>
      </c>
      <c r="B27" t="s">
        <v>190</v>
      </c>
      <c r="E27">
        <f t="shared" si="0"/>
        <v>0</v>
      </c>
      <c r="F27">
        <v>1018</v>
      </c>
      <c r="G27">
        <f>LNG_global14[[#This Row],[Distance '[miles']]]*1.60934449789256</f>
        <v>1638.312698854626</v>
      </c>
      <c r="I27" t="s">
        <v>244</v>
      </c>
    </row>
    <row r="28" spans="1:9">
      <c r="A28" t="s">
        <v>184</v>
      </c>
      <c r="B28" t="s">
        <v>191</v>
      </c>
      <c r="E28">
        <f t="shared" si="0"/>
        <v>0</v>
      </c>
      <c r="F28">
        <v>4439</v>
      </c>
      <c r="G28">
        <f>LNG_global14[[#This Row],[Distance '[miles']]]*1.60934449789256</f>
        <v>7143.8802261450737</v>
      </c>
      <c r="I28" t="s">
        <v>245</v>
      </c>
    </row>
    <row r="29" spans="1:9">
      <c r="A29" t="s">
        <v>184</v>
      </c>
      <c r="B29" t="s">
        <v>192</v>
      </c>
      <c r="E29">
        <f t="shared" si="0"/>
        <v>0</v>
      </c>
      <c r="F29">
        <v>2906</v>
      </c>
      <c r="G29">
        <f>LNG_global14[[#This Row],[Distance '[miles']]]*1.60934449789256</f>
        <v>4676.7551108757789</v>
      </c>
      <c r="I29" t="s">
        <v>213</v>
      </c>
    </row>
    <row r="30" spans="1:9">
      <c r="A30" t="s">
        <v>185</v>
      </c>
      <c r="B30" t="s">
        <v>187</v>
      </c>
      <c r="E30">
        <f>D30/1000</f>
        <v>0</v>
      </c>
      <c r="F30">
        <v>3392</v>
      </c>
      <c r="G30">
        <f>LNG_global14[[#This Row],[Distance '[miles']]]*1.60934449789256</f>
        <v>5458.8965368515637</v>
      </c>
      <c r="I30" t="s">
        <v>239</v>
      </c>
    </row>
    <row r="31" spans="1:9">
      <c r="A31" t="s">
        <v>185</v>
      </c>
      <c r="B31" t="s">
        <v>188</v>
      </c>
      <c r="E31">
        <f t="shared" ref="E31:E35" si="1">D31/1000</f>
        <v>0</v>
      </c>
      <c r="F31">
        <v>9306</v>
      </c>
      <c r="G31">
        <f>LNG_global14[[#This Row],[Distance '[miles']]]*1.60934449789256</f>
        <v>14976.559897388162</v>
      </c>
      <c r="I31" t="s">
        <v>242</v>
      </c>
    </row>
    <row r="32" spans="1:9">
      <c r="A32" t="s">
        <v>185</v>
      </c>
      <c r="B32" t="s">
        <v>189</v>
      </c>
      <c r="E32">
        <f t="shared" si="1"/>
        <v>0</v>
      </c>
      <c r="F32">
        <v>10752</v>
      </c>
      <c r="G32">
        <f>LNG_global14[[#This Row],[Distance '[miles']]]*1.60934449789256</f>
        <v>17303.672041340804</v>
      </c>
      <c r="I32" t="s">
        <v>243</v>
      </c>
    </row>
    <row r="33" spans="1:9">
      <c r="A33" t="s">
        <v>185</v>
      </c>
      <c r="B33" t="s">
        <v>190</v>
      </c>
      <c r="E33">
        <f t="shared" si="1"/>
        <v>0</v>
      </c>
      <c r="F33">
        <v>7030</v>
      </c>
      <c r="G33">
        <f>LNG_global14[[#This Row],[Distance '[miles']]]*1.60934449789256</f>
        <v>11313.691820184697</v>
      </c>
      <c r="I33" t="s">
        <v>244</v>
      </c>
    </row>
    <row r="34" spans="1:9">
      <c r="A34" t="s">
        <v>185</v>
      </c>
      <c r="B34" t="s">
        <v>191</v>
      </c>
      <c r="E34">
        <f t="shared" si="1"/>
        <v>0</v>
      </c>
      <c r="F34">
        <v>8808</v>
      </c>
      <c r="G34">
        <f>LNG_global14[[#This Row],[Distance '[miles']]]*1.60934449789256</f>
        <v>14175.106337437668</v>
      </c>
      <c r="I34" t="s">
        <v>245</v>
      </c>
    </row>
    <row r="35" spans="1:9">
      <c r="A35" t="s">
        <v>185</v>
      </c>
      <c r="B35" t="s">
        <v>192</v>
      </c>
      <c r="E35">
        <f t="shared" si="1"/>
        <v>0</v>
      </c>
      <c r="F35">
        <v>5391</v>
      </c>
      <c r="G35">
        <f>LNG_global14[[#This Row],[Distance '[miles']]]*1.60934449789256</f>
        <v>8675.9761881387913</v>
      </c>
      <c r="H35" t="s">
        <v>213</v>
      </c>
      <c r="I35" t="s">
        <v>278</v>
      </c>
    </row>
    <row r="36" spans="1:9">
      <c r="A36" t="s">
        <v>186</v>
      </c>
      <c r="B36" t="s">
        <v>187</v>
      </c>
      <c r="E36">
        <f>D36/1000</f>
        <v>0</v>
      </c>
      <c r="F36">
        <v>8575</v>
      </c>
      <c r="G36">
        <f>LNG_global14[[#This Row],[Distance '[miles']]]*1.60934449789256</f>
        <v>13800.129069428702</v>
      </c>
      <c r="I36" t="s">
        <v>250</v>
      </c>
    </row>
    <row r="37" spans="1:9">
      <c r="A37" t="s">
        <v>186</v>
      </c>
      <c r="B37" t="s">
        <v>185</v>
      </c>
      <c r="E37">
        <f t="shared" ref="E37:E42" si="2">D37/1000</f>
        <v>0</v>
      </c>
      <c r="F37">
        <v>8554</v>
      </c>
      <c r="G37">
        <f>LNG_global14[[#This Row],[Distance '[miles']]]*1.60934449789256</f>
        <v>13766.332834972958</v>
      </c>
      <c r="I37" t="s">
        <v>240</v>
      </c>
    </row>
    <row r="38" spans="1:9">
      <c r="A38" t="s">
        <v>186</v>
      </c>
      <c r="B38" t="s">
        <v>188</v>
      </c>
      <c r="E38">
        <f t="shared" si="2"/>
        <v>0</v>
      </c>
      <c r="F38">
        <v>2353</v>
      </c>
      <c r="G38">
        <f>LNG_global14[[#This Row],[Distance '[miles']]]*1.60934449789256</f>
        <v>3786.7876035411937</v>
      </c>
      <c r="I38" t="s">
        <v>277</v>
      </c>
    </row>
    <row r="39" spans="1:9">
      <c r="A39" t="s">
        <v>186</v>
      </c>
      <c r="B39" t="s">
        <v>189</v>
      </c>
      <c r="E39">
        <f t="shared" si="2"/>
        <v>0</v>
      </c>
      <c r="F39">
        <v>3033</v>
      </c>
      <c r="G39">
        <f>LNG_global14[[#This Row],[Distance '[miles']]]*1.60934449789256</f>
        <v>4881.1418621081348</v>
      </c>
      <c r="I39" t="s">
        <v>243</v>
      </c>
    </row>
    <row r="40" spans="1:9">
      <c r="A40" t="s">
        <v>186</v>
      </c>
      <c r="B40" t="s">
        <v>190</v>
      </c>
      <c r="E40">
        <f t="shared" si="2"/>
        <v>0</v>
      </c>
      <c r="F40">
        <v>4477</v>
      </c>
      <c r="G40">
        <f>LNG_global14[[#This Row],[Distance '[miles']]]*1.60934449789256</f>
        <v>7205.0353170649905</v>
      </c>
      <c r="I40" t="s">
        <v>244</v>
      </c>
    </row>
    <row r="41" spans="1:9">
      <c r="A41" t="s">
        <v>186</v>
      </c>
      <c r="B41" t="s">
        <v>191</v>
      </c>
      <c r="E41">
        <f t="shared" si="2"/>
        <v>0</v>
      </c>
      <c r="F41">
        <v>2612</v>
      </c>
      <c r="G41">
        <f>LNG_global14[[#This Row],[Distance '[miles']]]*1.60934449789256</f>
        <v>4203.6078284953664</v>
      </c>
      <c r="I41" t="s">
        <v>245</v>
      </c>
    </row>
    <row r="42" spans="1:9">
      <c r="A42" t="s">
        <v>186</v>
      </c>
      <c r="B42" t="s">
        <v>192</v>
      </c>
      <c r="E42">
        <f t="shared" si="2"/>
        <v>0</v>
      </c>
      <c r="F42">
        <v>6579</v>
      </c>
      <c r="G42">
        <f>LNG_global14[[#This Row],[Distance '[miles']]]*1.60934449789256</f>
        <v>10587.877451635151</v>
      </c>
      <c r="I42" t="s">
        <v>278</v>
      </c>
    </row>
    <row r="43" spans="1:9">
      <c r="A43" t="s">
        <v>194</v>
      </c>
      <c r="B43" t="s">
        <v>187</v>
      </c>
      <c r="E43">
        <f>D43/1000</f>
        <v>0</v>
      </c>
      <c r="F43">
        <v>7893</v>
      </c>
      <c r="G43">
        <f>LNG_global14[[#This Row],[Distance '[miles']]]*1.60934449789256</f>
        <v>12702.556121865975</v>
      </c>
      <c r="I43" t="s">
        <v>239</v>
      </c>
    </row>
    <row r="44" spans="1:9">
      <c r="A44" t="s">
        <v>194</v>
      </c>
      <c r="B44" t="s">
        <v>185</v>
      </c>
      <c r="E44">
        <f t="shared" ref="E44:E49" si="3">D44/1000</f>
        <v>0</v>
      </c>
      <c r="F44">
        <v>7122</v>
      </c>
      <c r="G44">
        <f>LNG_global14[[#This Row],[Distance '[miles']]]*1.60934449789256</f>
        <v>11461.751513990812</v>
      </c>
      <c r="I44" t="s">
        <v>240</v>
      </c>
    </row>
    <row r="45" spans="1:9">
      <c r="A45" t="s">
        <v>194</v>
      </c>
      <c r="B45" t="s">
        <v>188</v>
      </c>
      <c r="E45">
        <f t="shared" si="3"/>
        <v>0</v>
      </c>
      <c r="F45">
        <v>13259</v>
      </c>
      <c r="G45">
        <f>LNG_global14[[#This Row],[Distance '[miles']]]*1.60934449789256</f>
        <v>21338.298697557453</v>
      </c>
      <c r="H45" t="s">
        <v>213</v>
      </c>
      <c r="I45" t="s">
        <v>285</v>
      </c>
    </row>
    <row r="46" spans="1:9">
      <c r="A46" t="s">
        <v>194</v>
      </c>
      <c r="B46" t="s">
        <v>189</v>
      </c>
      <c r="E46">
        <f t="shared" si="3"/>
        <v>0</v>
      </c>
      <c r="F46">
        <v>949</v>
      </c>
      <c r="G46">
        <f>LNG_global14[[#This Row],[Distance '[miles']]]*1.60934449789256</f>
        <v>1527.2679285000395</v>
      </c>
      <c r="I46" t="s">
        <v>243</v>
      </c>
    </row>
    <row r="47" spans="1:9">
      <c r="A47" t="s">
        <v>194</v>
      </c>
      <c r="B47" t="s">
        <v>190</v>
      </c>
      <c r="E47">
        <f t="shared" si="3"/>
        <v>0</v>
      </c>
      <c r="F47">
        <v>8895</v>
      </c>
      <c r="G47">
        <f>LNG_global14[[#This Row],[Distance '[miles']]]*1.60934449789256</f>
        <v>14315.119308754322</v>
      </c>
      <c r="H47" t="s">
        <v>213</v>
      </c>
      <c r="I47" t="s">
        <v>244</v>
      </c>
    </row>
    <row r="48" spans="1:9">
      <c r="A48" t="s">
        <v>194</v>
      </c>
      <c r="B48" t="s">
        <v>191</v>
      </c>
      <c r="E48">
        <f t="shared" si="3"/>
        <v>0</v>
      </c>
      <c r="F48">
        <v>11853</v>
      </c>
      <c r="G48">
        <f>LNG_global14[[#This Row],[Distance '[miles']]]*1.60934449789256</f>
        <v>19075.560333520512</v>
      </c>
      <c r="H48" t="s">
        <v>213</v>
      </c>
      <c r="I48" t="s">
        <v>245</v>
      </c>
    </row>
    <row r="49" spans="1:9">
      <c r="A49" t="s">
        <v>194</v>
      </c>
      <c r="B49" t="s">
        <v>192</v>
      </c>
      <c r="E49">
        <f t="shared" si="3"/>
        <v>0</v>
      </c>
      <c r="F49">
        <v>6177</v>
      </c>
      <c r="G49">
        <f>LNG_global14[[#This Row],[Distance '[miles']]]*1.60934449789256</f>
        <v>9940.9209634823437</v>
      </c>
      <c r="H49" t="s">
        <v>213</v>
      </c>
      <c r="I49" t="s">
        <v>278</v>
      </c>
    </row>
    <row r="50" spans="1:9">
      <c r="A50" t="s">
        <v>192</v>
      </c>
      <c r="B50" t="s">
        <v>187</v>
      </c>
      <c r="E50">
        <f>D50/1000</f>
        <v>0</v>
      </c>
      <c r="F50">
        <v>5988</v>
      </c>
      <c r="G50">
        <f>LNG_global14[[#This Row],[Distance '[miles']]]*1.60934449789256</f>
        <v>9636.7548533806494</v>
      </c>
      <c r="I50" t="s">
        <v>239</v>
      </c>
    </row>
    <row r="51" spans="1:9">
      <c r="A51" t="s">
        <v>192</v>
      </c>
      <c r="B51" t="s">
        <v>185</v>
      </c>
      <c r="E51">
        <f t="shared" ref="E51:E62" si="4">D51/1000</f>
        <v>0</v>
      </c>
      <c r="F51">
        <v>5135</v>
      </c>
      <c r="G51">
        <f>LNG_global14[[#This Row],[Distance '[miles']]]*1.60934449789256</f>
        <v>8263.9839966782947</v>
      </c>
      <c r="I51" t="s">
        <v>240</v>
      </c>
    </row>
    <row r="52" spans="1:9">
      <c r="A52" t="s">
        <v>192</v>
      </c>
      <c r="B52" t="s">
        <v>188</v>
      </c>
      <c r="E52">
        <f t="shared" si="4"/>
        <v>0</v>
      </c>
      <c r="F52">
        <v>7934</v>
      </c>
      <c r="G52">
        <f>LNG_global14[[#This Row],[Distance '[miles']]]*1.60934449789256</f>
        <v>12768.53924627957</v>
      </c>
      <c r="H52" t="s">
        <v>213</v>
      </c>
      <c r="I52" t="s">
        <v>275</v>
      </c>
    </row>
    <row r="53" spans="1:9">
      <c r="A53" t="s">
        <v>192</v>
      </c>
      <c r="B53" t="s">
        <v>189</v>
      </c>
      <c r="E53">
        <f t="shared" si="4"/>
        <v>0</v>
      </c>
      <c r="F53">
        <v>8074</v>
      </c>
      <c r="G53">
        <f>LNG_global14[[#This Row],[Distance '[miles']]]*1.60934449789256</f>
        <v>12993.847475984529</v>
      </c>
      <c r="H53" t="s">
        <v>213</v>
      </c>
      <c r="I53" t="s">
        <v>243</v>
      </c>
    </row>
    <row r="54" spans="1:9">
      <c r="A54" t="s">
        <v>192</v>
      </c>
      <c r="B54" t="s">
        <v>190</v>
      </c>
      <c r="E54">
        <f t="shared" si="4"/>
        <v>0</v>
      </c>
      <c r="F54">
        <v>3043</v>
      </c>
      <c r="G54">
        <f>LNG_global14[[#This Row],[Distance '[miles']]]*1.60934449789256</f>
        <v>4897.2353070870604</v>
      </c>
      <c r="H54" t="s">
        <v>213</v>
      </c>
      <c r="I54" t="s">
        <v>244</v>
      </c>
    </row>
    <row r="55" spans="1:9">
      <c r="A55" t="s">
        <v>192</v>
      </c>
      <c r="B55" t="s">
        <v>191</v>
      </c>
      <c r="E55">
        <f t="shared" si="4"/>
        <v>0</v>
      </c>
      <c r="F55">
        <v>6001</v>
      </c>
      <c r="G55">
        <f>LNG_global14[[#This Row],[Distance '[miles']]]*1.60934449789256</f>
        <v>9657.6763318532521</v>
      </c>
      <c r="H55" t="s">
        <v>213</v>
      </c>
      <c r="I55" t="s">
        <v>245</v>
      </c>
    </row>
    <row r="56" spans="1:9">
      <c r="A56" t="s">
        <v>195</v>
      </c>
      <c r="B56" t="s">
        <v>187</v>
      </c>
      <c r="E56">
        <f t="shared" si="4"/>
        <v>0</v>
      </c>
      <c r="F56">
        <v>9163</v>
      </c>
      <c r="G56">
        <f>LNG_global14[[#This Row],[Distance '[miles']]]*1.60934449789256</f>
        <v>14746.423634189527</v>
      </c>
      <c r="I56" t="s">
        <v>239</v>
      </c>
    </row>
    <row r="57" spans="1:9">
      <c r="A57" t="s">
        <v>195</v>
      </c>
      <c r="B57" t="s">
        <v>185</v>
      </c>
      <c r="E57">
        <f t="shared" si="4"/>
        <v>0</v>
      </c>
      <c r="F57">
        <v>8354</v>
      </c>
      <c r="G57">
        <f>LNG_global14[[#This Row],[Distance '[miles']]]*1.60934449789256</f>
        <v>13444.463935394446</v>
      </c>
      <c r="I57" t="s">
        <v>240</v>
      </c>
    </row>
    <row r="58" spans="1:9">
      <c r="A58" t="s">
        <v>195</v>
      </c>
      <c r="B58" t="s">
        <v>188</v>
      </c>
      <c r="E58">
        <f t="shared" si="4"/>
        <v>0</v>
      </c>
      <c r="F58">
        <v>2186</v>
      </c>
      <c r="G58">
        <f>LNG_global14[[#This Row],[Distance '[miles']]]*1.60934449789256</f>
        <v>3518.0270723931362</v>
      </c>
      <c r="I58" t="s">
        <v>285</v>
      </c>
    </row>
    <row r="59" spans="1:9">
      <c r="A59" t="s">
        <v>195</v>
      </c>
      <c r="B59" t="s">
        <v>189</v>
      </c>
      <c r="E59">
        <f t="shared" si="4"/>
        <v>0</v>
      </c>
      <c r="F59">
        <v>2657</v>
      </c>
      <c r="G59">
        <f>LNG_global14[[#This Row],[Distance '[miles']]]*1.60934449789256</f>
        <v>4276.0283309005317</v>
      </c>
      <c r="I59" t="s">
        <v>243</v>
      </c>
    </row>
    <row r="60" spans="1:9">
      <c r="A60" t="s">
        <v>195</v>
      </c>
      <c r="B60" t="s">
        <v>190</v>
      </c>
      <c r="E60">
        <f t="shared" si="4"/>
        <v>0</v>
      </c>
      <c r="F60">
        <v>3760</v>
      </c>
      <c r="G60">
        <f>LNG_global14[[#This Row],[Distance '[miles']]]*1.60934449789256</f>
        <v>6051.135312076025</v>
      </c>
      <c r="I60" t="s">
        <v>244</v>
      </c>
    </row>
    <row r="61" spans="1:9">
      <c r="A61" t="s">
        <v>195</v>
      </c>
      <c r="B61" t="s">
        <v>191</v>
      </c>
      <c r="E61">
        <f t="shared" si="4"/>
        <v>0</v>
      </c>
      <c r="F61">
        <v>1775</v>
      </c>
      <c r="G61">
        <f>LNG_global14[[#This Row],[Distance '[miles']]]*1.60934449789256</f>
        <v>2856.586483759294</v>
      </c>
      <c r="I61" t="s">
        <v>245</v>
      </c>
    </row>
    <row r="62" spans="1:9">
      <c r="A62" t="s">
        <v>195</v>
      </c>
      <c r="B62" t="s">
        <v>192</v>
      </c>
      <c r="E62">
        <f t="shared" si="4"/>
        <v>0</v>
      </c>
      <c r="F62">
        <v>5866</v>
      </c>
      <c r="G62">
        <f>LNG_global14[[#This Row],[Distance '[miles']]]*1.60934449789256</f>
        <v>9440.4148246377572</v>
      </c>
      <c r="I62" t="s">
        <v>278</v>
      </c>
    </row>
    <row r="63" spans="1:9">
      <c r="A63" t="s">
        <v>184</v>
      </c>
      <c r="B63" t="s">
        <v>201</v>
      </c>
      <c r="E63">
        <f>D63/1000</f>
        <v>0</v>
      </c>
      <c r="F63">
        <v>6277</v>
      </c>
      <c r="G63">
        <f>LNG_global14[[#This Row],[Distance '[miles']]]*1.60934449789256</f>
        <v>10101.855413271598</v>
      </c>
      <c r="H63" t="s">
        <v>213</v>
      </c>
      <c r="I63" t="s">
        <v>234</v>
      </c>
    </row>
    <row r="64" spans="1:9">
      <c r="A64" t="s">
        <v>184</v>
      </c>
      <c r="B64" t="s">
        <v>202</v>
      </c>
      <c r="E64">
        <f t="shared" ref="E64:E79" si="5">D64/1000</f>
        <v>0</v>
      </c>
      <c r="F64">
        <v>4581</v>
      </c>
      <c r="G64">
        <f>LNG_global14[[#This Row],[Distance '[miles']]]*1.60934449789256</f>
        <v>7372.4071448458171</v>
      </c>
      <c r="H64" t="s">
        <v>213</v>
      </c>
      <c r="I64" t="s">
        <v>214</v>
      </c>
    </row>
    <row r="65" spans="1:9">
      <c r="A65" t="s">
        <v>184</v>
      </c>
      <c r="B65" t="s">
        <v>268</v>
      </c>
      <c r="E65">
        <f t="shared" si="5"/>
        <v>0</v>
      </c>
      <c r="F65">
        <v>3668</v>
      </c>
      <c r="G65">
        <f>LNG_global14[[#This Row],[Distance '[miles']]]*1.60934449789256</f>
        <v>5903.0756182699097</v>
      </c>
      <c r="H65" t="s">
        <v>213</v>
      </c>
      <c r="I65" t="s">
        <v>215</v>
      </c>
    </row>
    <row r="66" spans="1:9">
      <c r="A66" t="s">
        <v>184</v>
      </c>
      <c r="B66" t="s">
        <v>203</v>
      </c>
      <c r="E66">
        <f t="shared" si="5"/>
        <v>0</v>
      </c>
      <c r="F66">
        <v>4380</v>
      </c>
      <c r="G66">
        <f>LNG_global14[[#This Row],[Distance '[miles']]]*1.60934449789256</f>
        <v>7048.9289007694124</v>
      </c>
      <c r="H66" t="s">
        <v>213</v>
      </c>
      <c r="I66" t="s">
        <v>287</v>
      </c>
    </row>
    <row r="67" spans="1:9">
      <c r="A67" t="s">
        <v>184</v>
      </c>
      <c r="B67" t="s">
        <v>204</v>
      </c>
      <c r="E67">
        <f t="shared" si="5"/>
        <v>0</v>
      </c>
      <c r="F67">
        <v>4327</v>
      </c>
      <c r="G67">
        <f>LNG_global14[[#This Row],[Distance '[miles']]]*1.60934449789256</f>
        <v>6963.6336423811072</v>
      </c>
      <c r="H67" t="s">
        <v>213</v>
      </c>
      <c r="I67" t="s">
        <v>217</v>
      </c>
    </row>
    <row r="68" spans="1:9">
      <c r="A68" t="s">
        <v>184</v>
      </c>
      <c r="B68" t="s">
        <v>205</v>
      </c>
      <c r="E68">
        <f t="shared" si="5"/>
        <v>0</v>
      </c>
      <c r="F68">
        <v>7211</v>
      </c>
      <c r="G68">
        <f>LNG_global14[[#This Row],[Distance '[miles']]]*1.60934449789256</f>
        <v>11604.98317430325</v>
      </c>
      <c r="H68" t="s">
        <v>213</v>
      </c>
      <c r="I68" t="s">
        <v>218</v>
      </c>
    </row>
    <row r="69" spans="1:9">
      <c r="A69" t="s">
        <v>184</v>
      </c>
      <c r="B69" t="s">
        <v>206</v>
      </c>
      <c r="E69">
        <f t="shared" si="5"/>
        <v>0</v>
      </c>
      <c r="F69">
        <v>6346</v>
      </c>
      <c r="G69">
        <f>LNG_global14[[#This Row],[Distance '[miles']]]*1.60934449789256</f>
        <v>10212.900183626185</v>
      </c>
      <c r="H69" t="s">
        <v>213</v>
      </c>
      <c r="I69" t="s">
        <v>219</v>
      </c>
    </row>
    <row r="70" spans="1:9">
      <c r="A70" t="s">
        <v>184</v>
      </c>
      <c r="B70" t="s">
        <v>207</v>
      </c>
      <c r="E70">
        <f t="shared" si="5"/>
        <v>0</v>
      </c>
      <c r="F70">
        <v>7020</v>
      </c>
      <c r="G70">
        <f>LNG_global14[[#This Row],[Distance '[miles']]]*1.60934449789256</f>
        <v>11297.598375205771</v>
      </c>
      <c r="H70" t="s">
        <v>213</v>
      </c>
      <c r="I70" t="s">
        <v>220</v>
      </c>
    </row>
    <row r="71" spans="1:9">
      <c r="A71" t="s">
        <v>184</v>
      </c>
      <c r="B71" t="s">
        <v>208</v>
      </c>
      <c r="E71">
        <f t="shared" si="5"/>
        <v>0</v>
      </c>
      <c r="F71">
        <v>5266</v>
      </c>
      <c r="G71">
        <f>LNG_global14[[#This Row],[Distance '[miles']]]*1.60934449789256</f>
        <v>8474.8081259022201</v>
      </c>
      <c r="H71" t="s">
        <v>213</v>
      </c>
      <c r="I71" t="s">
        <v>221</v>
      </c>
    </row>
    <row r="72" spans="1:9">
      <c r="A72" t="s">
        <v>184</v>
      </c>
      <c r="B72" t="s">
        <v>209</v>
      </c>
      <c r="E72">
        <f t="shared" si="5"/>
        <v>0</v>
      </c>
      <c r="F72">
        <v>4657</v>
      </c>
      <c r="G72">
        <f>LNG_global14[[#This Row],[Distance '[miles']]]*1.60934449789256</f>
        <v>7494.7173266856516</v>
      </c>
      <c r="H72" t="s">
        <v>213</v>
      </c>
      <c r="I72" t="s">
        <v>222</v>
      </c>
    </row>
    <row r="73" spans="1:9">
      <c r="A73" t="s">
        <v>184</v>
      </c>
      <c r="B73" t="s">
        <v>210</v>
      </c>
      <c r="E73">
        <f t="shared" si="5"/>
        <v>0</v>
      </c>
      <c r="F73">
        <v>3667</v>
      </c>
      <c r="G73">
        <f>LNG_global14[[#This Row],[Distance '[miles']]]*1.60934449789256</f>
        <v>5901.4662737720173</v>
      </c>
      <c r="H73" t="s">
        <v>213</v>
      </c>
      <c r="I73" t="s">
        <v>223</v>
      </c>
    </row>
    <row r="74" spans="1:9">
      <c r="A74" t="s">
        <v>184</v>
      </c>
      <c r="B74" t="s">
        <v>211</v>
      </c>
      <c r="E74">
        <f t="shared" si="5"/>
        <v>0</v>
      </c>
      <c r="F74">
        <v>6091</v>
      </c>
      <c r="G74">
        <f>LNG_global14[[#This Row],[Distance '[miles']]]*1.60934449789256</f>
        <v>9802.5173366635827</v>
      </c>
      <c r="H74" t="s">
        <v>213</v>
      </c>
      <c r="I74" t="s">
        <v>238</v>
      </c>
    </row>
    <row r="75" spans="1:9">
      <c r="A75" t="s">
        <v>184</v>
      </c>
      <c r="B75" t="s">
        <v>224</v>
      </c>
      <c r="E75">
        <f t="shared" si="5"/>
        <v>0</v>
      </c>
      <c r="F75">
        <v>7423</v>
      </c>
      <c r="G75">
        <f>LNG_global14[[#This Row],[Distance '[miles']]]*1.60934449789256</f>
        <v>11946.164207856473</v>
      </c>
      <c r="H75" t="s">
        <v>213</v>
      </c>
      <c r="I75" t="s">
        <v>229</v>
      </c>
    </row>
    <row r="76" spans="1:9">
      <c r="A76" t="s">
        <v>184</v>
      </c>
      <c r="B76" t="s">
        <v>225</v>
      </c>
      <c r="E76">
        <f t="shared" si="5"/>
        <v>0</v>
      </c>
      <c r="F76">
        <v>7423</v>
      </c>
      <c r="G76">
        <f>LNG_global14[[#This Row],[Distance '[miles']]]*1.60934449789256</f>
        <v>11946.164207856473</v>
      </c>
      <c r="H76" t="s">
        <v>213</v>
      </c>
      <c r="I76" t="s">
        <v>230</v>
      </c>
    </row>
    <row r="77" spans="1:9">
      <c r="A77" t="s">
        <v>184</v>
      </c>
      <c r="B77" t="s">
        <v>226</v>
      </c>
      <c r="E77">
        <f t="shared" si="5"/>
        <v>0</v>
      </c>
      <c r="F77">
        <v>6540</v>
      </c>
      <c r="G77">
        <f>LNG_global14[[#This Row],[Distance '[miles']]]*1.60934449789256</f>
        <v>10525.113016217341</v>
      </c>
      <c r="H77" t="s">
        <v>213</v>
      </c>
      <c r="I77" t="s">
        <v>231</v>
      </c>
    </row>
    <row r="78" spans="1:9">
      <c r="A78" t="s">
        <v>184</v>
      </c>
      <c r="B78" t="s">
        <v>227</v>
      </c>
      <c r="E78">
        <f t="shared" si="5"/>
        <v>0</v>
      </c>
      <c r="F78">
        <v>6078</v>
      </c>
      <c r="G78">
        <f>LNG_global14[[#This Row],[Distance '[miles']]]*1.60934449789256</f>
        <v>9781.5958581909799</v>
      </c>
      <c r="H78" t="s">
        <v>213</v>
      </c>
      <c r="I78" t="s">
        <v>232</v>
      </c>
    </row>
    <row r="79" spans="1:9">
      <c r="A79" t="s">
        <v>184</v>
      </c>
      <c r="B79" t="s">
        <v>228</v>
      </c>
      <c r="E79">
        <f t="shared" si="5"/>
        <v>0</v>
      </c>
      <c r="F79">
        <v>7363</v>
      </c>
      <c r="G79">
        <f>LNG_global14[[#This Row],[Distance '[miles']]]*1.60934449789256</f>
        <v>11849.603537982919</v>
      </c>
      <c r="H79" t="s">
        <v>213</v>
      </c>
      <c r="I79" t="s">
        <v>233</v>
      </c>
    </row>
    <row r="80" spans="1:9">
      <c r="A80" t="s">
        <v>180</v>
      </c>
      <c r="B80" t="s">
        <v>201</v>
      </c>
      <c r="E80">
        <f>D80/1000</f>
        <v>0</v>
      </c>
      <c r="F80">
        <v>4986</v>
      </c>
      <c r="G80">
        <f>LNG_global14[[#This Row],[Distance '[miles']]]*1.60934449789256</f>
        <v>8024.1916664923037</v>
      </c>
      <c r="I80" t="s">
        <v>234</v>
      </c>
    </row>
    <row r="81" spans="1:9">
      <c r="A81" t="s">
        <v>180</v>
      </c>
      <c r="B81" t="s">
        <v>202</v>
      </c>
      <c r="E81">
        <f t="shared" ref="E81:E96" si="6">D81/1000</f>
        <v>0</v>
      </c>
      <c r="F81">
        <v>4958</v>
      </c>
      <c r="G81">
        <f>LNG_global14[[#This Row],[Distance '[miles']]]*1.60934449789256</f>
        <v>7979.1300205513126</v>
      </c>
      <c r="I81" t="s">
        <v>252</v>
      </c>
    </row>
    <row r="82" spans="1:9">
      <c r="A82" t="s">
        <v>180</v>
      </c>
      <c r="B82" t="s">
        <v>268</v>
      </c>
      <c r="E82">
        <f t="shared" si="6"/>
        <v>0</v>
      </c>
      <c r="F82">
        <v>6255</v>
      </c>
      <c r="G82">
        <f>LNG_global14[[#This Row],[Distance '[miles']]]*1.60934449789256</f>
        <v>10066.449834317962</v>
      </c>
      <c r="I82" t="s">
        <v>215</v>
      </c>
    </row>
    <row r="83" spans="1:9">
      <c r="A83" t="s">
        <v>180</v>
      </c>
      <c r="B83" t="s">
        <v>203</v>
      </c>
      <c r="E83">
        <f t="shared" si="6"/>
        <v>0</v>
      </c>
      <c r="F83">
        <v>5631</v>
      </c>
      <c r="G83">
        <f>LNG_global14[[#This Row],[Distance '[miles']]]*1.60934449789256</f>
        <v>9062.2188676330043</v>
      </c>
      <c r="I83" t="s">
        <v>276</v>
      </c>
    </row>
    <row r="84" spans="1:9">
      <c r="A84" t="s">
        <v>180</v>
      </c>
      <c r="B84" t="s">
        <v>204</v>
      </c>
      <c r="E84">
        <f t="shared" si="6"/>
        <v>0</v>
      </c>
      <c r="F84">
        <v>6380</v>
      </c>
      <c r="G84">
        <f>LNG_global14[[#This Row],[Distance '[miles']]]*1.60934449789256</f>
        <v>10267.617896554533</v>
      </c>
      <c r="I84" t="s">
        <v>217</v>
      </c>
    </row>
    <row r="85" spans="1:9">
      <c r="A85" t="s">
        <v>180</v>
      </c>
      <c r="B85" t="s">
        <v>205</v>
      </c>
      <c r="E85">
        <f t="shared" si="6"/>
        <v>0</v>
      </c>
      <c r="F85">
        <v>5634</v>
      </c>
      <c r="G85">
        <f>LNG_global14[[#This Row],[Distance '[miles']]]*1.60934449789256</f>
        <v>9067.0469011266832</v>
      </c>
      <c r="I85" t="s">
        <v>218</v>
      </c>
    </row>
    <row r="86" spans="1:9">
      <c r="A86" t="s">
        <v>180</v>
      </c>
      <c r="B86" t="s">
        <v>206</v>
      </c>
      <c r="E86">
        <f t="shared" si="6"/>
        <v>0</v>
      </c>
      <c r="F86">
        <v>5052</v>
      </c>
      <c r="G86">
        <f>LNG_global14[[#This Row],[Distance '[miles']]]*1.60934449789256</f>
        <v>8130.4084033532126</v>
      </c>
      <c r="I86" t="s">
        <v>219</v>
      </c>
    </row>
    <row r="87" spans="1:9">
      <c r="A87" t="s">
        <v>180</v>
      </c>
      <c r="B87" t="s">
        <v>207</v>
      </c>
      <c r="E87">
        <f t="shared" si="6"/>
        <v>0</v>
      </c>
      <c r="F87">
        <v>5443</v>
      </c>
      <c r="G87">
        <f>LNG_global14[[#This Row],[Distance '[miles']]]*1.60934449789256</f>
        <v>8759.6621020292041</v>
      </c>
      <c r="I87" t="s">
        <v>220</v>
      </c>
    </row>
    <row r="88" spans="1:9">
      <c r="A88" t="s">
        <v>180</v>
      </c>
      <c r="B88" t="s">
        <v>208</v>
      </c>
      <c r="E88">
        <f t="shared" si="6"/>
        <v>0</v>
      </c>
      <c r="F88">
        <v>4565</v>
      </c>
      <c r="G88">
        <f>LNG_global14[[#This Row],[Distance '[miles']]]*1.60934449789256</f>
        <v>7346.6576328795363</v>
      </c>
      <c r="I88" t="s">
        <v>221</v>
      </c>
    </row>
    <row r="89" spans="1:9">
      <c r="A89" t="s">
        <v>180</v>
      </c>
      <c r="B89" t="s">
        <v>209</v>
      </c>
      <c r="E89">
        <f t="shared" si="6"/>
        <v>0</v>
      </c>
      <c r="F89">
        <v>4697</v>
      </c>
      <c r="G89">
        <f>LNG_global14[[#This Row],[Distance '[miles']]]*1.60934449789256</f>
        <v>7559.0911066013541</v>
      </c>
      <c r="I89" t="s">
        <v>248</v>
      </c>
    </row>
    <row r="90" spans="1:9">
      <c r="A90" t="s">
        <v>180</v>
      </c>
      <c r="B90" t="s">
        <v>210</v>
      </c>
      <c r="E90">
        <f t="shared" si="6"/>
        <v>0</v>
      </c>
      <c r="F90">
        <v>6409</v>
      </c>
      <c r="G90">
        <f>LNG_global14[[#This Row],[Distance '[miles']]]*1.60934449789256</f>
        <v>10314.288886993416</v>
      </c>
      <c r="I90" t="s">
        <v>223</v>
      </c>
    </row>
    <row r="91" spans="1:9">
      <c r="A91" t="s">
        <v>180</v>
      </c>
      <c r="B91" t="s">
        <v>211</v>
      </c>
      <c r="E91">
        <f t="shared" si="6"/>
        <v>0</v>
      </c>
      <c r="F91">
        <v>4666</v>
      </c>
      <c r="G91">
        <f>LNG_global14[[#This Row],[Distance '[miles']]]*1.60934449789256</f>
        <v>7509.2014271666849</v>
      </c>
      <c r="I91" t="s">
        <v>238</v>
      </c>
    </row>
    <row r="92" spans="1:9">
      <c r="A92" t="s">
        <v>180</v>
      </c>
      <c r="B92" t="s">
        <v>224</v>
      </c>
      <c r="E92">
        <f t="shared" si="6"/>
        <v>0</v>
      </c>
      <c r="F92">
        <v>5846</v>
      </c>
      <c r="G92">
        <f>LNG_global14[[#This Row],[Distance '[miles']]]*1.60934449789256</f>
        <v>9408.227934679906</v>
      </c>
      <c r="I92" t="s">
        <v>229</v>
      </c>
    </row>
    <row r="93" spans="1:9">
      <c r="A93" t="s">
        <v>180</v>
      </c>
      <c r="B93" t="s">
        <v>225</v>
      </c>
      <c r="E93">
        <f t="shared" si="6"/>
        <v>0</v>
      </c>
      <c r="F93">
        <v>5846</v>
      </c>
      <c r="G93">
        <f>LNG_global14[[#This Row],[Distance '[miles']]]*1.60934449789256</f>
        <v>9408.227934679906</v>
      </c>
      <c r="I93" t="s">
        <v>230</v>
      </c>
    </row>
    <row r="94" spans="1:9">
      <c r="A94" t="s">
        <v>180</v>
      </c>
      <c r="B94" t="s">
        <v>226</v>
      </c>
      <c r="E94">
        <f t="shared" si="6"/>
        <v>0</v>
      </c>
      <c r="F94">
        <v>5215</v>
      </c>
      <c r="G94">
        <f>LNG_global14[[#This Row],[Distance '[miles']]]*1.60934449789256</f>
        <v>8392.7315565096997</v>
      </c>
      <c r="I94" t="s">
        <v>231</v>
      </c>
    </row>
    <row r="95" spans="1:9">
      <c r="A95" t="s">
        <v>180</v>
      </c>
      <c r="B95" t="s">
        <v>227</v>
      </c>
      <c r="E95">
        <f t="shared" si="6"/>
        <v>0</v>
      </c>
      <c r="F95">
        <v>4564</v>
      </c>
      <c r="G95">
        <f>LNG_global14[[#This Row],[Distance '[miles']]]*1.60934449789256</f>
        <v>7345.0482883816439</v>
      </c>
      <c r="I95" t="s">
        <v>232</v>
      </c>
    </row>
    <row r="96" spans="1:9">
      <c r="A96" t="s">
        <v>180</v>
      </c>
      <c r="B96" t="s">
        <v>228</v>
      </c>
      <c r="E96">
        <f t="shared" si="6"/>
        <v>0</v>
      </c>
      <c r="F96">
        <v>5786</v>
      </c>
      <c r="G96">
        <f>LNG_global14[[#This Row],[Distance '[miles']]]*1.60934449789256</f>
        <v>9311.6672648063523</v>
      </c>
      <c r="I96" t="s">
        <v>233</v>
      </c>
    </row>
    <row r="97" spans="1:9">
      <c r="A97" t="s">
        <v>182</v>
      </c>
      <c r="B97" t="s">
        <v>201</v>
      </c>
      <c r="E97">
        <f>D97/1000</f>
        <v>0</v>
      </c>
      <c r="F97">
        <v>3985</v>
      </c>
      <c r="G97">
        <f>LNG_global14[[#This Row],[Distance '[miles']]]*1.60934449789256</f>
        <v>6413.2378241018514</v>
      </c>
      <c r="I97" t="s">
        <v>234</v>
      </c>
    </row>
    <row r="98" spans="1:9">
      <c r="A98" t="s">
        <v>182</v>
      </c>
      <c r="B98" t="s">
        <v>202</v>
      </c>
      <c r="E98">
        <f t="shared" ref="E98:E113" si="7">D98/1000</f>
        <v>0</v>
      </c>
      <c r="F98">
        <v>3952</v>
      </c>
      <c r="G98">
        <f>LNG_global14[[#This Row],[Distance '[miles']]]*1.60934449789256</f>
        <v>6360.1294556713965</v>
      </c>
      <c r="I98" t="s">
        <v>252</v>
      </c>
    </row>
    <row r="99" spans="1:9">
      <c r="A99" t="s">
        <v>182</v>
      </c>
      <c r="B99" t="s">
        <v>268</v>
      </c>
      <c r="E99">
        <f t="shared" si="7"/>
        <v>0</v>
      </c>
      <c r="F99">
        <v>4898</v>
      </c>
      <c r="G99">
        <f>LNG_global14[[#This Row],[Distance '[miles']]]*1.60934449789256</f>
        <v>7882.5693506777588</v>
      </c>
      <c r="I99" t="s">
        <v>215</v>
      </c>
    </row>
    <row r="100" spans="1:9">
      <c r="A100" t="s">
        <v>182</v>
      </c>
      <c r="B100" t="s">
        <v>203</v>
      </c>
      <c r="E100">
        <f t="shared" si="7"/>
        <v>0</v>
      </c>
      <c r="F100">
        <v>5075</v>
      </c>
      <c r="G100">
        <f>LNG_global14[[#This Row],[Distance '[miles']]]*1.60934449789256</f>
        <v>8167.4233268047419</v>
      </c>
      <c r="I100" t="s">
        <v>287</v>
      </c>
    </row>
    <row r="101" spans="1:9">
      <c r="A101" t="s">
        <v>182</v>
      </c>
      <c r="B101" t="s">
        <v>204</v>
      </c>
      <c r="E101">
        <f t="shared" si="7"/>
        <v>0</v>
      </c>
      <c r="F101">
        <v>5023</v>
      </c>
      <c r="G101">
        <f>LNG_global14[[#This Row],[Distance '[miles']]]*1.60934449789256</f>
        <v>8083.7374129143291</v>
      </c>
      <c r="I101" t="s">
        <v>217</v>
      </c>
    </row>
    <row r="102" spans="1:9">
      <c r="A102" t="s">
        <v>182</v>
      </c>
      <c r="B102" t="s">
        <v>205</v>
      </c>
      <c r="E102">
        <f t="shared" si="7"/>
        <v>0</v>
      </c>
      <c r="F102">
        <v>4823</v>
      </c>
      <c r="G102">
        <f>LNG_global14[[#This Row],[Distance '[miles']]]*1.60934449789256</f>
        <v>7761.8685133358167</v>
      </c>
      <c r="I102" t="s">
        <v>218</v>
      </c>
    </row>
    <row r="103" spans="1:9">
      <c r="A103" t="s">
        <v>182</v>
      </c>
      <c r="B103" t="s">
        <v>206</v>
      </c>
      <c r="E103">
        <f t="shared" si="7"/>
        <v>0</v>
      </c>
      <c r="F103">
        <v>4051</v>
      </c>
      <c r="G103">
        <f>LNG_global14[[#This Row],[Distance '[miles']]]*1.60934449789256</f>
        <v>6519.4545609627603</v>
      </c>
      <c r="I103" t="s">
        <v>219</v>
      </c>
    </row>
    <row r="104" spans="1:9">
      <c r="A104" t="s">
        <v>182</v>
      </c>
      <c r="B104" t="s">
        <v>207</v>
      </c>
      <c r="E104">
        <f t="shared" si="7"/>
        <v>0</v>
      </c>
      <c r="F104">
        <v>4632</v>
      </c>
      <c r="G104">
        <f>LNG_global14[[#This Row],[Distance '[miles']]]*1.60934449789256</f>
        <v>7454.4837142383376</v>
      </c>
      <c r="I104" t="s">
        <v>220</v>
      </c>
    </row>
    <row r="105" spans="1:9">
      <c r="A105" t="s">
        <v>182</v>
      </c>
      <c r="B105" t="s">
        <v>208</v>
      </c>
      <c r="E105">
        <f t="shared" si="7"/>
        <v>0</v>
      </c>
      <c r="F105">
        <v>3299</v>
      </c>
      <c r="G105">
        <f>LNG_global14[[#This Row],[Distance '[miles']]]*1.60934449789256</f>
        <v>5309.2274985475551</v>
      </c>
      <c r="I105" t="s">
        <v>221</v>
      </c>
    </row>
    <row r="106" spans="1:9">
      <c r="A106" t="s">
        <v>182</v>
      </c>
      <c r="B106" t="s">
        <v>209</v>
      </c>
      <c r="E106">
        <f t="shared" si="7"/>
        <v>0</v>
      </c>
      <c r="F106">
        <v>3645</v>
      </c>
      <c r="G106">
        <f>LNG_global14[[#This Row],[Distance '[miles']]]*1.60934449789256</f>
        <v>5866.0606948183813</v>
      </c>
      <c r="I106" t="s">
        <v>237</v>
      </c>
    </row>
    <row r="107" spans="1:9">
      <c r="A107" t="s">
        <v>182</v>
      </c>
      <c r="B107" t="s">
        <v>210</v>
      </c>
      <c r="E107">
        <f t="shared" si="7"/>
        <v>0</v>
      </c>
      <c r="F107">
        <v>5052</v>
      </c>
      <c r="G107">
        <f>LNG_global14[[#This Row],[Distance '[miles']]]*1.60934449789256</f>
        <v>8130.4084033532126</v>
      </c>
      <c r="I107" t="s">
        <v>223</v>
      </c>
    </row>
    <row r="108" spans="1:9">
      <c r="A108" t="s">
        <v>182</v>
      </c>
      <c r="B108" t="s">
        <v>211</v>
      </c>
      <c r="E108">
        <f t="shared" si="7"/>
        <v>0</v>
      </c>
      <c r="F108">
        <v>3974</v>
      </c>
      <c r="G108">
        <f>LNG_global14[[#This Row],[Distance '[miles']]]*1.60934449789256</f>
        <v>6395.5350346250334</v>
      </c>
      <c r="I108" t="s">
        <v>281</v>
      </c>
    </row>
    <row r="109" spans="1:9">
      <c r="A109" t="s">
        <v>182</v>
      </c>
      <c r="B109" t="s">
        <v>224</v>
      </c>
      <c r="E109">
        <f t="shared" si="7"/>
        <v>0</v>
      </c>
      <c r="F109">
        <v>5035</v>
      </c>
      <c r="G109">
        <f>LNG_global14[[#This Row],[Distance '[miles']]]*1.60934449789256</f>
        <v>8103.0495468890394</v>
      </c>
      <c r="I109" t="s">
        <v>229</v>
      </c>
    </row>
    <row r="110" spans="1:9">
      <c r="A110" t="s">
        <v>182</v>
      </c>
      <c r="B110" t="s">
        <v>225</v>
      </c>
      <c r="E110">
        <f t="shared" si="7"/>
        <v>0</v>
      </c>
      <c r="F110">
        <v>5035</v>
      </c>
      <c r="G110">
        <f>LNG_global14[[#This Row],[Distance '[miles']]]*1.60934449789256</f>
        <v>8103.0495468890394</v>
      </c>
      <c r="I110" t="s">
        <v>230</v>
      </c>
    </row>
    <row r="111" spans="1:9">
      <c r="A111" t="s">
        <v>182</v>
      </c>
      <c r="B111" t="s">
        <v>226</v>
      </c>
      <c r="E111">
        <f t="shared" si="7"/>
        <v>0</v>
      </c>
      <c r="F111">
        <v>4248</v>
      </c>
      <c r="G111">
        <f>LNG_global14[[#This Row],[Distance '[miles']]]*1.60934449789256</f>
        <v>6836.4954270475946</v>
      </c>
      <c r="I111" t="s">
        <v>231</v>
      </c>
    </row>
    <row r="112" spans="1:9">
      <c r="A112" t="s">
        <v>182</v>
      </c>
      <c r="B112" t="s">
        <v>227</v>
      </c>
      <c r="E112">
        <f t="shared" si="7"/>
        <v>0</v>
      </c>
      <c r="F112">
        <v>3599</v>
      </c>
      <c r="G112">
        <f>LNG_global14[[#This Row],[Distance '[miles']]]*1.60934449789256</f>
        <v>5792.0308479153236</v>
      </c>
      <c r="I112" t="s">
        <v>232</v>
      </c>
    </row>
    <row r="113" spans="1:9">
      <c r="A113" t="s">
        <v>182</v>
      </c>
      <c r="B113" t="s">
        <v>228</v>
      </c>
      <c r="E113">
        <f t="shared" si="7"/>
        <v>0</v>
      </c>
      <c r="F113">
        <v>4975</v>
      </c>
      <c r="G113">
        <f>LNG_global14[[#This Row],[Distance '[miles']]]*1.60934449789256</f>
        <v>8006.4888770154857</v>
      </c>
      <c r="I113" t="s">
        <v>233</v>
      </c>
    </row>
    <row r="114" spans="1:9">
      <c r="A114" t="s">
        <v>183</v>
      </c>
      <c r="B114" t="s">
        <v>201</v>
      </c>
      <c r="E114">
        <f>D114/1000</f>
        <v>0</v>
      </c>
      <c r="F114">
        <v>6210</v>
      </c>
      <c r="G114">
        <f>LNG_global14[[#This Row],[Distance '[miles']]]*1.60934449789256</f>
        <v>9994.0293319127977</v>
      </c>
      <c r="H114" t="s">
        <v>213</v>
      </c>
      <c r="I114" t="s">
        <v>234</v>
      </c>
    </row>
    <row r="115" spans="1:9">
      <c r="A115" t="s">
        <v>183</v>
      </c>
      <c r="B115" t="s">
        <v>202</v>
      </c>
      <c r="E115">
        <f t="shared" ref="E115:E147" si="8">D115/1000</f>
        <v>0</v>
      </c>
      <c r="F115">
        <v>6177</v>
      </c>
      <c r="G115">
        <f>LNG_global14[[#This Row],[Distance '[miles']]]*1.60934449789256</f>
        <v>9940.9209634823437</v>
      </c>
      <c r="H115" t="s">
        <v>213</v>
      </c>
      <c r="I115" t="s">
        <v>252</v>
      </c>
    </row>
    <row r="116" spans="1:9">
      <c r="A116" t="s">
        <v>183</v>
      </c>
      <c r="B116" t="s">
        <v>268</v>
      </c>
      <c r="E116">
        <f t="shared" si="8"/>
        <v>0</v>
      </c>
      <c r="F116">
        <v>3601</v>
      </c>
      <c r="G116">
        <f>LNG_global14[[#This Row],[Distance '[miles']]]*1.60934449789256</f>
        <v>5795.2495369111084</v>
      </c>
      <c r="H116" t="s">
        <v>213</v>
      </c>
      <c r="I116" t="s">
        <v>215</v>
      </c>
    </row>
    <row r="117" spans="1:9">
      <c r="A117" t="s">
        <v>183</v>
      </c>
      <c r="B117" t="s">
        <v>203</v>
      </c>
      <c r="E117">
        <f t="shared" si="8"/>
        <v>0</v>
      </c>
      <c r="F117">
        <v>4385</v>
      </c>
      <c r="G117">
        <f>LNG_global14[[#This Row],[Distance '[miles']]]*1.60934449789256</f>
        <v>7056.9756232588752</v>
      </c>
      <c r="H117" t="s">
        <v>213</v>
      </c>
      <c r="I117" t="s">
        <v>216</v>
      </c>
    </row>
    <row r="118" spans="1:9">
      <c r="A118" t="s">
        <v>183</v>
      </c>
      <c r="B118" t="s">
        <v>204</v>
      </c>
      <c r="E118">
        <f t="shared" si="8"/>
        <v>0</v>
      </c>
      <c r="F118">
        <v>4260</v>
      </c>
      <c r="G118">
        <f>LNG_global14[[#This Row],[Distance '[miles']]]*1.60934449789256</f>
        <v>6855.807561022305</v>
      </c>
      <c r="H118" t="s">
        <v>213</v>
      </c>
      <c r="I118" t="s">
        <v>217</v>
      </c>
    </row>
    <row r="119" spans="1:9">
      <c r="A119" t="s">
        <v>183</v>
      </c>
      <c r="B119" t="s">
        <v>205</v>
      </c>
      <c r="E119">
        <f t="shared" si="8"/>
        <v>0</v>
      </c>
      <c r="F119">
        <v>7144</v>
      </c>
      <c r="G119">
        <f>LNG_global14[[#This Row],[Distance '[miles']]]*1.60934449789256</f>
        <v>11497.157092944448</v>
      </c>
      <c r="H119" t="s">
        <v>213</v>
      </c>
      <c r="I119" t="s">
        <v>218</v>
      </c>
    </row>
    <row r="120" spans="1:9">
      <c r="A120" t="s">
        <v>183</v>
      </c>
      <c r="B120" t="s">
        <v>206</v>
      </c>
      <c r="E120">
        <f t="shared" si="8"/>
        <v>0</v>
      </c>
      <c r="F120">
        <v>6276</v>
      </c>
      <c r="G120">
        <f>LNG_global14[[#This Row],[Distance '[miles']]]*1.60934449789256</f>
        <v>10100.246068773706</v>
      </c>
      <c r="H120" t="s">
        <v>213</v>
      </c>
      <c r="I120" t="s">
        <v>219</v>
      </c>
    </row>
    <row r="121" spans="1:9">
      <c r="A121" t="s">
        <v>183</v>
      </c>
      <c r="B121" t="s">
        <v>207</v>
      </c>
      <c r="E121">
        <f t="shared" si="8"/>
        <v>0</v>
      </c>
      <c r="F121">
        <v>6953</v>
      </c>
      <c r="G121">
        <f>LNG_global14[[#This Row],[Distance '[miles']]]*1.60934449789256</f>
        <v>11189.772293846969</v>
      </c>
      <c r="H121" t="s">
        <v>213</v>
      </c>
      <c r="I121" t="s">
        <v>220</v>
      </c>
    </row>
    <row r="122" spans="1:9">
      <c r="A122" t="s">
        <v>183</v>
      </c>
      <c r="B122" t="s">
        <v>208</v>
      </c>
      <c r="E122">
        <f t="shared" si="8"/>
        <v>0</v>
      </c>
      <c r="F122">
        <v>5199</v>
      </c>
      <c r="G122">
        <f>LNG_global14[[#This Row],[Distance '[miles']]]*1.60934449789256</f>
        <v>8366.9820445434198</v>
      </c>
      <c r="H122" t="s">
        <v>213</v>
      </c>
      <c r="I122" t="s">
        <v>221</v>
      </c>
    </row>
    <row r="123" spans="1:9">
      <c r="A123" t="s">
        <v>183</v>
      </c>
      <c r="B123" t="s">
        <v>209</v>
      </c>
      <c r="E123">
        <f t="shared" si="8"/>
        <v>0</v>
      </c>
      <c r="F123">
        <v>4590</v>
      </c>
      <c r="G123">
        <f>LNG_global14[[#This Row],[Distance '[miles']]]*1.60934449789256</f>
        <v>7386.8912453268504</v>
      </c>
      <c r="H123" t="s">
        <v>213</v>
      </c>
      <c r="I123" t="s">
        <v>222</v>
      </c>
    </row>
    <row r="124" spans="1:9">
      <c r="A124" t="s">
        <v>183</v>
      </c>
      <c r="B124" t="s">
        <v>210</v>
      </c>
      <c r="E124">
        <f t="shared" si="8"/>
        <v>0</v>
      </c>
      <c r="F124">
        <v>3600</v>
      </c>
      <c r="G124">
        <f>LNG_global14[[#This Row],[Distance '[miles']]]*1.60934449789256</f>
        <v>5793.640192413216</v>
      </c>
      <c r="H124" t="s">
        <v>213</v>
      </c>
      <c r="I124" t="s">
        <v>223</v>
      </c>
    </row>
    <row r="125" spans="1:9">
      <c r="A125" t="s">
        <v>183</v>
      </c>
      <c r="B125" t="s">
        <v>211</v>
      </c>
      <c r="E125">
        <f t="shared" si="8"/>
        <v>0</v>
      </c>
      <c r="F125">
        <v>6024</v>
      </c>
      <c r="G125">
        <f>LNG_global14[[#This Row],[Distance '[miles']]]*1.60934449789256</f>
        <v>9694.6912553047805</v>
      </c>
      <c r="H125" t="s">
        <v>213</v>
      </c>
      <c r="I125" t="s">
        <v>238</v>
      </c>
    </row>
    <row r="126" spans="1:9">
      <c r="A126" t="s">
        <v>183</v>
      </c>
      <c r="B126" t="s">
        <v>224</v>
      </c>
      <c r="E126">
        <f t="shared" si="8"/>
        <v>0</v>
      </c>
      <c r="F126">
        <v>7356</v>
      </c>
      <c r="G126">
        <f>LNG_global14[[#This Row],[Distance '[miles']]]*1.60934449789256</f>
        <v>11838.338126497671</v>
      </c>
      <c r="H126" t="s">
        <v>213</v>
      </c>
      <c r="I126" t="s">
        <v>229</v>
      </c>
    </row>
    <row r="127" spans="1:9">
      <c r="A127" t="s">
        <v>183</v>
      </c>
      <c r="B127" t="s">
        <v>225</v>
      </c>
      <c r="E127">
        <f t="shared" si="8"/>
        <v>0</v>
      </c>
      <c r="F127">
        <v>7356</v>
      </c>
      <c r="G127">
        <f>LNG_global14[[#This Row],[Distance '[miles']]]*1.60934449789256</f>
        <v>11838.338126497671</v>
      </c>
      <c r="H127" t="s">
        <v>213</v>
      </c>
      <c r="I127" t="s">
        <v>230</v>
      </c>
    </row>
    <row r="128" spans="1:9">
      <c r="A128" t="s">
        <v>183</v>
      </c>
      <c r="B128" t="s">
        <v>226</v>
      </c>
      <c r="E128">
        <f t="shared" si="8"/>
        <v>0</v>
      </c>
      <c r="F128">
        <v>6473</v>
      </c>
      <c r="G128">
        <f>LNG_global14[[#This Row],[Distance '[miles']]]*1.60934449789256</f>
        <v>10417.286934858541</v>
      </c>
      <c r="H128" t="s">
        <v>213</v>
      </c>
      <c r="I128" t="s">
        <v>231</v>
      </c>
    </row>
    <row r="129" spans="1:9">
      <c r="A129" t="s">
        <v>183</v>
      </c>
      <c r="B129" t="s">
        <v>227</v>
      </c>
      <c r="E129">
        <f t="shared" si="8"/>
        <v>0</v>
      </c>
      <c r="F129">
        <v>6011</v>
      </c>
      <c r="G129">
        <f>LNG_global14[[#This Row],[Distance '[miles']]]*1.60934449789256</f>
        <v>9673.7697768321777</v>
      </c>
      <c r="H129" t="s">
        <v>213</v>
      </c>
      <c r="I129" t="s">
        <v>232</v>
      </c>
    </row>
    <row r="130" spans="1:9">
      <c r="A130" t="s">
        <v>183</v>
      </c>
      <c r="B130" t="s">
        <v>228</v>
      </c>
      <c r="E130">
        <f t="shared" si="8"/>
        <v>0</v>
      </c>
      <c r="F130">
        <v>7296</v>
      </c>
      <c r="G130">
        <f>LNG_global14[[#This Row],[Distance '[miles']]]*1.60934449789256</f>
        <v>11741.777456624117</v>
      </c>
      <c r="H130" t="s">
        <v>213</v>
      </c>
      <c r="I130" t="s">
        <v>233</v>
      </c>
    </row>
    <row r="131" spans="1:9">
      <c r="A131" t="s">
        <v>185</v>
      </c>
      <c r="B131" t="s">
        <v>201</v>
      </c>
      <c r="E131">
        <f t="shared" si="8"/>
        <v>0</v>
      </c>
      <c r="F131">
        <v>4348</v>
      </c>
      <c r="G131">
        <f>LNG_global14[[#This Row],[Distance '[miles']]]*1.60934449789256</f>
        <v>6997.4298768368508</v>
      </c>
      <c r="I131" t="s">
        <v>234</v>
      </c>
    </row>
    <row r="132" spans="1:9">
      <c r="A132" t="s">
        <v>185</v>
      </c>
      <c r="B132" t="s">
        <v>202</v>
      </c>
      <c r="E132">
        <f t="shared" si="8"/>
        <v>0</v>
      </c>
      <c r="F132">
        <v>3980</v>
      </c>
      <c r="G132">
        <f>LNG_global14[[#This Row],[Distance '[miles']]]*1.60934449789256</f>
        <v>6405.1911016123886</v>
      </c>
      <c r="I132" t="s">
        <v>279</v>
      </c>
    </row>
    <row r="133" spans="1:9">
      <c r="A133" t="s">
        <v>185</v>
      </c>
      <c r="B133" t="s">
        <v>268</v>
      </c>
      <c r="E133">
        <f t="shared" si="8"/>
        <v>0</v>
      </c>
      <c r="F133">
        <v>4824</v>
      </c>
      <c r="G133">
        <f>LNG_global14[[#This Row],[Distance '[miles']]]*1.60934449789256</f>
        <v>7763.4778578337091</v>
      </c>
      <c r="I133" t="s">
        <v>215</v>
      </c>
    </row>
    <row r="134" spans="1:9">
      <c r="A134" t="s">
        <v>185</v>
      </c>
      <c r="B134" t="s">
        <v>203</v>
      </c>
      <c r="E134">
        <f t="shared" si="8"/>
        <v>0</v>
      </c>
      <c r="F134">
        <v>4172</v>
      </c>
      <c r="G134">
        <f>LNG_global14[[#This Row],[Distance '[miles']]]*1.60934449789256</f>
        <v>6714.1852452077601</v>
      </c>
      <c r="I134" t="s">
        <v>276</v>
      </c>
    </row>
    <row r="135" spans="1:9">
      <c r="A135" t="s">
        <v>185</v>
      </c>
      <c r="B135" t="s">
        <v>204</v>
      </c>
      <c r="E135">
        <f t="shared" si="8"/>
        <v>0</v>
      </c>
      <c r="F135">
        <v>4949</v>
      </c>
      <c r="G135">
        <f>LNG_global14[[#This Row],[Distance '[miles']]]*1.60934449789256</f>
        <v>7964.6459200702793</v>
      </c>
      <c r="I135" t="s">
        <v>217</v>
      </c>
    </row>
    <row r="136" spans="1:9">
      <c r="A136" t="s">
        <v>185</v>
      </c>
      <c r="B136" t="s">
        <v>205</v>
      </c>
      <c r="E136">
        <f t="shared" si="8"/>
        <v>0</v>
      </c>
      <c r="F136">
        <v>5282</v>
      </c>
      <c r="G136">
        <f>LNG_global14[[#This Row],[Distance '[miles']]]*1.60934449789256</f>
        <v>8500.5576378685018</v>
      </c>
      <c r="I136" t="s">
        <v>218</v>
      </c>
    </row>
    <row r="137" spans="1:9">
      <c r="A137" t="s">
        <v>185</v>
      </c>
      <c r="B137" t="s">
        <v>206</v>
      </c>
      <c r="E137">
        <f t="shared" si="8"/>
        <v>0</v>
      </c>
      <c r="F137">
        <v>4414</v>
      </c>
      <c r="G137">
        <f>LNG_global14[[#This Row],[Distance '[miles']]]*1.60934449789256</f>
        <v>7103.6466136977597</v>
      </c>
      <c r="I137" t="s">
        <v>219</v>
      </c>
    </row>
    <row r="138" spans="1:9">
      <c r="A138" t="s">
        <v>185</v>
      </c>
      <c r="B138" t="s">
        <v>207</v>
      </c>
      <c r="E138">
        <f t="shared" si="8"/>
        <v>0</v>
      </c>
      <c r="F138">
        <v>5091</v>
      </c>
      <c r="G138">
        <f>LNG_global14[[#This Row],[Distance '[miles']]]*1.60934449789256</f>
        <v>8193.1728387710227</v>
      </c>
      <c r="I138" t="s">
        <v>220</v>
      </c>
    </row>
    <row r="139" spans="1:9">
      <c r="A139" t="s">
        <v>185</v>
      </c>
      <c r="B139" t="s">
        <v>208</v>
      </c>
      <c r="E139">
        <f t="shared" si="8"/>
        <v>0</v>
      </c>
      <c r="F139">
        <v>3389</v>
      </c>
      <c r="G139">
        <f>LNG_global14[[#This Row],[Distance '[miles']]]*1.60934449789256</f>
        <v>5454.0685033578857</v>
      </c>
      <c r="I139" t="s">
        <v>221</v>
      </c>
    </row>
    <row r="140" spans="1:9">
      <c r="A140" t="s">
        <v>185</v>
      </c>
      <c r="B140" t="s">
        <v>209</v>
      </c>
      <c r="E140">
        <f t="shared" si="8"/>
        <v>0</v>
      </c>
      <c r="F140">
        <v>3359</v>
      </c>
      <c r="G140">
        <f>LNG_global14[[#This Row],[Distance '[miles']]]*1.60934449789256</f>
        <v>5405.7881684211088</v>
      </c>
      <c r="I140" t="s">
        <v>248</v>
      </c>
    </row>
    <row r="141" spans="1:9">
      <c r="A141" t="s">
        <v>185</v>
      </c>
      <c r="B141" t="s">
        <v>210</v>
      </c>
      <c r="E141">
        <f t="shared" si="8"/>
        <v>0</v>
      </c>
      <c r="F141">
        <v>5109</v>
      </c>
      <c r="G141">
        <f>LNG_global14[[#This Row],[Distance '[miles']]]*1.60934449789256</f>
        <v>8222.1410397330892</v>
      </c>
      <c r="I141" t="s">
        <v>280</v>
      </c>
    </row>
    <row r="142" spans="1:9">
      <c r="A142" t="s">
        <v>185</v>
      </c>
      <c r="B142" t="s">
        <v>211</v>
      </c>
      <c r="E142">
        <f t="shared" si="8"/>
        <v>0</v>
      </c>
      <c r="F142">
        <v>4309</v>
      </c>
      <c r="G142">
        <f>LNG_global14[[#This Row],[Distance '[miles']]]*1.60934449789256</f>
        <v>6934.6654414190407</v>
      </c>
      <c r="I142" t="s">
        <v>281</v>
      </c>
    </row>
    <row r="143" spans="1:9">
      <c r="A143" t="s">
        <v>185</v>
      </c>
      <c r="B143" t="s">
        <v>224</v>
      </c>
      <c r="E143">
        <f t="shared" si="8"/>
        <v>0</v>
      </c>
      <c r="F143">
        <v>5494</v>
      </c>
      <c r="G143">
        <f>LNG_global14[[#This Row],[Distance '[miles']]]*1.60934449789256</f>
        <v>8841.7386714217246</v>
      </c>
      <c r="I143" t="s">
        <v>229</v>
      </c>
    </row>
    <row r="144" spans="1:9">
      <c r="A144" t="s">
        <v>185</v>
      </c>
      <c r="B144" t="s">
        <v>225</v>
      </c>
      <c r="E144">
        <f t="shared" si="8"/>
        <v>0</v>
      </c>
      <c r="F144">
        <v>5494</v>
      </c>
      <c r="G144">
        <f>LNG_global14[[#This Row],[Distance '[miles']]]*1.60934449789256</f>
        <v>8841.7386714217246</v>
      </c>
      <c r="I144" t="s">
        <v>230</v>
      </c>
    </row>
    <row r="145" spans="1:9">
      <c r="A145" t="s">
        <v>185</v>
      </c>
      <c r="B145" t="s">
        <v>226</v>
      </c>
      <c r="E145">
        <f t="shared" si="8"/>
        <v>0</v>
      </c>
      <c r="F145">
        <v>4611</v>
      </c>
      <c r="G145">
        <f>LNG_global14[[#This Row],[Distance '[miles']]]*1.60934449789256</f>
        <v>7420.687479782594</v>
      </c>
      <c r="I145" t="s">
        <v>231</v>
      </c>
    </row>
    <row r="146" spans="1:9">
      <c r="A146" t="s">
        <v>185</v>
      </c>
      <c r="B146" t="s">
        <v>227</v>
      </c>
      <c r="E146">
        <f t="shared" si="8"/>
        <v>0</v>
      </c>
      <c r="F146">
        <v>4149</v>
      </c>
      <c r="G146">
        <f>LNG_global14[[#This Row],[Distance '[miles']]]*1.60934449789256</f>
        <v>6677.1703217562308</v>
      </c>
      <c r="I146" t="s">
        <v>232</v>
      </c>
    </row>
    <row r="147" spans="1:9">
      <c r="A147" t="s">
        <v>185</v>
      </c>
      <c r="B147" t="s">
        <v>228</v>
      </c>
      <c r="E147">
        <f t="shared" si="8"/>
        <v>0</v>
      </c>
      <c r="F147">
        <v>5434</v>
      </c>
      <c r="G147">
        <f>LNG_global14[[#This Row],[Distance '[miles']]]*1.60934449789256</f>
        <v>8745.1780015481709</v>
      </c>
      <c r="I147" t="s">
        <v>233</v>
      </c>
    </row>
    <row r="148" spans="1:9">
      <c r="A148" t="s">
        <v>186</v>
      </c>
      <c r="B148" t="s">
        <v>201</v>
      </c>
      <c r="E148">
        <f>D148/1000</f>
        <v>0</v>
      </c>
      <c r="F148">
        <v>9950</v>
      </c>
      <c r="G148">
        <f>LNG_global14[[#This Row],[Distance '[miles']]]*1.60934449789256</f>
        <v>16012.977754030971</v>
      </c>
      <c r="H148" t="s">
        <v>213</v>
      </c>
      <c r="I148" t="s">
        <v>234</v>
      </c>
    </row>
    <row r="149" spans="1:9">
      <c r="A149" t="s">
        <v>186</v>
      </c>
      <c r="B149" t="s">
        <v>202</v>
      </c>
      <c r="E149">
        <f t="shared" ref="E149:E164" si="9">D149/1000</f>
        <v>0</v>
      </c>
      <c r="F149">
        <v>8254</v>
      </c>
      <c r="G149">
        <f>LNG_global14[[#This Row],[Distance '[miles']]]*1.60934449789256</f>
        <v>13283.52948560519</v>
      </c>
      <c r="H149" t="s">
        <v>213</v>
      </c>
      <c r="I149" t="s">
        <v>214</v>
      </c>
    </row>
    <row r="150" spans="1:9">
      <c r="A150" t="s">
        <v>186</v>
      </c>
      <c r="B150" t="s">
        <v>268</v>
      </c>
      <c r="E150">
        <f t="shared" si="9"/>
        <v>0</v>
      </c>
      <c r="F150">
        <v>7341</v>
      </c>
      <c r="G150">
        <f>LNG_global14[[#This Row],[Distance '[miles']]]*1.60934449789256</f>
        <v>11814.197959029283</v>
      </c>
      <c r="H150" t="s">
        <v>213</v>
      </c>
      <c r="I150" t="s">
        <v>215</v>
      </c>
    </row>
    <row r="151" spans="1:9">
      <c r="A151" t="s">
        <v>186</v>
      </c>
      <c r="B151" t="s">
        <v>203</v>
      </c>
      <c r="E151">
        <f t="shared" si="9"/>
        <v>0</v>
      </c>
      <c r="F151">
        <v>8125</v>
      </c>
      <c r="G151">
        <f>LNG_global14[[#This Row],[Distance '[miles']]]*1.60934449789256</f>
        <v>13075.924045377049</v>
      </c>
      <c r="H151" t="s">
        <v>213</v>
      </c>
      <c r="I151" t="s">
        <v>216</v>
      </c>
    </row>
    <row r="152" spans="1:9">
      <c r="A152" t="s">
        <v>186</v>
      </c>
      <c r="B152" t="s">
        <v>204</v>
      </c>
      <c r="E152">
        <f t="shared" si="9"/>
        <v>0</v>
      </c>
      <c r="F152">
        <v>8000</v>
      </c>
      <c r="G152">
        <f>LNG_global14[[#This Row],[Distance '[miles']]]*1.60934449789256</f>
        <v>12874.75598314048</v>
      </c>
      <c r="H152" t="s">
        <v>213</v>
      </c>
      <c r="I152" t="s">
        <v>217</v>
      </c>
    </row>
    <row r="153" spans="1:9">
      <c r="A153" t="s">
        <v>186</v>
      </c>
      <c r="B153" t="s">
        <v>205</v>
      </c>
      <c r="E153">
        <f t="shared" si="9"/>
        <v>0</v>
      </c>
      <c r="F153">
        <v>10884</v>
      </c>
      <c r="G153">
        <f>LNG_global14[[#This Row],[Distance '[miles']]]*1.60934449789256</f>
        <v>17516.105515062623</v>
      </c>
      <c r="H153" t="s">
        <v>213</v>
      </c>
      <c r="I153" t="s">
        <v>218</v>
      </c>
    </row>
    <row r="154" spans="1:9">
      <c r="A154" t="s">
        <v>186</v>
      </c>
      <c r="B154" t="s">
        <v>206</v>
      </c>
      <c r="E154">
        <f t="shared" si="9"/>
        <v>0</v>
      </c>
      <c r="F154">
        <v>10016</v>
      </c>
      <c r="G154">
        <f>LNG_global14[[#This Row],[Distance '[miles']]]*1.60934449789256</f>
        <v>16119.194490891881</v>
      </c>
      <c r="H154" t="s">
        <v>213</v>
      </c>
      <c r="I154" t="s">
        <v>219</v>
      </c>
    </row>
    <row r="155" spans="1:9">
      <c r="A155" t="s">
        <v>186</v>
      </c>
      <c r="B155" t="s">
        <v>207</v>
      </c>
      <c r="E155">
        <f t="shared" si="9"/>
        <v>0</v>
      </c>
      <c r="F155">
        <v>10693</v>
      </c>
      <c r="G155">
        <f>LNG_global14[[#This Row],[Distance '[miles']]]*1.60934449789256</f>
        <v>17208.720715965144</v>
      </c>
      <c r="H155" t="s">
        <v>213</v>
      </c>
      <c r="I155" t="s">
        <v>220</v>
      </c>
    </row>
    <row r="156" spans="1:9">
      <c r="A156" t="s">
        <v>186</v>
      </c>
      <c r="B156" t="s">
        <v>208</v>
      </c>
      <c r="E156">
        <f t="shared" si="9"/>
        <v>0</v>
      </c>
      <c r="F156">
        <v>8939</v>
      </c>
      <c r="G156">
        <f>LNG_global14[[#This Row],[Distance '[miles']]]*1.60934449789256</f>
        <v>14385.930466661594</v>
      </c>
      <c r="H156" t="s">
        <v>213</v>
      </c>
      <c r="I156" t="s">
        <v>221</v>
      </c>
    </row>
    <row r="157" spans="1:9">
      <c r="A157" t="s">
        <v>186</v>
      </c>
      <c r="B157" t="s">
        <v>209</v>
      </c>
      <c r="E157">
        <f t="shared" si="9"/>
        <v>0</v>
      </c>
      <c r="F157">
        <v>8330</v>
      </c>
      <c r="G157">
        <f>LNG_global14[[#This Row],[Distance '[miles']]]*1.60934449789256</f>
        <v>13405.839667445025</v>
      </c>
      <c r="H157" t="s">
        <v>213</v>
      </c>
      <c r="I157" t="s">
        <v>222</v>
      </c>
    </row>
    <row r="158" spans="1:9">
      <c r="A158" t="s">
        <v>186</v>
      </c>
      <c r="B158" t="s">
        <v>210</v>
      </c>
      <c r="E158">
        <f t="shared" si="9"/>
        <v>0</v>
      </c>
      <c r="F158">
        <v>7340</v>
      </c>
      <c r="G158">
        <f>LNG_global14[[#This Row],[Distance '[miles']]]*1.60934449789256</f>
        <v>11812.588614531391</v>
      </c>
      <c r="H158" t="s">
        <v>213</v>
      </c>
      <c r="I158" t="s">
        <v>223</v>
      </c>
    </row>
    <row r="159" spans="1:9">
      <c r="A159" t="s">
        <v>186</v>
      </c>
      <c r="B159" t="s">
        <v>211</v>
      </c>
      <c r="E159">
        <f t="shared" si="9"/>
        <v>0</v>
      </c>
      <c r="F159">
        <v>9764</v>
      </c>
      <c r="G159">
        <f>LNG_global14[[#This Row],[Distance '[miles']]]*1.60934449789256</f>
        <v>15713.639677422956</v>
      </c>
      <c r="H159" t="s">
        <v>213</v>
      </c>
      <c r="I159" t="s">
        <v>238</v>
      </c>
    </row>
    <row r="160" spans="1:9">
      <c r="A160" t="s">
        <v>186</v>
      </c>
      <c r="B160" t="s">
        <v>224</v>
      </c>
      <c r="E160">
        <f t="shared" si="9"/>
        <v>0</v>
      </c>
      <c r="F160">
        <v>11096</v>
      </c>
      <c r="G160">
        <f>LNG_global14[[#This Row],[Distance '[miles']]]*1.60934449789256</f>
        <v>17857.286548615844</v>
      </c>
      <c r="H160" t="s">
        <v>213</v>
      </c>
      <c r="I160" t="s">
        <v>229</v>
      </c>
    </row>
    <row r="161" spans="1:9">
      <c r="A161" t="s">
        <v>186</v>
      </c>
      <c r="B161" t="s">
        <v>225</v>
      </c>
      <c r="E161">
        <f t="shared" si="9"/>
        <v>0</v>
      </c>
      <c r="F161">
        <v>11096</v>
      </c>
      <c r="G161">
        <f>LNG_global14[[#This Row],[Distance '[miles']]]*1.60934449789256</f>
        <v>17857.286548615844</v>
      </c>
      <c r="H161" t="s">
        <v>213</v>
      </c>
      <c r="I161" t="s">
        <v>230</v>
      </c>
    </row>
    <row r="162" spans="1:9">
      <c r="A162" t="s">
        <v>186</v>
      </c>
      <c r="B162" t="s">
        <v>226</v>
      </c>
      <c r="E162">
        <f t="shared" si="9"/>
        <v>0</v>
      </c>
      <c r="F162">
        <v>10213</v>
      </c>
      <c r="G162">
        <f>LNG_global14[[#This Row],[Distance '[miles']]]*1.60934449789256</f>
        <v>16436.235356976715</v>
      </c>
      <c r="H162" t="s">
        <v>213</v>
      </c>
      <c r="I162" t="s">
        <v>231</v>
      </c>
    </row>
    <row r="163" spans="1:9">
      <c r="A163" t="s">
        <v>186</v>
      </c>
      <c r="B163" t="s">
        <v>227</v>
      </c>
      <c r="E163">
        <f t="shared" si="9"/>
        <v>0</v>
      </c>
      <c r="F163">
        <v>9751</v>
      </c>
      <c r="G163">
        <f>LNG_global14[[#This Row],[Distance '[miles']]]*1.60934449789256</f>
        <v>15692.718198950352</v>
      </c>
      <c r="H163" t="s">
        <v>213</v>
      </c>
      <c r="I163" t="s">
        <v>232</v>
      </c>
    </row>
    <row r="164" spans="1:9">
      <c r="A164" t="s">
        <v>186</v>
      </c>
      <c r="B164" t="s">
        <v>228</v>
      </c>
      <c r="E164">
        <f t="shared" si="9"/>
        <v>0</v>
      </c>
      <c r="F164">
        <v>11036</v>
      </c>
      <c r="G164">
        <f>LNG_global14[[#This Row],[Distance '[miles']]]*1.60934449789256</f>
        <v>17760.725878742291</v>
      </c>
      <c r="H164" t="s">
        <v>213</v>
      </c>
      <c r="I164" t="s">
        <v>233</v>
      </c>
    </row>
    <row r="165" spans="1:9">
      <c r="A165" t="s">
        <v>192</v>
      </c>
      <c r="B165" t="s">
        <v>201</v>
      </c>
      <c r="E165">
        <f>D165/1000</f>
        <v>0</v>
      </c>
      <c r="F165">
        <v>3208</v>
      </c>
      <c r="G165">
        <f>LNG_global14[[#This Row],[Distance '[miles']]]*1.60934449789256</f>
        <v>5162.7771492393322</v>
      </c>
      <c r="I165" t="s">
        <v>234</v>
      </c>
    </row>
    <row r="166" spans="1:9">
      <c r="A166" t="s">
        <v>192</v>
      </c>
      <c r="B166" t="s">
        <v>202</v>
      </c>
      <c r="E166">
        <f t="shared" ref="E166:E181" si="10">D166/1000</f>
        <v>0</v>
      </c>
      <c r="F166">
        <v>1405</v>
      </c>
      <c r="G166">
        <f>LNG_global14[[#This Row],[Distance '[miles']]]*1.60934449789256</f>
        <v>2261.1290195390466</v>
      </c>
      <c r="I166" t="s">
        <v>214</v>
      </c>
    </row>
    <row r="167" spans="1:9">
      <c r="A167" t="s">
        <v>192</v>
      </c>
      <c r="B167" t="s">
        <v>268</v>
      </c>
      <c r="E167">
        <f t="shared" si="10"/>
        <v>0</v>
      </c>
      <c r="F167">
        <v>518</v>
      </c>
      <c r="G167">
        <f>LNG_global14[[#This Row],[Distance '[miles']]]*1.60934449789256</f>
        <v>833.64044990834611</v>
      </c>
      <c r="I167" t="s">
        <v>215</v>
      </c>
    </row>
    <row r="168" spans="1:9">
      <c r="A168" t="s">
        <v>192</v>
      </c>
      <c r="B168" t="s">
        <v>203</v>
      </c>
      <c r="E168">
        <f t="shared" si="10"/>
        <v>0</v>
      </c>
      <c r="F168">
        <v>1239</v>
      </c>
      <c r="G168">
        <f>LNG_global14[[#This Row],[Distance '[miles']]]*1.60934449789256</f>
        <v>1993.9778328888817</v>
      </c>
      <c r="I168" t="s">
        <v>276</v>
      </c>
    </row>
    <row r="169" spans="1:9">
      <c r="A169" t="s">
        <v>192</v>
      </c>
      <c r="B169" t="s">
        <v>204</v>
      </c>
      <c r="E169">
        <f t="shared" si="10"/>
        <v>0</v>
      </c>
      <c r="F169">
        <v>1258</v>
      </c>
      <c r="G169">
        <f>LNG_global14[[#This Row],[Distance '[miles']]]*1.60934449789256</f>
        <v>2024.5553783488403</v>
      </c>
      <c r="I169" t="s">
        <v>217</v>
      </c>
    </row>
    <row r="170" spans="1:9">
      <c r="A170" t="s">
        <v>192</v>
      </c>
      <c r="B170" t="s">
        <v>205</v>
      </c>
      <c r="E170">
        <f t="shared" si="10"/>
        <v>0</v>
      </c>
      <c r="F170">
        <v>4142</v>
      </c>
      <c r="G170">
        <f>LNG_global14[[#This Row],[Distance '[miles']]]*1.60934449789256</f>
        <v>6665.9049102709832</v>
      </c>
      <c r="I170" t="s">
        <v>218</v>
      </c>
    </row>
    <row r="171" spans="1:9">
      <c r="A171" t="s">
        <v>192</v>
      </c>
      <c r="B171" t="s">
        <v>206</v>
      </c>
      <c r="E171">
        <f t="shared" si="10"/>
        <v>0</v>
      </c>
      <c r="F171">
        <v>3274</v>
      </c>
      <c r="G171">
        <f>LNG_global14[[#This Row],[Distance '[miles']]]*1.60934449789256</f>
        <v>5268.9938861002411</v>
      </c>
      <c r="I171" t="s">
        <v>219</v>
      </c>
    </row>
    <row r="172" spans="1:9">
      <c r="A172" t="s">
        <v>192</v>
      </c>
      <c r="B172" t="s">
        <v>207</v>
      </c>
      <c r="E172">
        <f t="shared" si="10"/>
        <v>0</v>
      </c>
      <c r="F172">
        <v>3836</v>
      </c>
      <c r="G172">
        <f>LNG_global14[[#This Row],[Distance '[miles']]]*1.60934449789256</f>
        <v>6173.4454939158604</v>
      </c>
      <c r="I172" t="s">
        <v>220</v>
      </c>
    </row>
    <row r="173" spans="1:9">
      <c r="A173" t="s">
        <v>192</v>
      </c>
      <c r="B173" t="s">
        <v>208</v>
      </c>
      <c r="E173">
        <f t="shared" si="10"/>
        <v>0</v>
      </c>
      <c r="F173">
        <v>2082</v>
      </c>
      <c r="G173">
        <f>LNG_global14[[#This Row],[Distance '[miles']]]*1.60934449789256</f>
        <v>3350.6552446123096</v>
      </c>
      <c r="I173" t="s">
        <v>221</v>
      </c>
    </row>
    <row r="174" spans="1:9">
      <c r="A174" t="s">
        <v>192</v>
      </c>
      <c r="B174" t="s">
        <v>209</v>
      </c>
      <c r="E174">
        <f t="shared" si="10"/>
        <v>0</v>
      </c>
      <c r="F174">
        <v>1696</v>
      </c>
      <c r="G174">
        <f>LNG_global14[[#This Row],[Distance '[miles']]]*1.60934449789256</f>
        <v>2729.4482684257819</v>
      </c>
      <c r="I174" t="s">
        <v>283</v>
      </c>
    </row>
    <row r="175" spans="1:9">
      <c r="A175" t="s">
        <v>192</v>
      </c>
      <c r="B175" t="s">
        <v>210</v>
      </c>
      <c r="E175">
        <f t="shared" si="10"/>
        <v>0</v>
      </c>
      <c r="F175">
        <v>722</v>
      </c>
      <c r="G175">
        <f>LNG_global14[[#This Row],[Distance '[miles']]]*1.60934449789256</f>
        <v>1161.9467274784283</v>
      </c>
      <c r="I175" t="s">
        <v>280</v>
      </c>
    </row>
    <row r="176" spans="1:9">
      <c r="A176" t="s">
        <v>192</v>
      </c>
      <c r="B176" t="s">
        <v>211</v>
      </c>
      <c r="E176">
        <f t="shared" si="10"/>
        <v>0</v>
      </c>
      <c r="F176">
        <v>2907</v>
      </c>
      <c r="G176">
        <f>LNG_global14[[#This Row],[Distance '[miles']]]*1.60934449789256</f>
        <v>4678.3644553736722</v>
      </c>
      <c r="I176" t="s">
        <v>238</v>
      </c>
    </row>
    <row r="177" spans="1:9">
      <c r="A177" t="s">
        <v>192</v>
      </c>
      <c r="B177" t="s">
        <v>224</v>
      </c>
      <c r="E177">
        <f t="shared" si="10"/>
        <v>0</v>
      </c>
      <c r="F177">
        <v>4354</v>
      </c>
      <c r="G177">
        <f>LNG_global14[[#This Row],[Distance '[miles']]]*1.60934449789256</f>
        <v>7007.085943824206</v>
      </c>
      <c r="I177" t="s">
        <v>229</v>
      </c>
    </row>
    <row r="178" spans="1:9">
      <c r="A178" t="s">
        <v>192</v>
      </c>
      <c r="B178" t="s">
        <v>225</v>
      </c>
      <c r="E178">
        <f t="shared" si="10"/>
        <v>0</v>
      </c>
      <c r="F178">
        <v>4354</v>
      </c>
      <c r="G178">
        <f>LNG_global14[[#This Row],[Distance '[miles']]]*1.60934449789256</f>
        <v>7007.085943824206</v>
      </c>
      <c r="I178" t="s">
        <v>230</v>
      </c>
    </row>
    <row r="179" spans="1:9">
      <c r="A179" t="s">
        <v>192</v>
      </c>
      <c r="B179" t="s">
        <v>226</v>
      </c>
      <c r="E179">
        <f t="shared" si="10"/>
        <v>0</v>
      </c>
      <c r="F179">
        <v>3471</v>
      </c>
      <c r="G179">
        <f>LNG_global14[[#This Row],[Distance '[miles']]]*1.60934449789256</f>
        <v>5586.0347521850754</v>
      </c>
      <c r="I179" t="s">
        <v>231</v>
      </c>
    </row>
    <row r="180" spans="1:9">
      <c r="A180" t="s">
        <v>192</v>
      </c>
      <c r="B180" t="s">
        <v>227</v>
      </c>
      <c r="E180">
        <f t="shared" si="10"/>
        <v>0</v>
      </c>
      <c r="F180">
        <v>3009</v>
      </c>
      <c r="G180">
        <f>LNG_global14[[#This Row],[Distance '[miles']]]*1.60934449789256</f>
        <v>4842.5175941587131</v>
      </c>
      <c r="I180" t="s">
        <v>232</v>
      </c>
    </row>
    <row r="181" spans="1:9">
      <c r="A181" t="s">
        <v>192</v>
      </c>
      <c r="B181" t="s">
        <v>228</v>
      </c>
      <c r="E181">
        <f t="shared" si="10"/>
        <v>0</v>
      </c>
      <c r="F181">
        <v>4294</v>
      </c>
      <c r="G181">
        <f>LNG_global14[[#This Row],[Distance '[miles']]]*1.60934449789256</f>
        <v>6910.5252739506523</v>
      </c>
      <c r="I181" t="s">
        <v>233</v>
      </c>
    </row>
    <row r="182" spans="1:9">
      <c r="A182" t="s">
        <v>195</v>
      </c>
      <c r="B182" t="s">
        <v>201</v>
      </c>
      <c r="E182">
        <f>D182/1000</f>
        <v>0</v>
      </c>
      <c r="F182">
        <v>9237</v>
      </c>
      <c r="G182">
        <f>LNG_global14[[#This Row],[Distance '[miles']]]*1.60934449789256</f>
        <v>14865.515127033575</v>
      </c>
      <c r="H182" t="s">
        <v>213</v>
      </c>
      <c r="I182" t="s">
        <v>234</v>
      </c>
    </row>
    <row r="183" spans="1:9">
      <c r="A183" t="s">
        <v>195</v>
      </c>
      <c r="B183" t="s">
        <v>202</v>
      </c>
      <c r="E183">
        <f t="shared" ref="E183:E198" si="11">D183/1000</f>
        <v>0</v>
      </c>
      <c r="F183">
        <v>8897</v>
      </c>
      <c r="G183">
        <f>LNG_global14[[#This Row],[Distance '[miles']]]*1.60934449789256</f>
        <v>14318.337997750106</v>
      </c>
      <c r="H183" t="s">
        <v>213</v>
      </c>
      <c r="I183" t="s">
        <v>279</v>
      </c>
    </row>
    <row r="184" spans="1:9">
      <c r="A184" t="s">
        <v>195</v>
      </c>
      <c r="B184" t="s">
        <v>268</v>
      </c>
      <c r="E184">
        <f t="shared" si="11"/>
        <v>0</v>
      </c>
      <c r="F184">
        <v>6737</v>
      </c>
      <c r="G184">
        <f>LNG_global14[[#This Row],[Distance '[miles']]]*1.60934449789256</f>
        <v>10842.153882302176</v>
      </c>
      <c r="H184" t="s">
        <v>213</v>
      </c>
      <c r="I184" t="s">
        <v>286</v>
      </c>
    </row>
    <row r="185" spans="1:9">
      <c r="A185" t="s">
        <v>195</v>
      </c>
      <c r="B185" t="s">
        <v>203</v>
      </c>
      <c r="E185">
        <f t="shared" si="11"/>
        <v>0</v>
      </c>
      <c r="F185">
        <v>7412</v>
      </c>
      <c r="G185">
        <f>LNG_global14[[#This Row],[Distance '[miles']]]*1.60934449789256</f>
        <v>11928.461418379655</v>
      </c>
      <c r="H185" t="s">
        <v>213</v>
      </c>
      <c r="I185" t="s">
        <v>216</v>
      </c>
    </row>
    <row r="186" spans="1:9">
      <c r="A186" t="s">
        <v>195</v>
      </c>
      <c r="B186" t="s">
        <v>204</v>
      </c>
      <c r="E186">
        <f t="shared" si="11"/>
        <v>0</v>
      </c>
      <c r="F186">
        <v>7287</v>
      </c>
      <c r="G186">
        <f>LNG_global14[[#This Row],[Distance '[miles']]]*1.60934449789256</f>
        <v>11727.293356143084</v>
      </c>
      <c r="H186" t="s">
        <v>213</v>
      </c>
      <c r="I186" t="s">
        <v>217</v>
      </c>
    </row>
    <row r="187" spans="1:9">
      <c r="A187" t="s">
        <v>195</v>
      </c>
      <c r="B187" t="s">
        <v>205</v>
      </c>
      <c r="E187">
        <f t="shared" si="11"/>
        <v>0</v>
      </c>
      <c r="F187">
        <v>10171</v>
      </c>
      <c r="G187">
        <f>LNG_global14[[#This Row],[Distance '[miles']]]*1.60934449789256</f>
        <v>16368.642888065227</v>
      </c>
      <c r="H187" t="s">
        <v>213</v>
      </c>
      <c r="I187" t="s">
        <v>218</v>
      </c>
    </row>
    <row r="188" spans="1:9">
      <c r="A188" t="s">
        <v>195</v>
      </c>
      <c r="B188" t="s">
        <v>206</v>
      </c>
      <c r="E188">
        <f t="shared" si="11"/>
        <v>0</v>
      </c>
      <c r="F188">
        <v>9303</v>
      </c>
      <c r="G188">
        <f>LNG_global14[[#This Row],[Distance '[miles']]]*1.60934449789256</f>
        <v>14971.731863894485</v>
      </c>
      <c r="H188" t="s">
        <v>213</v>
      </c>
      <c r="I188" t="s">
        <v>219</v>
      </c>
    </row>
    <row r="189" spans="1:9">
      <c r="A189" t="s">
        <v>195</v>
      </c>
      <c r="B189" t="s">
        <v>207</v>
      </c>
      <c r="E189">
        <f t="shared" si="11"/>
        <v>0</v>
      </c>
      <c r="F189">
        <v>9980</v>
      </c>
      <c r="G189">
        <f>LNG_global14[[#This Row],[Distance '[miles']]]*1.60934449789256</f>
        <v>16061.258088967748</v>
      </c>
      <c r="H189" t="s">
        <v>213</v>
      </c>
      <c r="I189" t="s">
        <v>220</v>
      </c>
    </row>
    <row r="190" spans="1:9">
      <c r="A190" t="s">
        <v>195</v>
      </c>
      <c r="B190" t="s">
        <v>208</v>
      </c>
      <c r="E190">
        <f t="shared" si="11"/>
        <v>0</v>
      </c>
      <c r="F190">
        <v>8226</v>
      </c>
      <c r="G190">
        <f>LNG_global14[[#This Row],[Distance '[miles']]]*1.60934449789256</f>
        <v>13238.467839664198</v>
      </c>
      <c r="H190" t="s">
        <v>213</v>
      </c>
      <c r="I190" t="s">
        <v>221</v>
      </c>
    </row>
    <row r="191" spans="1:9">
      <c r="A191" t="s">
        <v>195</v>
      </c>
      <c r="B191" t="s">
        <v>209</v>
      </c>
      <c r="E191">
        <f t="shared" si="11"/>
        <v>0</v>
      </c>
      <c r="F191">
        <v>7617</v>
      </c>
      <c r="G191">
        <f>LNG_global14[[#This Row],[Distance '[miles']]]*1.60934449789256</f>
        <v>12258.377040447629</v>
      </c>
      <c r="H191" t="s">
        <v>213</v>
      </c>
      <c r="I191" t="s">
        <v>222</v>
      </c>
    </row>
    <row r="192" spans="1:9">
      <c r="A192" t="s">
        <v>195</v>
      </c>
      <c r="B192" t="s">
        <v>210</v>
      </c>
      <c r="E192">
        <f t="shared" si="11"/>
        <v>0</v>
      </c>
      <c r="F192">
        <v>6627</v>
      </c>
      <c r="G192">
        <f>LNG_global14[[#This Row],[Distance '[miles']]]*1.60934449789256</f>
        <v>10665.125987533995</v>
      </c>
      <c r="H192" t="s">
        <v>213</v>
      </c>
      <c r="I192" t="s">
        <v>223</v>
      </c>
    </row>
    <row r="193" spans="1:9">
      <c r="A193" t="s">
        <v>195</v>
      </c>
      <c r="B193" t="s">
        <v>211</v>
      </c>
      <c r="E193">
        <f t="shared" si="11"/>
        <v>0</v>
      </c>
      <c r="F193">
        <v>9051</v>
      </c>
      <c r="G193">
        <f>LNG_global14[[#This Row],[Distance '[miles']]]*1.60934449789256</f>
        <v>14566.17705042556</v>
      </c>
      <c r="H193" t="s">
        <v>213</v>
      </c>
      <c r="I193" t="s">
        <v>238</v>
      </c>
    </row>
    <row r="194" spans="1:9">
      <c r="A194" t="s">
        <v>195</v>
      </c>
      <c r="B194" t="s">
        <v>224</v>
      </c>
      <c r="E194">
        <f t="shared" si="11"/>
        <v>0</v>
      </c>
      <c r="F194">
        <v>10383</v>
      </c>
      <c r="G194">
        <f>LNG_global14[[#This Row],[Distance '[miles']]]*1.60934449789256</f>
        <v>16709.823921618448</v>
      </c>
      <c r="H194" t="s">
        <v>213</v>
      </c>
      <c r="I194" t="s">
        <v>229</v>
      </c>
    </row>
    <row r="195" spans="1:9">
      <c r="A195" t="s">
        <v>195</v>
      </c>
      <c r="B195" t="s">
        <v>225</v>
      </c>
      <c r="E195">
        <f t="shared" si="11"/>
        <v>0</v>
      </c>
      <c r="F195">
        <v>10383</v>
      </c>
      <c r="G195">
        <f>LNG_global14[[#This Row],[Distance '[miles']]]*1.60934449789256</f>
        <v>16709.823921618448</v>
      </c>
      <c r="H195" t="s">
        <v>213</v>
      </c>
      <c r="I195" t="s">
        <v>230</v>
      </c>
    </row>
    <row r="196" spans="1:9">
      <c r="A196" t="s">
        <v>195</v>
      </c>
      <c r="B196" t="s">
        <v>226</v>
      </c>
      <c r="E196">
        <f t="shared" si="11"/>
        <v>0</v>
      </c>
      <c r="F196">
        <v>9500</v>
      </c>
      <c r="G196">
        <f>LNG_global14[[#This Row],[Distance '[miles']]]*1.60934449789256</f>
        <v>15288.772729979319</v>
      </c>
      <c r="H196" t="s">
        <v>213</v>
      </c>
      <c r="I196" t="s">
        <v>231</v>
      </c>
    </row>
    <row r="197" spans="1:9">
      <c r="A197" t="s">
        <v>195</v>
      </c>
      <c r="B197" t="s">
        <v>227</v>
      </c>
      <c r="E197">
        <f t="shared" si="11"/>
        <v>0</v>
      </c>
      <c r="F197">
        <v>9038</v>
      </c>
      <c r="G197">
        <f>LNG_global14[[#This Row],[Distance '[miles']]]*1.60934449789256</f>
        <v>14545.255571952957</v>
      </c>
      <c r="H197" t="s">
        <v>213</v>
      </c>
      <c r="I197" t="s">
        <v>232</v>
      </c>
    </row>
    <row r="198" spans="1:9">
      <c r="A198" t="s">
        <v>195</v>
      </c>
      <c r="B198" t="s">
        <v>228</v>
      </c>
      <c r="E198">
        <f t="shared" si="11"/>
        <v>0</v>
      </c>
      <c r="F198">
        <v>10323</v>
      </c>
      <c r="G198">
        <f>LNG_global14[[#This Row],[Distance '[miles']]]*1.60934449789256</f>
        <v>16613.263251744895</v>
      </c>
      <c r="H198" t="s">
        <v>213</v>
      </c>
      <c r="I198" t="s">
        <v>233</v>
      </c>
    </row>
    <row r="199" spans="1:9">
      <c r="A199" t="s">
        <v>194</v>
      </c>
      <c r="B199" t="s">
        <v>201</v>
      </c>
      <c r="E199">
        <f>D199/1000</f>
        <v>0</v>
      </c>
      <c r="F199">
        <v>2843</v>
      </c>
      <c r="G199">
        <f>LNG_global14[[#This Row],[Distance '[miles']]]*1.60934449789256</f>
        <v>4575.366407508548</v>
      </c>
      <c r="I199" t="s">
        <v>234</v>
      </c>
    </row>
    <row r="200" spans="1:9">
      <c r="A200" t="s">
        <v>194</v>
      </c>
      <c r="B200" t="s">
        <v>202</v>
      </c>
      <c r="E200">
        <f t="shared" ref="E200:E215" si="12">D200/1000</f>
        <v>0</v>
      </c>
      <c r="F200">
        <v>3331</v>
      </c>
      <c r="G200">
        <f>LNG_global14[[#This Row],[Distance '[miles']]]*1.60934449789256</f>
        <v>5360.7265224801176</v>
      </c>
      <c r="I200" t="s">
        <v>279</v>
      </c>
    </row>
    <row r="201" spans="1:9">
      <c r="A201" t="s">
        <v>194</v>
      </c>
      <c r="B201" t="s">
        <v>268</v>
      </c>
      <c r="E201">
        <f t="shared" si="12"/>
        <v>0</v>
      </c>
      <c r="F201">
        <v>5582</v>
      </c>
      <c r="G201">
        <f>LNG_global14[[#This Row],[Distance '[miles']]]*1.60934449789256</f>
        <v>8983.3609872362704</v>
      </c>
      <c r="I201" t="s">
        <v>215</v>
      </c>
    </row>
    <row r="202" spans="1:9">
      <c r="A202" t="s">
        <v>194</v>
      </c>
      <c r="B202" t="s">
        <v>203</v>
      </c>
      <c r="E202">
        <f t="shared" si="12"/>
        <v>0</v>
      </c>
      <c r="F202">
        <v>5759</v>
      </c>
      <c r="G202">
        <f>LNG_global14[[#This Row],[Distance '[miles']]]*1.60934449789256</f>
        <v>9268.2149633632525</v>
      </c>
      <c r="I202" t="s">
        <v>287</v>
      </c>
    </row>
    <row r="203" spans="1:9">
      <c r="A203" t="s">
        <v>194</v>
      </c>
      <c r="B203" t="s">
        <v>204</v>
      </c>
      <c r="E203">
        <f t="shared" si="12"/>
        <v>0</v>
      </c>
      <c r="F203">
        <v>5707</v>
      </c>
      <c r="G203">
        <f>LNG_global14[[#This Row],[Distance '[miles']]]*1.60934449789256</f>
        <v>9184.5290494728397</v>
      </c>
      <c r="I203" t="s">
        <v>217</v>
      </c>
    </row>
    <row r="204" spans="1:9">
      <c r="A204" t="s">
        <v>194</v>
      </c>
      <c r="B204" t="s">
        <v>205</v>
      </c>
      <c r="E204">
        <f t="shared" si="12"/>
        <v>0</v>
      </c>
      <c r="F204">
        <v>3047</v>
      </c>
      <c r="G204">
        <f>LNG_global14[[#This Row],[Distance '[miles']]]*1.60934449789256</f>
        <v>4903.6726850786299</v>
      </c>
      <c r="I204" t="s">
        <v>218</v>
      </c>
    </row>
    <row r="205" spans="1:9">
      <c r="A205" t="s">
        <v>194</v>
      </c>
      <c r="B205" t="s">
        <v>206</v>
      </c>
      <c r="E205">
        <f t="shared" si="12"/>
        <v>0</v>
      </c>
      <c r="F205">
        <v>2827</v>
      </c>
      <c r="G205">
        <f>LNG_global14[[#This Row],[Distance '[miles']]]*1.60934449789256</f>
        <v>4549.6168955422672</v>
      </c>
      <c r="I205" t="s">
        <v>219</v>
      </c>
    </row>
    <row r="206" spans="1:9">
      <c r="A206" t="s">
        <v>194</v>
      </c>
      <c r="B206" t="s">
        <v>207</v>
      </c>
      <c r="E206">
        <f t="shared" si="12"/>
        <v>0</v>
      </c>
      <c r="F206">
        <v>2856</v>
      </c>
      <c r="G206">
        <f>LNG_global14[[#This Row],[Distance '[miles']]]*1.60934449789256</f>
        <v>4596.2878859811508</v>
      </c>
      <c r="I206" t="s">
        <v>220</v>
      </c>
    </row>
    <row r="207" spans="1:9">
      <c r="A207" t="s">
        <v>194</v>
      </c>
      <c r="B207" t="s">
        <v>208</v>
      </c>
      <c r="E207">
        <f t="shared" si="12"/>
        <v>0</v>
      </c>
      <c r="F207">
        <v>3840</v>
      </c>
      <c r="G207">
        <f>LNG_global14[[#This Row],[Distance '[miles']]]*1.60934449789256</f>
        <v>6179.8828719074299</v>
      </c>
      <c r="I207" t="s">
        <v>221</v>
      </c>
    </row>
    <row r="208" spans="1:9">
      <c r="A208" t="s">
        <v>194</v>
      </c>
      <c r="B208" t="s">
        <v>209</v>
      </c>
      <c r="E208">
        <f t="shared" si="12"/>
        <v>0</v>
      </c>
      <c r="F208">
        <v>3499</v>
      </c>
      <c r="G208">
        <f>LNG_global14[[#This Row],[Distance '[miles']]]*1.60934449789256</f>
        <v>5631.0963981260675</v>
      </c>
      <c r="I208" t="s">
        <v>237</v>
      </c>
    </row>
    <row r="209" spans="1:9">
      <c r="A209" t="s">
        <v>194</v>
      </c>
      <c r="B209" t="s">
        <v>210</v>
      </c>
      <c r="E209">
        <f t="shared" si="12"/>
        <v>0</v>
      </c>
      <c r="F209">
        <v>5736</v>
      </c>
      <c r="G209">
        <f>LNG_global14[[#This Row],[Distance '[miles']]]*1.60934449789256</f>
        <v>9231.2000399117242</v>
      </c>
      <c r="I209" t="s">
        <v>223</v>
      </c>
    </row>
    <row r="210" spans="1:9">
      <c r="A210" t="s">
        <v>194</v>
      </c>
      <c r="B210" t="s">
        <v>211</v>
      </c>
      <c r="E210">
        <f t="shared" si="12"/>
        <v>0</v>
      </c>
      <c r="F210">
        <v>2866</v>
      </c>
      <c r="G210">
        <f>LNG_global14[[#This Row],[Distance '[miles']]]*1.60934449789256</f>
        <v>4612.3813309600764</v>
      </c>
      <c r="I210" t="s">
        <v>281</v>
      </c>
    </row>
    <row r="211" spans="1:9">
      <c r="A211" t="s">
        <v>194</v>
      </c>
      <c r="B211" t="s">
        <v>224</v>
      </c>
      <c r="E211">
        <f t="shared" si="12"/>
        <v>0</v>
      </c>
      <c r="F211">
        <v>3259</v>
      </c>
      <c r="G211">
        <f>LNG_global14[[#This Row],[Distance '[miles']]]*1.60934449789256</f>
        <v>5244.8537186318526</v>
      </c>
      <c r="I211" t="s">
        <v>229</v>
      </c>
    </row>
    <row r="212" spans="1:9">
      <c r="A212" t="s">
        <v>194</v>
      </c>
      <c r="B212" t="s">
        <v>225</v>
      </c>
      <c r="E212">
        <f t="shared" si="12"/>
        <v>0</v>
      </c>
      <c r="F212">
        <v>3259</v>
      </c>
      <c r="G212">
        <f>LNG_global14[[#This Row],[Distance '[miles']]]*1.60934449789256</f>
        <v>5244.8537186318526</v>
      </c>
      <c r="I212" t="s">
        <v>230</v>
      </c>
    </row>
    <row r="213" spans="1:9">
      <c r="A213" t="s">
        <v>194</v>
      </c>
      <c r="B213" t="s">
        <v>226</v>
      </c>
      <c r="E213">
        <f t="shared" si="12"/>
        <v>0</v>
      </c>
      <c r="F213">
        <v>2730</v>
      </c>
      <c r="G213">
        <f>LNG_global14[[#This Row],[Distance '[miles']]]*1.60934449789256</f>
        <v>4393.5104792466891</v>
      </c>
      <c r="I213" t="s">
        <v>231</v>
      </c>
    </row>
    <row r="214" spans="1:9">
      <c r="A214" t="s">
        <v>194</v>
      </c>
      <c r="B214" t="s">
        <v>227</v>
      </c>
      <c r="E214">
        <f t="shared" si="12"/>
        <v>0</v>
      </c>
      <c r="F214">
        <v>3077</v>
      </c>
      <c r="G214">
        <f>LNG_global14[[#This Row],[Distance '[miles']]]*1.60934449789256</f>
        <v>4951.9530200154068</v>
      </c>
      <c r="I214" t="s">
        <v>232</v>
      </c>
    </row>
    <row r="215" spans="1:9">
      <c r="A215" t="s">
        <v>194</v>
      </c>
      <c r="B215" t="s">
        <v>228</v>
      </c>
      <c r="E215">
        <f t="shared" si="12"/>
        <v>0</v>
      </c>
      <c r="F215">
        <v>3199</v>
      </c>
      <c r="G215">
        <f>LNG_global14[[#This Row],[Distance '[miles']]]*1.60934449789256</f>
        <v>5148.2930487582989</v>
      </c>
      <c r="I215" t="s">
        <v>233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nodes_lng_europe_2020</vt:lpstr>
      <vt:lpstr>nodes_lng_europe_2024</vt:lpstr>
      <vt:lpstr>nodes_gas_prod_europe_2020</vt:lpstr>
      <vt:lpstr>nodes_gas_prod_world_2020</vt:lpstr>
      <vt:lpstr>nodes_gas_prod_europe_2024</vt:lpstr>
      <vt:lpstr>nodes_gas_prod_world_2024</vt:lpstr>
      <vt:lpstr>nodes_demand_europe_2020</vt:lpstr>
      <vt:lpstr>nodes_demand_world_2020</vt:lpstr>
      <vt:lpstr>nodes_demand_europe_2024</vt:lpstr>
      <vt:lpstr>nodes_demand_world_2024</vt:lpstr>
      <vt:lpstr>Connections_2020</vt:lpstr>
      <vt:lpstr>Import_Connections_EU</vt:lpstr>
      <vt:lpstr>Connections_2024</vt:lpstr>
      <vt:lpstr>Global_Connections</vt:lpstr>
      <vt:lpstr>global_LNG_connections_2020</vt:lpstr>
      <vt:lpstr>global_LNG_connections_2024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2025-04-04T16:26:18Z</dcterms:modified>
</cp:coreProperties>
</file>