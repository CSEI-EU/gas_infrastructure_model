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723F7426-73C0-40B6-B690-D0B6E6F42466}" xr6:coauthVersionLast="47" xr6:coauthVersionMax="47" xr10:uidLastSave="{00000000-0000-0000-0000-000000000000}"/>
  <bookViews>
    <workbookView xWindow="-110" yWindow="-110" windowWidth="19420" windowHeight="10300" firstSheet="3" activeTab="5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Import_Connection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3" i="4" l="1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4" i="2"/>
  <c r="F5" i="2"/>
  <c r="F7" i="2"/>
  <c r="F8" i="2"/>
  <c r="F9" i="2"/>
  <c r="F12" i="2"/>
  <c r="F13" i="2"/>
  <c r="F14" i="2"/>
  <c r="F15" i="2"/>
  <c r="F18" i="2"/>
  <c r="F19" i="2"/>
  <c r="F20" i="2"/>
  <c r="F21" i="2"/>
  <c r="F22" i="2"/>
  <c r="F23" i="2"/>
  <c r="F24" i="2"/>
  <c r="F25" i="2"/>
  <c r="F26" i="2"/>
  <c r="F29" i="2"/>
  <c r="F31" i="2"/>
  <c r="F32" i="2"/>
  <c r="F34" i="2"/>
  <c r="F35" i="2"/>
  <c r="F36" i="2"/>
  <c r="F37" i="2"/>
  <c r="F38" i="2"/>
  <c r="F39" i="2"/>
  <c r="F41" i="2"/>
  <c r="D44" i="2"/>
  <c r="C44" i="2"/>
  <c r="E3" i="2"/>
  <c r="E4" i="2"/>
  <c r="E5" i="2"/>
  <c r="E6" i="2"/>
  <c r="F6" i="2" s="1"/>
  <c r="E7" i="2"/>
  <c r="E8" i="2"/>
  <c r="E9" i="2"/>
  <c r="E10" i="2"/>
  <c r="F10" i="2" s="1"/>
  <c r="E11" i="2"/>
  <c r="F11" i="2" s="1"/>
  <c r="E12" i="2"/>
  <c r="E13" i="2"/>
  <c r="E14" i="2"/>
  <c r="E15" i="2"/>
  <c r="E16" i="2"/>
  <c r="F16" i="2" s="1"/>
  <c r="E17" i="2"/>
  <c r="F17" i="2" s="1"/>
  <c r="E18" i="2"/>
  <c r="E19" i="2"/>
  <c r="E20" i="2"/>
  <c r="E21" i="2"/>
  <c r="E22" i="2"/>
  <c r="E23" i="2"/>
  <c r="E24" i="2"/>
  <c r="E25" i="2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44" i="2" s="1"/>
  <c r="E35" i="2"/>
  <c r="E36" i="2"/>
  <c r="E37" i="2"/>
  <c r="E38" i="2"/>
  <c r="E39" i="2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34" i="7" l="1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<sst xmlns="http://schemas.openxmlformats.org/spreadsheetml/2006/main" count="751" uniqueCount="152">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</sst>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50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7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0" borderId="0" xfId="0" applyNumberFormat="1"/>
    <xf numFmtId="0" fontId="0" fillId="0" borderId="0" xfId="0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4"/>
    <tableColumn id="5" xr3:uid="{4278F9D8-E46F-44B9-A622-727B8E2C8EF1}" name="Mil m3 EU [2020]" dataDxfId="13"/>
    <tableColumn id="6" xr3:uid="{F2BDB73C-713D-4BC7-B762-048AA072F297}" name="Mrd m3 EU [2020]" dataDxfId="12">
      <calculatedColumnFormula>Table2[[#This Row],[Mil m3 EU '[2020']]]/1000</calculatedColumnFormula>
    </tableColumn>
    <tableColumn id="4" xr3:uid="{5BB2DA97-8C23-44BC-9268-BDBE2BCDBBC8}" name="TWh [2020]" dataDxfId="11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10"/>
    <tableColumn id="5" xr3:uid="{42F1A333-D727-4655-B618-A9AB5617745F}" name="Mil m3 EU [2020]" dataDxfId="9"/>
    <tableColumn id="6" xr3:uid="{326B3A9A-70B2-4D34-8E01-54CBBD0565E6}" name="Mrd m3 EU [2020]" dataDxfId="8">
      <calculatedColumnFormula>Table26[[#This Row],[Mil m3 EU '[2020']]]/1000</calculatedColumnFormula>
    </tableColumn>
    <tableColumn id="4" xr3:uid="{DC1916A1-B3CC-4586-AE6D-12CF46A9C0F0}" name="TWh [2020]" dataDxfId="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6"/>
    <tableColumn id="4" xr3:uid="{1618AAC4-0782-47C3-91CE-2FEB95FBDD58}" name="TWh [2020]" dataDxfId="5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4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3"/>
    <tableColumn id="4" xr3:uid="{60E83C2D-D521-4D6A-800D-160C3176DFC7}" name="TWh [2023]" dataDxfId="2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11" totalsRowShown="0">
  <autoFilter ref="A1:H111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0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105</v>
      </c>
      <c r="G1" t="s">
        <v>106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103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103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103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103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103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103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103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103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103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103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103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103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102</v>
      </c>
    </row>
    <row r="15" spans="1:13">
      <c r="A15" t="s">
        <v>131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103</v>
      </c>
      <c r="L15" t="str">
        <f t="shared" si="2"/>
        <v>EE_LNG</v>
      </c>
      <c r="M15" t="str">
        <f t="shared" si="3"/>
        <v>EE</v>
      </c>
    </row>
    <row r="16" spans="1:13">
      <c r="A16" t="s">
        <v>130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103</v>
      </c>
      <c r="L16" t="str">
        <f t="shared" si="2"/>
        <v>FI_LNG</v>
      </c>
      <c r="M16" t="str">
        <f t="shared" si="3"/>
        <v>FI</v>
      </c>
    </row>
    <row r="17" spans="1:13">
      <c r="A17" t="s">
        <v>132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103</v>
      </c>
      <c r="L17" t="str">
        <f t="shared" si="2"/>
        <v>DE_LNG</v>
      </c>
      <c r="M17" t="str">
        <f t="shared" si="3"/>
        <v>DE</v>
      </c>
    </row>
    <row r="18" spans="1:13">
      <c r="A18" t="s">
        <v>133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103</v>
      </c>
      <c r="L18" t="str">
        <f t="shared" si="2"/>
        <v>IE_LNG</v>
      </c>
      <c r="M18" t="str">
        <f t="shared" si="3"/>
        <v>IE</v>
      </c>
    </row>
    <row r="19" spans="1:13">
      <c r="A19" t="s">
        <v>134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103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workbookViewId="0">
      <selection activeCell="H48" sqref="H48"/>
    </sheetView>
  </sheetViews>
  <sheetFormatPr defaultRowHeight="14.5"/>
  <cols>
    <col min="1" max="1" width="9.54296875" customWidth="1"/>
    <col min="2" max="2" width="12.54296875" customWidth="1"/>
    <col min="3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104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138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90</v>
      </c>
      <c r="H48" t="s">
        <v>140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workbookViewId="0">
      <selection activeCell="H44" sqref="H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104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138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139</v>
      </c>
      <c r="H48" t="s">
        <v>140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workbookViewId="0">
      <selection activeCell="D1" sqref="D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85</v>
      </c>
      <c r="D1" t="s">
        <v>107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113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114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111</v>
      </c>
      <c r="B41" t="s">
        <v>112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120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workbookViewId="0">
      <selection activeCell="H11" sqref="H1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137</v>
      </c>
      <c r="D1" t="s">
        <v>136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113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114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111</v>
      </c>
      <c r="B41" t="s">
        <v>112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120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M111"/>
  <sheetViews>
    <sheetView tabSelected="1" workbookViewId="0">
      <selection activeCell="J12" sqref="J12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13">
      <c r="A1" t="s">
        <v>93</v>
      </c>
      <c r="B1" t="s">
        <v>94</v>
      </c>
      <c r="C1" t="s">
        <v>141</v>
      </c>
      <c r="D1" t="s">
        <v>142</v>
      </c>
      <c r="E1" t="s">
        <v>143</v>
      </c>
      <c r="F1" t="s">
        <v>108</v>
      </c>
      <c r="G1" t="s">
        <v>109</v>
      </c>
      <c r="H1" t="s">
        <v>145</v>
      </c>
    </row>
    <row r="2" spans="1:13">
      <c r="A2" t="s">
        <v>33</v>
      </c>
      <c r="B2" t="s">
        <v>42</v>
      </c>
      <c r="C2">
        <v>487.1</v>
      </c>
      <c r="F2" s="5">
        <f>MIN(Table3[[#This Row],[GWh/d '[capacity map']]:[GWh/d '[transparency map']]])*365</f>
        <v>177791.5</v>
      </c>
      <c r="G2">
        <f>F2/1000</f>
        <v>177.79150000000001</v>
      </c>
      <c r="H2" t="s">
        <v>146</v>
      </c>
    </row>
    <row r="3" spans="1:13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>F3/1000</f>
        <v>125.65051999999997</v>
      </c>
    </row>
    <row r="4" spans="1:13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>F4/1000</f>
        <v>70.627499999999998</v>
      </c>
    </row>
    <row r="5" spans="1:13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>F5/1000</f>
        <v>573.19600000000003</v>
      </c>
    </row>
    <row r="6" spans="1:13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>F6/1000</f>
        <v>6.5626999999999995</v>
      </c>
    </row>
    <row r="7" spans="1:13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>F7/1000</f>
        <v>95.301500000000019</v>
      </c>
    </row>
    <row r="8" spans="1:13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>F8/1000</f>
        <v>509.97800000000001</v>
      </c>
    </row>
    <row r="9" spans="1:13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>F9/1000</f>
        <v>144.59475</v>
      </c>
    </row>
    <row r="10" spans="1:13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>F10/1000</f>
        <v>98.55</v>
      </c>
    </row>
    <row r="11" spans="1:13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>F11/1000</f>
        <v>124.20950000000001</v>
      </c>
    </row>
    <row r="12" spans="1:13">
      <c r="A12" t="s">
        <v>43</v>
      </c>
      <c r="B12" t="s">
        <v>17</v>
      </c>
      <c r="E12">
        <v>41.973541999999995</v>
      </c>
      <c r="F12" s="5">
        <f>MIN(Table3[[#This Row],[GWh/d '[capacity map']]:[GWh/d '[transparency map']]])*365</f>
        <v>15320.342829999998</v>
      </c>
      <c r="G12">
        <f>F12/1000</f>
        <v>15.320342829999998</v>
      </c>
      <c r="M12" s="5"/>
    </row>
    <row r="13" spans="1:13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>F13/1000</f>
        <v>122.3699</v>
      </c>
    </row>
    <row r="14" spans="1:13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>F14/1000</f>
        <v>23.659299999999998</v>
      </c>
    </row>
    <row r="15" spans="1:13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>F15/1000</f>
        <v>294.09875000000005</v>
      </c>
    </row>
    <row r="16" spans="1:13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>F16/1000</f>
        <v>210.25094999999999</v>
      </c>
    </row>
    <row r="17" spans="1:7">
      <c r="A17" t="s">
        <v>41</v>
      </c>
      <c r="B17" t="s">
        <v>53</v>
      </c>
      <c r="C17">
        <v>1203.4999999999998</v>
      </c>
      <c r="F17" s="5">
        <f>MIN(Table3[[#This Row],[GWh/d '[capacity map']]:[GWh/d '[transparency map']]])*365</f>
        <v>439277.49999999994</v>
      </c>
      <c r="G17">
        <f>F17/1000</f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>F18/1000</f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>F19/1000</f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>F20/1000</f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>F21/1000</f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>F22/1000</f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>F23/1000</f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>F24/1000</f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>F25/1000</f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>F26/1000</f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>F27/1000</f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>F28/1000</f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>F29/1000</f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>F30/1000</f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>F31/1000</f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>F32/1000</f>
        <v>49.680879999999995</v>
      </c>
    </row>
    <row r="33" spans="1:13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>F33/1000</f>
        <v>24.7105</v>
      </c>
    </row>
    <row r="34" spans="1:13">
      <c r="A34" t="s">
        <v>41</v>
      </c>
      <c r="B34" t="s">
        <v>54</v>
      </c>
      <c r="F34" s="5">
        <f>MIN(Table3[[#This Row],[GWh/d '[capacity map']]:[GWh/d '[transparency map']]])*365</f>
        <v>0</v>
      </c>
      <c r="G34">
        <f>F34/1000</f>
        <v>0</v>
      </c>
      <c r="M34" s="5"/>
    </row>
    <row r="35" spans="1:13">
      <c r="A35" t="s">
        <v>55</v>
      </c>
      <c r="B35" t="s">
        <v>54</v>
      </c>
      <c r="E35">
        <v>32.802250000000008</v>
      </c>
      <c r="F35" s="5">
        <f>MIN(Table3[[#This Row],[GWh/d '[capacity map']]:[GWh/d '[transparency map']]])*365</f>
        <v>11972.821250000003</v>
      </c>
      <c r="G35">
        <f>F35/1000</f>
        <v>11.972821250000003</v>
      </c>
      <c r="M35" s="5"/>
    </row>
    <row r="36" spans="1:13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>F36/1000</f>
        <v>60.068779999999997</v>
      </c>
    </row>
    <row r="37" spans="1:13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>F37/1000</f>
        <v>29.2</v>
      </c>
    </row>
    <row r="38" spans="1:13">
      <c r="A38" t="s">
        <v>99</v>
      </c>
      <c r="B38" t="s">
        <v>37</v>
      </c>
      <c r="D38">
        <v>442.8</v>
      </c>
      <c r="F38" s="5">
        <f>MIN(Table3[[#This Row],[GWh/d '[capacity map']]:[GWh/d '[transparency map']]])*365</f>
        <v>161622</v>
      </c>
      <c r="G38">
        <f>F38/1000</f>
        <v>161.62200000000001</v>
      </c>
    </row>
    <row r="39" spans="1:13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>F39/1000</f>
        <v>83.329499999999996</v>
      </c>
    </row>
    <row r="40" spans="1:13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>F40/1000</f>
        <v>80.3</v>
      </c>
    </row>
    <row r="41" spans="1:13">
      <c r="A41" t="s">
        <v>54</v>
      </c>
      <c r="B41" t="s">
        <v>55</v>
      </c>
      <c r="E41">
        <v>61.341321000000001</v>
      </c>
      <c r="F41" s="5">
        <f>MIN(Table3[[#This Row],[GWh/d '[capacity map']]:[GWh/d '[transparency map']]])*365</f>
        <v>22389.582165</v>
      </c>
      <c r="G41">
        <f>F41/1000</f>
        <v>22.389582165</v>
      </c>
      <c r="M41" s="5"/>
    </row>
    <row r="42" spans="1:13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>F42/1000</f>
        <v>317.55</v>
      </c>
    </row>
    <row r="43" spans="1:13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>F43/1000</f>
        <v>224.00633999999999</v>
      </c>
    </row>
    <row r="44" spans="1:13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>F44/1000</f>
        <v>36.5</v>
      </c>
    </row>
    <row r="45" spans="1:13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>F45/1000</f>
        <v>81.906000000000006</v>
      </c>
    </row>
    <row r="46" spans="1:13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>F46/1000</f>
        <v>208.05</v>
      </c>
    </row>
    <row r="47" spans="1:13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>F47/1000</f>
        <v>42.997</v>
      </c>
    </row>
    <row r="48" spans="1:13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>F48/1000</f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>F49/1000</f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>F50/1000</f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>F51/1000</f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>F52/1000</f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>F53/1000</f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>F54/1000</f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>F55/1000</f>
        <v>188.19399999999999</v>
      </c>
    </row>
    <row r="56" spans="1:8">
      <c r="A56" t="s">
        <v>31</v>
      </c>
      <c r="B56" t="s">
        <v>30</v>
      </c>
      <c r="D56">
        <v>0</v>
      </c>
      <c r="F56" s="5">
        <f>MIN(Table3[[#This Row],[GWh/d '[capacity map']]:[GWh/d '[transparency map']]])*365</f>
        <v>0</v>
      </c>
      <c r="G56">
        <f>F56/1000</f>
        <v>0</v>
      </c>
      <c r="H56" t="s">
        <v>147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>F57/1000</f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>F58/1000</f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>F59/1000</f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>F60/1000</f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>F61/1000</f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>F62/1000</f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>F63/1000</f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>F64/1000</f>
        <v>23.761499999999998</v>
      </c>
    </row>
    <row r="65" spans="1:13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>F65/1000</f>
        <v>118.77099999999999</v>
      </c>
    </row>
    <row r="66" spans="1:13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>F66/1000</f>
        <v>9.7491500000000002</v>
      </c>
    </row>
    <row r="67" spans="1:13">
      <c r="A67" t="s">
        <v>17</v>
      </c>
      <c r="B67" t="s">
        <v>43</v>
      </c>
      <c r="E67">
        <v>41.973541999999995</v>
      </c>
      <c r="F67" s="5">
        <f>MIN(Table3[[#This Row],[GWh/d '[capacity map']]:[GWh/d '[transparency map']]])*365</f>
        <v>15320.342829999998</v>
      </c>
      <c r="G67">
        <f>F67/1000</f>
        <v>15.320342829999998</v>
      </c>
      <c r="M67" s="5"/>
    </row>
    <row r="68" spans="1:13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>F68/1000</f>
        <v>24.673999999999996</v>
      </c>
    </row>
    <row r="69" spans="1:13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>F69/1000</f>
        <v>43.07</v>
      </c>
    </row>
    <row r="70" spans="1:13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>F70/1000</f>
        <v>24.7105</v>
      </c>
    </row>
    <row r="71" spans="1:13">
      <c r="A71" t="s">
        <v>50</v>
      </c>
      <c r="B71" t="s">
        <v>99</v>
      </c>
      <c r="C71">
        <v>442.8</v>
      </c>
      <c r="F71" s="5">
        <f>MIN(Table3[[#This Row],[GWh/d '[capacity map']]:[GWh/d '[transparency map']]])*365</f>
        <v>161622</v>
      </c>
      <c r="G71">
        <f>F71/1000</f>
        <v>161.62200000000001</v>
      </c>
      <c r="H71" t="s">
        <v>151</v>
      </c>
    </row>
    <row r="72" spans="1:13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>F72/1000</f>
        <v>5.8765000000000009</v>
      </c>
    </row>
    <row r="73" spans="1:13">
      <c r="A73" t="s">
        <v>39</v>
      </c>
      <c r="B73" t="s">
        <v>40</v>
      </c>
      <c r="E73">
        <v>255.46047452000005</v>
      </c>
      <c r="F73" s="5">
        <f>MIN(Table3[[#This Row],[GWh/d '[capacity map']]:[GWh/d '[transparency map']]])*365</f>
        <v>93243.073199800012</v>
      </c>
      <c r="G73">
        <f>F73/1000</f>
        <v>93.243073199800008</v>
      </c>
      <c r="M73" s="5"/>
    </row>
    <row r="74" spans="1:13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>F74/1000</f>
        <v>9.9936999999999987</v>
      </c>
    </row>
    <row r="75" spans="1:13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>F75/1000</f>
        <v>120.88800000000001</v>
      </c>
    </row>
    <row r="76" spans="1:13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>F76/1000</f>
        <v>594.33059500000013</v>
      </c>
    </row>
    <row r="77" spans="1:13">
      <c r="A77" t="s">
        <v>49</v>
      </c>
      <c r="B77" t="s">
        <v>18</v>
      </c>
      <c r="D77">
        <v>963.6</v>
      </c>
      <c r="F77" s="5">
        <f>MIN(Table3[[#This Row],[GWh/d '[capacity map']]:[GWh/d '[transparency map']]])*365</f>
        <v>351714</v>
      </c>
      <c r="G77">
        <f>F77/1000</f>
        <v>351.714</v>
      </c>
    </row>
    <row r="78" spans="1:13">
      <c r="A78" t="s">
        <v>11</v>
      </c>
      <c r="B78" t="s">
        <v>18</v>
      </c>
      <c r="C78">
        <v>494.4</v>
      </c>
      <c r="F78" s="5">
        <f>MIN(Table3[[#This Row],[GWh/d '[capacity map']]:[GWh/d '[transparency map']]])*365</f>
        <v>180456</v>
      </c>
      <c r="G78">
        <f>F78/1000</f>
        <v>180.45599999999999</v>
      </c>
    </row>
    <row r="79" spans="1:13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>F79/1000</f>
        <v>85.227500000000006</v>
      </c>
    </row>
    <row r="80" spans="1:13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>F80/1000</f>
        <v>10.220000000000001</v>
      </c>
    </row>
    <row r="81" spans="1:8">
      <c r="A81" t="s">
        <v>39</v>
      </c>
      <c r="B81" t="s">
        <v>27</v>
      </c>
      <c r="C81">
        <v>135.6</v>
      </c>
      <c r="D81" s="6">
        <v>135.6</v>
      </c>
      <c r="F81">
        <f>MIN(Table3[[#This Row],[GWh/d '[capacity map']]:[GWh/d '[transparency map']]])*365</f>
        <v>49494</v>
      </c>
      <c r="G81">
        <f>F81/1000</f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>F82/1000</f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>F83/1000</f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>F84/1000</f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>F85/1000</f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>F86/1000</f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>F87/1000</f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>F88/1000</f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>F89/1000</f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>F90/1000</f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>F91/1000</f>
        <v>31.024999999999999</v>
      </c>
    </row>
    <row r="92" spans="1:8">
      <c r="A92" t="s">
        <v>26</v>
      </c>
      <c r="B92" t="s">
        <v>83</v>
      </c>
      <c r="E92">
        <v>30</v>
      </c>
      <c r="F92" s="5">
        <f>MIN(Table3[[#This Row],[GWh/d '[capacity map']]:[GWh/d '[transparency map']]])*365</f>
        <v>10950</v>
      </c>
      <c r="G92">
        <f>F92/1000</f>
        <v>10.95</v>
      </c>
      <c r="H92" t="s">
        <v>150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>F93/1000</f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>F94/1000</f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>F95/1000</f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>F96/1000</f>
        <v>89.972499999999997</v>
      </c>
    </row>
    <row r="97" spans="1:13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>F97/1000</f>
        <v>454.93600000000004</v>
      </c>
    </row>
    <row r="98" spans="1:13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>F98/1000</f>
        <v>18.572295</v>
      </c>
    </row>
    <row r="99" spans="1:13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>F99/1000</f>
        <v>740.22</v>
      </c>
    </row>
    <row r="100" spans="1:13">
      <c r="A100" t="s">
        <v>50</v>
      </c>
      <c r="B100" t="s">
        <v>51</v>
      </c>
      <c r="C100">
        <v>1138.0999999999999</v>
      </c>
      <c r="F100" s="5">
        <f>MIN(Table3[[#This Row],[GWh/d '[capacity map']]:[GWh/d '[transparency map']]])*365</f>
        <v>415406.49999999994</v>
      </c>
      <c r="G100">
        <f>F100/1000</f>
        <v>415.40649999999994</v>
      </c>
      <c r="H100" t="s">
        <v>149</v>
      </c>
    </row>
    <row r="101" spans="1:13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>F101/1000</f>
        <v>181.46340000000004</v>
      </c>
    </row>
    <row r="102" spans="1:13">
      <c r="A102" t="s">
        <v>41</v>
      </c>
      <c r="B102" t="s">
        <v>47</v>
      </c>
      <c r="E102">
        <v>958.9</v>
      </c>
      <c r="F102" s="5">
        <f>MIN(Table3[[#This Row],[GWh/d '[capacity map']]:[GWh/d '[transparency map']]])*365</f>
        <v>349998.5</v>
      </c>
      <c r="G102">
        <f>F102/1000</f>
        <v>349.99849999999998</v>
      </c>
      <c r="H102" t="s">
        <v>144</v>
      </c>
      <c r="M102" s="5"/>
    </row>
    <row r="103" spans="1:13">
      <c r="A103" t="s">
        <v>97</v>
      </c>
      <c r="B103" t="s">
        <v>47</v>
      </c>
      <c r="D103">
        <v>349.9</v>
      </c>
      <c r="F103" s="5">
        <f>MIN(Table3[[#This Row],[GWh/d '[capacity map']]:[GWh/d '[transparency map']]])*365</f>
        <v>127713.49999999999</v>
      </c>
      <c r="G103">
        <f>F103/1000</f>
        <v>127.71349999999998</v>
      </c>
      <c r="H103" t="s">
        <v>148</v>
      </c>
    </row>
    <row r="104" spans="1:13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>F104/1000</f>
        <v>102.492</v>
      </c>
    </row>
    <row r="105" spans="1:13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>F105/1000</f>
        <v>44.603000000000002</v>
      </c>
    </row>
    <row r="106" spans="1:13">
      <c r="A106" t="s">
        <v>41</v>
      </c>
      <c r="B106" t="s">
        <v>39</v>
      </c>
      <c r="E106">
        <v>5459.5088498999994</v>
      </c>
      <c r="F106" s="5">
        <f>MIN(Table3[[#This Row],[GWh/d '[capacity map']]:[GWh/d '[transparency map']]])*365</f>
        <v>1992720.7302134999</v>
      </c>
      <c r="G106">
        <f>F106/1000</f>
        <v>1992.7207302134998</v>
      </c>
    </row>
    <row r="107" spans="1:13">
      <c r="A107" t="s">
        <v>40</v>
      </c>
      <c r="B107" t="s">
        <v>39</v>
      </c>
      <c r="E107">
        <v>80.846503979999994</v>
      </c>
      <c r="F107" s="5">
        <f>MIN(Table3[[#This Row],[GWh/d '[capacity map']]:[GWh/d '[transparency map']]])*365</f>
        <v>29508.973952699998</v>
      </c>
      <c r="G107">
        <f>F107/1000</f>
        <v>29.5089739527</v>
      </c>
      <c r="M107" s="5"/>
    </row>
    <row r="108" spans="1:13">
      <c r="A108" t="s">
        <v>53</v>
      </c>
      <c r="B108" t="s">
        <v>39</v>
      </c>
      <c r="E108">
        <v>35.53171072</v>
      </c>
      <c r="F108" s="5">
        <f>MIN(Table3[[#This Row],[GWh/d '[capacity map']]:[GWh/d '[transparency map']]])*365</f>
        <v>12969.074412800001</v>
      </c>
      <c r="G108">
        <f>F108/1000</f>
        <v>12.969074412800001</v>
      </c>
      <c r="M108" s="5"/>
    </row>
    <row r="109" spans="1:13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>F109/1000</f>
        <v>95.301500000000019</v>
      </c>
    </row>
    <row r="110" spans="1:13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>F110/1000</f>
        <v>513.19000000000005</v>
      </c>
    </row>
    <row r="111" spans="1:13">
      <c r="A111" t="s">
        <v>18</v>
      </c>
      <c r="B111" t="s">
        <v>11</v>
      </c>
      <c r="C111">
        <v>494.4</v>
      </c>
      <c r="F111" s="5">
        <f>MIN(Table3[[#This Row],[GWh/d '[capacity map']]:[GWh/d '[transparency map']]])*365</f>
        <v>180456</v>
      </c>
      <c r="G111">
        <f>F111/1000</f>
        <v>180.45599999999999</v>
      </c>
      <c r="M111" s="5"/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7" workbookViewId="0">
      <selection activeCell="I21" sqref="I2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108</v>
      </c>
      <c r="E1" t="s">
        <v>109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97</v>
      </c>
      <c r="B3" t="s">
        <v>98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99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100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98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99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126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127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128</v>
      </c>
    </row>
    <row r="31" spans="1:6">
      <c r="A31" t="s">
        <v>41</v>
      </c>
      <c r="B31" t="s">
        <v>53</v>
      </c>
      <c r="F31" t="s">
        <v>129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101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101</v>
      </c>
    </row>
    <row r="37" spans="1:6">
      <c r="A37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2025-02-20T17:53:34Z</dcterms:modified>
</cp:coreProperties>
</file>