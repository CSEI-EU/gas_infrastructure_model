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3999AC2-7D26-46E1-A4D0-CBA0ECD083B9}" xr6:coauthVersionLast="47" xr6:coauthVersionMax="47" xr10:uidLastSave="{00000000-0000-0000-0000-000000000000}"/>
  <bookViews>
    <workbookView xWindow="-110" yWindow="-110" windowWidth="19420" windowHeight="10300" firstSheet="2" activeTab="3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6" l="1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F77" i="6" s="1"/>
  <c r="C77" i="3"/>
  <c r="C65" i="2"/>
  <c r="C64" i="7"/>
  <c r="C68" i="7"/>
  <c r="C69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68" i="7"/>
  <c r="F68" i="7"/>
  <c r="E77" i="6"/>
  <c r="E64" i="9"/>
  <c r="E67" i="9"/>
  <c r="E68" i="9"/>
  <c r="E69" i="9"/>
  <c r="E65" i="9"/>
  <c r="E66" i="9"/>
  <c r="E58" i="9"/>
  <c r="E59" i="9"/>
  <c r="E60" i="9"/>
  <c r="E63" i="9"/>
  <c r="E61" i="9"/>
  <c r="E62" i="9"/>
  <c r="E57" i="9"/>
  <c r="E51" i="9"/>
  <c r="E53" i="9"/>
  <c r="E52" i="9"/>
  <c r="E54" i="9"/>
  <c r="E55" i="9"/>
  <c r="E56" i="9"/>
  <c r="E50" i="9"/>
  <c r="E48" i="9"/>
  <c r="E44" i="9"/>
  <c r="E45" i="9"/>
  <c r="E46" i="9"/>
  <c r="E47" i="9"/>
  <c r="E49" i="9"/>
  <c r="E43" i="9"/>
  <c r="E37" i="9"/>
  <c r="E38" i="9"/>
  <c r="E42" i="9"/>
  <c r="E39" i="9"/>
  <c r="E40" i="9"/>
  <c r="E41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F119" i="8"/>
  <c r="F120" i="8"/>
  <c r="F121" i="8"/>
  <c r="F122" i="8"/>
  <c r="F123" i="8"/>
  <c r="F124" i="8"/>
  <c r="F125" i="8"/>
  <c r="F126" i="8"/>
  <c r="G118" i="8"/>
  <c r="G119" i="8"/>
  <c r="G120" i="8"/>
  <c r="G121" i="8"/>
  <c r="G122" i="8"/>
  <c r="G123" i="8"/>
  <c r="G124" i="8"/>
  <c r="G125" i="8"/>
  <c r="G126" i="8"/>
  <c r="C59" i="7"/>
  <c r="C60" i="2"/>
  <c r="E67" i="7"/>
  <c r="F67" i="7"/>
  <c r="C64" i="6"/>
  <c r="C64" i="3"/>
  <c r="E76" i="6"/>
  <c r="F76" i="6"/>
  <c r="F112" i="4"/>
  <c r="G112" i="4" s="1"/>
  <c r="F113" i="4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G113" i="4"/>
  <c r="C67" i="3"/>
  <c r="C69" i="3" s="1"/>
  <c r="C62" i="3"/>
  <c r="C70" i="3"/>
  <c r="C60" i="3"/>
  <c r="C61" i="3"/>
  <c r="C59" i="3"/>
  <c r="F75" i="6"/>
  <c r="E75" i="6"/>
  <c r="F74" i="6"/>
  <c r="E74" i="6"/>
  <c r="F73" i="6"/>
  <c r="E73" i="6"/>
  <c r="F72" i="6"/>
  <c r="E72" i="6"/>
  <c r="F71" i="6"/>
  <c r="E71" i="6"/>
  <c r="E70" i="6"/>
  <c r="C70" i="6"/>
  <c r="F70" i="6" s="1"/>
  <c r="E69" i="6"/>
  <c r="F68" i="6"/>
  <c r="E68" i="6"/>
  <c r="E67" i="6"/>
  <c r="C67" i="6"/>
  <c r="F67" i="6" s="1"/>
  <c r="E66" i="6"/>
  <c r="C66" i="6"/>
  <c r="F65" i="6"/>
  <c r="E65" i="6"/>
  <c r="E64" i="6"/>
  <c r="F64" i="6"/>
  <c r="F63" i="6"/>
  <c r="E63" i="6"/>
  <c r="F62" i="6"/>
  <c r="E62" i="6"/>
  <c r="C62" i="6"/>
  <c r="F61" i="6"/>
  <c r="E61" i="6"/>
  <c r="F60" i="6"/>
  <c r="E60" i="6"/>
  <c r="C60" i="6"/>
  <c r="F59" i="6"/>
  <c r="E59" i="6"/>
  <c r="C59" i="6"/>
  <c r="F58" i="6"/>
  <c r="E58" i="6"/>
  <c r="C57" i="7"/>
  <c r="C66" i="2"/>
  <c r="E66" i="7"/>
  <c r="F66" i="7"/>
  <c r="C65" i="7"/>
  <c r="C55" i="7"/>
  <c r="C54" i="7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F54" i="7"/>
  <c r="E54" i="7"/>
  <c r="E53" i="7"/>
  <c r="C58" i="2"/>
  <c r="C56" i="2"/>
  <c r="C55" i="2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F66" i="6" l="1"/>
  <c r="C69" i="6"/>
  <c r="F69" i="6" s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<sst xmlns="http://schemas.openxmlformats.org/spreadsheetml/2006/main" count="1364" uniqueCount="203">
  <si>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</si>
  <si>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</si>
  <si>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</si>
  <si>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</si>
  <si>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</si>
  <si>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</si>
  <si>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</si>
  <si>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</si>
  <si>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</si>
  <si>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</si>
  <si>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</si>
  <si>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</si>
  <si>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</si>
  <si>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</si>
  <si>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</si>
  <si>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</si>
  <si>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</si>
  <si>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</si>
  <si>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</si>
  <si>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</si>
  <si>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</si>
  <si>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</si>
  <si>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</si>
  <si>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</si>
  <si>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</si>
  <si>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</si>
  <si>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</si>
  <si>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</si>
  <si>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</si>
  <si>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</si>
  <si>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</si>
  <si>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</si>
  <si>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</si>
  <si>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</si>
  <si>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</si>
  <si>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</si>
  <si>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</si>
  <si>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</si>
  <si>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</si>
  <si>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</si>
  <si>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</si>
  <si>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</si>
  <si>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</si>
  <si>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</si>
  <si>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</si>
  <si>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</si>
  <si>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</si>
  <si>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</si>
  <si>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</si>
  <si>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</si>
  <si>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</si>
  <si>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</si>
  <si>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</si>
  <si>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</si>
  <si>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</si>
  <si>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</si>
  <si>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</si>
  <si>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</si>
  <si>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</si>
  <si>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</si>
  <si>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</si>
  <si>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</si>
  <si>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</si>
  <si>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</si>
  <si>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</si>
  <si>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</si>
  <si>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</si>
  <si>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</si>
  <si>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</si>
  <si>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</si>
  <si>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</si>
  <si>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</si>
  <si>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</si>
  <si>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</si>
  <si>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</si>
  <si>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</si>
  <si>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</si>
  <si>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</si>
  <si>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</si>
  <si>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</si>
  <si>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</si>
  <si>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</si>
  <si>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</si>
  <si>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</si>
  <si>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</si>
  <si>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</si>
  <si>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</si>
  <si>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</si>
  <si>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</si>
  <si>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</si>
  <si>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</si>
  <si>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</si>
  <si>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</si>
  <si>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</si>
  <si>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</si>
  <si>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</si>
  <si>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</si>
  <si>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</si>
  <si>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</si>
  <si>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</si>
  <si>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</si>
  <si>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</si>
  <si>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</si>
  <si>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</si>
  <si>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</si>
  <si>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</si>
  <si>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</si>
  <si>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</si>
  <si>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</si>
  <si>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</si>
  <si>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</si>
  <si>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</si>
  <si>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</si>
  <si>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</si>
  <si>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</si>
  <si>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</si>
  <si>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</si>
  <si>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</si>
  <si>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</si>
  <si>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</si>
  <si>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</si>
  <si>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</si>
  <si>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</si>
  <si>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</si>
  <si>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</si>
  <si>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</si>
  <si>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</si>
  <si>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</si>
  <si>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</si>
  <si>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</si>
  <si>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</si>
  <si>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</si>
  <si>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</si>
  <si>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</si>
  <si>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</si>
  <si>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</si>
  <si>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</si>
  <si>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</si>
  <si>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</si>
  <si>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</si>
  <si>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</si>
  <si>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</si>
  <si>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</si>
  <si>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</si>
  <si>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</si>
  <si>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</si>
  <si>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</si>
  <si>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</si>
  <si>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</si>
  <si>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</si>
  <si>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</si>
  <si>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</si>
  <si>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</si>
  <si>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</si>
  <si>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NA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</si>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</sst>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3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0"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39"/>
    <tableColumn id="5" xr3:uid="{4278F9D8-E46F-44B9-A622-727B8E2C8EF1}" name="Mil m3 EU [2020]" dataDxfId="38"/>
    <tableColumn id="6" xr3:uid="{F2BDB73C-713D-4BC7-B762-048AA072F297}" name="Mrd m3 EU [2020]" dataDxfId="37">
      <calculatedColumnFormula>Table2[[#This Row],[Mil m3 EU '[2020']]]/1000</calculatedColumnFormula>
    </tableColumn>
    <tableColumn id="4" xr3:uid="{5BB2DA97-8C23-44BC-9268-BDBE2BCDBBC8}" name="TWh [2020]" dataDxfId="3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9" totalsRowShown="0" headerRowDxfId="35" headerRowBorderDxfId="34" tableBorderDxfId="33">
  <autoFilter ref="A53:F69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2">
      <calculatedColumnFormula>Table7[[#This Row],[Mil m3 '[2020']]]/1000</calculatedColumnFormula>
    </tableColumn>
    <tableColumn id="6" xr3:uid="{ECFA587C-DE79-4510-9945-328AB8DBC35F}" name="TWh [2020]" dataDxfId="31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0"/>
    <tableColumn id="5" xr3:uid="{42F1A333-D727-4655-B618-A9AB5617745F}" name="Mil m3 EU [2020]" dataDxfId="29"/>
    <tableColumn id="6" xr3:uid="{326B3A9A-70B2-4D34-8E01-54CBBD0565E6}" name="Mrd m3 EU [2020]" dataDxfId="28">
      <calculatedColumnFormula>Table26[[#This Row],[Mil m3 EU '[2020']]]/1000</calculatedColumnFormula>
    </tableColumn>
    <tableColumn id="4" xr3:uid="{DC1916A1-B3CC-4586-AE6D-12CF46A9C0F0}" name="TWh [2020]" dataDxfId="2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8" totalsRowShown="0" headerRowDxfId="26" headerRowBorderDxfId="25" tableBorderDxfId="24">
  <autoFilter ref="A52:F68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3">
      <calculatedColumnFormula>Table79[[#This Row],[Mil m3 '[2020']]]/1000</calculatedColumnFormula>
    </tableColumn>
    <tableColumn id="6" xr3:uid="{0CF67BB6-4E02-4893-BB83-4858F32AB909}" name="TWh [2020]" dataDxfId="22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1"/>
    <tableColumn id="4" xr3:uid="{1618AAC4-0782-47C3-91CE-2FEB95FBDD58}" name="TWh [2020]" dataDxfId="20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19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18" headerRowBorderDxfId="17" tableBorderDxfId="16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">
      <calculatedColumnFormula>Table7910[[#This Row],[Mil m3 '[2020']]]/1000</calculatedColumnFormula>
    </tableColumn>
    <tableColumn id="6" xr3:uid="{44160680-3C35-4A7A-9677-B7F78304684A}" name="TWh [2020]" dataDxfId="0">
      <calculatedColumnFormula>IF(Table7910[[#This Row],[Mil m3 '[2020']]]&gt;0,Table7910[[#This Row],[Mrd m3 '[2020']2]],Table7910[[#This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2" headerRowBorderDxfId="11" tableBorderDxfId="10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Table11" displayName="Table11" ref="A1:F69" totalsRowShown="0" headerRowDxfId="5" headerRowBorderDxfId="4" tableBorderDxfId="3" totalsRowBorderDxfId="2">
  <autoFilter ref="A1:F69" xr:uid="{CA4061AA-5D26-4056-B170-4E1336D4AD38}"/>
  <tableColumns count="6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9"/>
  <sheetViews>
    <sheetView topLeftCell="A61" workbookViewId="0">
      <selection activeCell="F69" sqref="F69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175</v>
      </c>
      <c r="E53" s="9" t="s">
        <v>176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154</v>
      </c>
      <c r="B55" t="s">
        <v>165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155</v>
      </c>
      <c r="B56" t="s">
        <v>166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156</v>
      </c>
      <c r="B57" t="s">
        <v>167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157</v>
      </c>
      <c r="B58" t="s">
        <v>168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158</v>
      </c>
      <c r="B59" t="s">
        <v>180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159</v>
      </c>
      <c r="B60" t="s">
        <v>169</v>
      </c>
      <c r="C60" s="2">
        <f>231.909048813308-C21-C3-C37-C68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160</v>
      </c>
      <c r="B61" t="s">
        <v>170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161</v>
      </c>
      <c r="B62" t="s">
        <v>171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162</v>
      </c>
      <c r="B63" t="s">
        <v>172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163</v>
      </c>
      <c r="B64" t="s">
        <v>173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164</v>
      </c>
      <c r="B65" t="s">
        <v>174</v>
      </c>
      <c r="C65">
        <f>656.2735508682-C64-C62-C61-C63-C69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177</v>
      </c>
      <c r="B66" t="s">
        <v>178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41</v>
      </c>
      <c r="B67" t="s">
        <v>70</v>
      </c>
      <c r="C67">
        <v>638.446656032448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6237.6238294370169</v>
      </c>
    </row>
    <row r="68" spans="1:6">
      <c r="A68" t="s">
        <v>183</v>
      </c>
      <c r="B68" t="s">
        <v>184</v>
      </c>
      <c r="C68">
        <v>58.465174157714841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571.20475152087397</v>
      </c>
    </row>
    <row r="69" spans="1:6">
      <c r="A69" t="s">
        <v>199</v>
      </c>
      <c r="B69" t="s">
        <v>202</v>
      </c>
      <c r="C69">
        <f>64.6974253845862+73.0927934801951</f>
        <v>137.79021886478131</v>
      </c>
      <c r="E69" s="2">
        <f>Table7[[#This Row],[Mil m3 '[2020']]]/1000</f>
        <v>0</v>
      </c>
      <c r="F69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8"/>
  <sheetViews>
    <sheetView topLeftCell="A55" workbookViewId="0">
      <selection activeCell="B59" sqref="B59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175</v>
      </c>
      <c r="E52" s="9" t="s">
        <v>176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154</v>
      </c>
      <c r="B54" t="s">
        <v>165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155</v>
      </c>
      <c r="B55" t="s">
        <v>166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156</v>
      </c>
      <c r="B56" t="s">
        <v>167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157</v>
      </c>
      <c r="B57" t="s">
        <v>168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158</v>
      </c>
      <c r="B58" t="s">
        <v>180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159</v>
      </c>
      <c r="B59" t="s">
        <v>169</v>
      </c>
      <c r="C59" s="2">
        <f>253.649617284986-C21-C3-C37-C67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160</v>
      </c>
      <c r="B60" t="s">
        <v>170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161</v>
      </c>
      <c r="B61" t="s">
        <v>171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162</v>
      </c>
      <c r="B62" t="s">
        <v>172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163</v>
      </c>
      <c r="B63" t="s">
        <v>173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164</v>
      </c>
      <c r="B64" t="s">
        <v>174</v>
      </c>
      <c r="C64">
        <f>691.83903700697-C63-C61-C60-C62-C68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177</v>
      </c>
      <c r="B65" t="s">
        <v>178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41</v>
      </c>
      <c r="B66" t="s">
        <v>70</v>
      </c>
      <c r="C66">
        <v>586.38219987241905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5728.9540927535336</v>
      </c>
    </row>
    <row r="67" spans="1:6">
      <c r="A67" t="s">
        <v>183</v>
      </c>
      <c r="B67" t="s">
        <v>184</v>
      </c>
      <c r="C67">
        <v>57.100413073730465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557.87103573034665</v>
      </c>
    </row>
    <row r="68" spans="1:6">
      <c r="A68" t="s">
        <v>199</v>
      </c>
      <c r="B68" t="s">
        <v>202</v>
      </c>
      <c r="C68">
        <f>64.2640381356325+81.074134147023</f>
        <v>145.33817228265551</v>
      </c>
      <c r="E68" s="2">
        <f>Table79[[#This Row],[Mil m3 '[2020']]]/1000</f>
        <v>0</v>
      </c>
      <c r="F68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abSelected="1" topLeftCell="A66" workbookViewId="0">
      <selection activeCell="L77" sqref="L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175</v>
      </c>
      <c r="E57" s="9" t="s">
        <v>176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</f>
        <v>8153.5498638127028</v>
      </c>
    </row>
    <row r="59" spans="1:6">
      <c r="A59" t="s">
        <v>154</v>
      </c>
      <c r="B59" t="s">
        <v>165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</f>
        <v>2027.6204220686873</v>
      </c>
    </row>
    <row r="60" spans="1:6">
      <c r="A60" t="s">
        <v>155</v>
      </c>
      <c r="B60" t="s">
        <v>166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</f>
        <v>1303.1657124974754</v>
      </c>
    </row>
    <row r="61" spans="1:6">
      <c r="A61" t="s">
        <v>156</v>
      </c>
      <c r="B61" t="s">
        <v>167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</f>
        <v>148.36377291714354</v>
      </c>
    </row>
    <row r="62" spans="1:6">
      <c r="A62" t="s">
        <v>157</v>
      </c>
      <c r="B62" t="s">
        <v>168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</f>
        <v>5026.5112714781217</v>
      </c>
    </row>
    <row r="63" spans="1:6">
      <c r="A63" t="s">
        <v>158</v>
      </c>
      <c r="B63" t="s">
        <v>180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</f>
        <v>375.297303107483</v>
      </c>
    </row>
    <row r="64" spans="1:6">
      <c r="A64" t="s">
        <v>159</v>
      </c>
      <c r="B64" t="s">
        <v>169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</f>
        <v>395.18940186607011</v>
      </c>
    </row>
    <row r="65" spans="1:8">
      <c r="A65" t="s">
        <v>160</v>
      </c>
      <c r="B65" t="s">
        <v>170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</f>
        <v>413.44041012725421</v>
      </c>
    </row>
    <row r="66" spans="1:8">
      <c r="A66" t="s">
        <v>161</v>
      </c>
      <c r="B66" t="s">
        <v>171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</f>
        <v>3288.7505973451316</v>
      </c>
    </row>
    <row r="67" spans="1:8">
      <c r="A67" t="s">
        <v>162</v>
      </c>
      <c r="B67" t="s">
        <v>172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</f>
        <v>1579.465226022091</v>
      </c>
    </row>
    <row r="68" spans="1:8">
      <c r="A68" t="s">
        <v>163</v>
      </c>
      <c r="B68" t="s">
        <v>173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</f>
        <v>589.71838532941092</v>
      </c>
    </row>
    <row r="69" spans="1:8">
      <c r="A69" t="s">
        <v>164</v>
      </c>
      <c r="B69" t="s">
        <v>174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</f>
        <v>1854.2239789296088</v>
      </c>
    </row>
    <row r="70" spans="1:8">
      <c r="A70" t="s">
        <v>177</v>
      </c>
      <c r="B70" t="s">
        <v>178</v>
      </c>
      <c r="C70">
        <f>554.955290969357-423.483407079646</f>
        <v>131.47188388971097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</f>
        <v>1284.4803056024762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</f>
        <v>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</f>
        <v>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</f>
        <v>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</f>
        <v>35.078727272727271</v>
      </c>
    </row>
    <row r="75" spans="1:8">
      <c r="A75" t="s">
        <v>98</v>
      </c>
      <c r="B75" t="s">
        <v>181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</f>
        <v>7.6856810427436644</v>
      </c>
    </row>
    <row r="76" spans="1:8">
      <c r="A76" t="s">
        <v>183</v>
      </c>
      <c r="B76" t="s">
        <v>184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</f>
        <v>569.66841625963582</v>
      </c>
    </row>
    <row r="77" spans="1:8">
      <c r="A77" t="s">
        <v>199</v>
      </c>
      <c r="B77" t="s">
        <v>202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</f>
        <v>842.11728647519499</v>
      </c>
    </row>
    <row r="78" spans="1:8">
      <c r="A78" t="s">
        <v>53</v>
      </c>
      <c r="B78" t="s">
        <v>82</v>
      </c>
      <c r="C78">
        <v>17.751008849557518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</f>
        <v>173.42735646017695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67" workbookViewId="0">
      <selection activeCell="C78" sqref="C78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175</v>
      </c>
      <c r="E57" s="9" t="s">
        <v>176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</f>
        <v>8660.7846598998185</v>
      </c>
    </row>
    <row r="59" spans="1:6">
      <c r="A59" t="s">
        <v>154</v>
      </c>
      <c r="B59" t="s">
        <v>165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</f>
        <v>2132.7907642308792</v>
      </c>
    </row>
    <row r="60" spans="1:6">
      <c r="A60" t="s">
        <v>155</v>
      </c>
      <c r="B60" t="s">
        <v>166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</f>
        <v>1438.139604719081</v>
      </c>
    </row>
    <row r="61" spans="1:6">
      <c r="A61" t="s">
        <v>156</v>
      </c>
      <c r="B61" t="s">
        <v>167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</f>
        <v>141.70363816030851</v>
      </c>
    </row>
    <row r="62" spans="1:6">
      <c r="A62" t="s">
        <v>157</v>
      </c>
      <c r="B62" t="s">
        <v>168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</f>
        <v>5212.4455255534276</v>
      </c>
    </row>
    <row r="63" spans="1:6">
      <c r="A63" t="s">
        <v>158</v>
      </c>
      <c r="B63" t="s">
        <v>180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</f>
        <v>431.84687643593901</v>
      </c>
    </row>
    <row r="64" spans="1:6">
      <c r="A64" t="s">
        <v>159</v>
      </c>
      <c r="B64" t="s">
        <v>169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</f>
        <v>458.53340662554189</v>
      </c>
    </row>
    <row r="65" spans="1:6">
      <c r="A65" t="s">
        <v>160</v>
      </c>
      <c r="B65" t="s">
        <v>170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</f>
        <v>391.98708472127618</v>
      </c>
    </row>
    <row r="66" spans="1:6">
      <c r="A66" t="s">
        <v>161</v>
      </c>
      <c r="B66" t="s">
        <v>171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</f>
        <v>4002.6213997252307</v>
      </c>
    </row>
    <row r="67" spans="1:6">
      <c r="A67" t="s">
        <v>162</v>
      </c>
      <c r="B67" t="s">
        <v>172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</f>
        <v>1489.8809967005398</v>
      </c>
    </row>
    <row r="68" spans="1:6">
      <c r="A68" t="s">
        <v>163</v>
      </c>
      <c r="B68" t="s">
        <v>173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</f>
        <v>611.70270126686103</v>
      </c>
    </row>
    <row r="69" spans="1:6">
      <c r="A69" t="s">
        <v>164</v>
      </c>
      <c r="B69" t="s">
        <v>174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</f>
        <v>1748.3915086808172</v>
      </c>
    </row>
    <row r="70" spans="1:6">
      <c r="A70" t="s">
        <v>177</v>
      </c>
      <c r="B70" t="s">
        <v>178</v>
      </c>
      <c r="C70">
        <f>596.017542286885-453.370943952802</f>
        <v>142.64659833408302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</f>
        <v>1393.657265723991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</f>
        <v>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</f>
        <v>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</f>
        <v>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</f>
        <v>35.078727272727271</v>
      </c>
    </row>
    <row r="75" spans="1:6">
      <c r="A75" t="s">
        <v>98</v>
      </c>
      <c r="B75" t="s">
        <v>181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</f>
        <v>2.1757375189927228</v>
      </c>
    </row>
    <row r="76" spans="1:6">
      <c r="A76" t="s">
        <v>183</v>
      </c>
      <c r="B76" t="s">
        <v>184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</f>
        <v>586.63367669240563</v>
      </c>
    </row>
    <row r="77" spans="1:6">
      <c r="A77" t="s">
        <v>199</v>
      </c>
      <c r="B77" t="s">
        <v>202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</f>
        <v>894.11611117837549</v>
      </c>
    </row>
    <row r="78" spans="1:6">
      <c r="A78" t="s">
        <v>53</v>
      </c>
      <c r="B78" t="s">
        <v>82</v>
      </c>
      <c r="C78">
        <v>16.784035990584055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</f>
        <v>163.9800316280062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A112" sqref="A112:B120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177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154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154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157</v>
      </c>
      <c r="B114" t="s">
        <v>158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158</v>
      </c>
      <c r="B115" t="s">
        <v>157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161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177</v>
      </c>
      <c r="B117" t="s">
        <v>161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164</v>
      </c>
      <c r="B118" t="s">
        <v>161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177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183</v>
      </c>
      <c r="B120" t="s">
        <v>157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B14" sqref="B1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177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179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154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154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157</v>
      </c>
      <c r="B120" t="s">
        <v>158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158</v>
      </c>
      <c r="B121" t="s">
        <v>157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161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177</v>
      </c>
      <c r="B123" t="s">
        <v>161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164</v>
      </c>
      <c r="B124" t="s">
        <v>161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177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183</v>
      </c>
      <c r="B126" t="s">
        <v>157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177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dimension ref="A1:F69"/>
  <sheetViews>
    <sheetView topLeftCell="A55" workbookViewId="0">
      <selection activeCell="C68" sqref="C68"/>
    </sheetView>
  </sheetViews>
  <sheetFormatPr defaultRowHeight="14.5"/>
  <cols>
    <col min="3" max="3" width="21.81640625" customWidth="1"/>
    <col min="4" max="4" width="9" customWidth="1"/>
    <col min="6" max="6" width="11.1796875" customWidth="1"/>
  </cols>
  <sheetData>
    <row r="1" spans="1:6">
      <c r="A1" s="9" t="s">
        <v>93</v>
      </c>
      <c r="B1" s="9" t="s">
        <v>94</v>
      </c>
      <c r="C1" s="9" t="s">
        <v>187</v>
      </c>
      <c r="D1" s="9" t="s">
        <v>107</v>
      </c>
      <c r="E1" s="9" t="s">
        <v>108</v>
      </c>
      <c r="F1" s="9" t="s">
        <v>144</v>
      </c>
    </row>
    <row r="2" spans="1:6">
      <c r="A2" s="6" t="s">
        <v>185</v>
      </c>
      <c r="B2" s="6" t="s">
        <v>186</v>
      </c>
      <c r="C2" s="6"/>
      <c r="D2" s="6"/>
      <c r="E2" s="6">
        <f t="shared" ref="E2:E5" si="0">D2/1000</f>
        <v>0</v>
      </c>
      <c r="F2" s="6"/>
    </row>
    <row r="3" spans="1:6">
      <c r="A3" s="11" t="s">
        <v>188</v>
      </c>
      <c r="B3" s="11" t="s">
        <v>186</v>
      </c>
      <c r="C3" s="11"/>
      <c r="D3" s="11"/>
      <c r="E3" s="11">
        <f t="shared" si="0"/>
        <v>0</v>
      </c>
      <c r="F3" s="11"/>
    </row>
    <row r="4" spans="1:6">
      <c r="A4" t="s">
        <v>189</v>
      </c>
      <c r="B4" s="12" t="s">
        <v>186</v>
      </c>
      <c r="C4" s="12"/>
      <c r="D4" s="12"/>
      <c r="E4" s="12">
        <f t="shared" si="0"/>
        <v>0</v>
      </c>
      <c r="F4" s="12"/>
    </row>
    <row r="5" spans="1:6">
      <c r="A5" t="s">
        <v>190</v>
      </c>
      <c r="B5" t="s">
        <v>186</v>
      </c>
      <c r="E5" s="11">
        <f t="shared" si="0"/>
        <v>0</v>
      </c>
    </row>
    <row r="6" spans="1:6">
      <c r="A6" t="s">
        <v>191</v>
      </c>
      <c r="B6" t="s">
        <v>186</v>
      </c>
      <c r="E6">
        <f t="shared" ref="E6:E29" si="1">D6/1000</f>
        <v>0</v>
      </c>
    </row>
    <row r="7" spans="1:6">
      <c r="A7" t="s">
        <v>192</v>
      </c>
      <c r="B7" t="s">
        <v>186</v>
      </c>
      <c r="E7">
        <f t="shared" si="1"/>
        <v>0</v>
      </c>
    </row>
    <row r="8" spans="1:6">
      <c r="A8" t="s">
        <v>185</v>
      </c>
      <c r="B8" t="s">
        <v>193</v>
      </c>
      <c r="E8">
        <f t="shared" si="1"/>
        <v>0</v>
      </c>
    </row>
    <row r="9" spans="1:6">
      <c r="A9" t="s">
        <v>185</v>
      </c>
      <c r="B9" t="s">
        <v>191</v>
      </c>
      <c r="E9">
        <f t="shared" si="1"/>
        <v>0</v>
      </c>
    </row>
    <row r="10" spans="1:6">
      <c r="A10" t="s">
        <v>185</v>
      </c>
      <c r="B10" t="s">
        <v>194</v>
      </c>
      <c r="E10">
        <f t="shared" si="1"/>
        <v>0</v>
      </c>
    </row>
    <row r="11" spans="1:6">
      <c r="A11" t="s">
        <v>185</v>
      </c>
      <c r="B11" t="s">
        <v>195</v>
      </c>
      <c r="E11">
        <f t="shared" si="1"/>
        <v>0</v>
      </c>
    </row>
    <row r="12" spans="1:6">
      <c r="A12" t="s">
        <v>185</v>
      </c>
      <c r="B12" t="s">
        <v>196</v>
      </c>
      <c r="E12">
        <f t="shared" si="1"/>
        <v>0</v>
      </c>
    </row>
    <row r="13" spans="1:6">
      <c r="A13" t="s">
        <v>185</v>
      </c>
      <c r="B13" t="s">
        <v>197</v>
      </c>
      <c r="E13">
        <f t="shared" si="1"/>
        <v>0</v>
      </c>
    </row>
    <row r="14" spans="1:6">
      <c r="A14" t="s">
        <v>185</v>
      </c>
      <c r="B14" t="s">
        <v>198</v>
      </c>
      <c r="E14">
        <f t="shared" si="1"/>
        <v>0</v>
      </c>
    </row>
    <row r="15" spans="1:6">
      <c r="A15" t="s">
        <v>188</v>
      </c>
      <c r="B15" t="s">
        <v>193</v>
      </c>
      <c r="E15">
        <f t="shared" si="1"/>
        <v>0</v>
      </c>
    </row>
    <row r="16" spans="1:6">
      <c r="A16" t="s">
        <v>188</v>
      </c>
      <c r="B16" t="s">
        <v>191</v>
      </c>
      <c r="E16">
        <f t="shared" si="1"/>
        <v>0</v>
      </c>
    </row>
    <row r="17" spans="1:5">
      <c r="A17" t="s">
        <v>188</v>
      </c>
      <c r="B17" t="s">
        <v>194</v>
      </c>
      <c r="E17">
        <f t="shared" si="1"/>
        <v>0</v>
      </c>
    </row>
    <row r="18" spans="1:5">
      <c r="A18" t="s">
        <v>188</v>
      </c>
      <c r="B18" t="s">
        <v>195</v>
      </c>
      <c r="E18">
        <f t="shared" si="1"/>
        <v>0</v>
      </c>
    </row>
    <row r="19" spans="1:5">
      <c r="A19" t="s">
        <v>188</v>
      </c>
      <c r="B19" t="s">
        <v>196</v>
      </c>
      <c r="E19">
        <f t="shared" si="1"/>
        <v>0</v>
      </c>
    </row>
    <row r="20" spans="1:5">
      <c r="A20" t="s">
        <v>188</v>
      </c>
      <c r="B20" t="s">
        <v>197</v>
      </c>
      <c r="E20">
        <f t="shared" si="1"/>
        <v>0</v>
      </c>
    </row>
    <row r="21" spans="1:5">
      <c r="A21" t="s">
        <v>188</v>
      </c>
      <c r="B21" t="s">
        <v>198</v>
      </c>
      <c r="E21">
        <f t="shared" si="1"/>
        <v>0</v>
      </c>
    </row>
    <row r="22" spans="1:5">
      <c r="A22" t="s">
        <v>189</v>
      </c>
      <c r="B22" t="s">
        <v>193</v>
      </c>
      <c r="E22">
        <f t="shared" si="1"/>
        <v>0</v>
      </c>
    </row>
    <row r="23" spans="1:5">
      <c r="A23" t="s">
        <v>189</v>
      </c>
      <c r="B23" t="s">
        <v>191</v>
      </c>
      <c r="E23">
        <f t="shared" si="1"/>
        <v>0</v>
      </c>
    </row>
    <row r="24" spans="1:5">
      <c r="A24" t="s">
        <v>189</v>
      </c>
      <c r="B24" t="s">
        <v>194</v>
      </c>
      <c r="E24">
        <f t="shared" si="1"/>
        <v>0</v>
      </c>
    </row>
    <row r="25" spans="1:5">
      <c r="A25" t="s">
        <v>189</v>
      </c>
      <c r="B25" t="s">
        <v>195</v>
      </c>
      <c r="E25">
        <f t="shared" si="1"/>
        <v>0</v>
      </c>
    </row>
    <row r="26" spans="1:5">
      <c r="A26" t="s">
        <v>189</v>
      </c>
      <c r="B26" t="s">
        <v>196</v>
      </c>
      <c r="E26">
        <f t="shared" si="1"/>
        <v>0</v>
      </c>
    </row>
    <row r="27" spans="1:5">
      <c r="A27" t="s">
        <v>189</v>
      </c>
      <c r="B27" t="s">
        <v>197</v>
      </c>
      <c r="E27">
        <f t="shared" si="1"/>
        <v>0</v>
      </c>
    </row>
    <row r="28" spans="1:5">
      <c r="A28" t="s">
        <v>189</v>
      </c>
      <c r="B28" t="s">
        <v>198</v>
      </c>
      <c r="E28">
        <f t="shared" si="1"/>
        <v>0</v>
      </c>
    </row>
    <row r="29" spans="1:5">
      <c r="A29" t="s">
        <v>190</v>
      </c>
      <c r="B29" t="s">
        <v>193</v>
      </c>
      <c r="E29">
        <f t="shared" si="1"/>
        <v>0</v>
      </c>
    </row>
    <row r="30" spans="1:5">
      <c r="A30" t="s">
        <v>190</v>
      </c>
      <c r="B30" t="s">
        <v>191</v>
      </c>
      <c r="E30">
        <f t="shared" ref="E30:E35" si="2">D30/1000</f>
        <v>0</v>
      </c>
    </row>
    <row r="31" spans="1:5">
      <c r="A31" t="s">
        <v>190</v>
      </c>
      <c r="B31" t="s">
        <v>194</v>
      </c>
      <c r="E31">
        <f t="shared" si="2"/>
        <v>0</v>
      </c>
    </row>
    <row r="32" spans="1:5">
      <c r="A32" t="s">
        <v>190</v>
      </c>
      <c r="B32" t="s">
        <v>195</v>
      </c>
      <c r="E32">
        <f t="shared" si="2"/>
        <v>0</v>
      </c>
    </row>
    <row r="33" spans="1:5">
      <c r="A33" t="s">
        <v>190</v>
      </c>
      <c r="B33" t="s">
        <v>196</v>
      </c>
      <c r="E33">
        <f t="shared" si="2"/>
        <v>0</v>
      </c>
    </row>
    <row r="34" spans="1:5">
      <c r="A34" t="s">
        <v>190</v>
      </c>
      <c r="B34" t="s">
        <v>197</v>
      </c>
      <c r="E34">
        <f t="shared" si="2"/>
        <v>0</v>
      </c>
    </row>
    <row r="35" spans="1:5">
      <c r="A35" t="s">
        <v>190</v>
      </c>
      <c r="B35" t="s">
        <v>198</v>
      </c>
      <c r="E35">
        <f t="shared" si="2"/>
        <v>0</v>
      </c>
    </row>
    <row r="36" spans="1:5">
      <c r="A36" t="s">
        <v>191</v>
      </c>
      <c r="B36" t="s">
        <v>193</v>
      </c>
      <c r="E36">
        <f>D36/1000</f>
        <v>0</v>
      </c>
    </row>
    <row r="37" spans="1:5">
      <c r="A37" t="s">
        <v>191</v>
      </c>
      <c r="B37" t="s">
        <v>191</v>
      </c>
      <c r="E37">
        <f t="shared" ref="E37:E42" si="3">D37/1000</f>
        <v>0</v>
      </c>
    </row>
    <row r="38" spans="1:5">
      <c r="A38" t="s">
        <v>191</v>
      </c>
      <c r="B38" t="s">
        <v>194</v>
      </c>
      <c r="E38">
        <f t="shared" si="3"/>
        <v>0</v>
      </c>
    </row>
    <row r="39" spans="1:5">
      <c r="A39" t="s">
        <v>191</v>
      </c>
      <c r="B39" t="s">
        <v>195</v>
      </c>
      <c r="E39">
        <f t="shared" si="3"/>
        <v>0</v>
      </c>
    </row>
    <row r="40" spans="1:5">
      <c r="A40" t="s">
        <v>191</v>
      </c>
      <c r="B40" t="s">
        <v>196</v>
      </c>
      <c r="E40">
        <f t="shared" si="3"/>
        <v>0</v>
      </c>
    </row>
    <row r="41" spans="1:5">
      <c r="A41" t="s">
        <v>191</v>
      </c>
      <c r="B41" t="s">
        <v>197</v>
      </c>
      <c r="E41">
        <f t="shared" si="3"/>
        <v>0</v>
      </c>
    </row>
    <row r="42" spans="1:5">
      <c r="A42" t="s">
        <v>191</v>
      </c>
      <c r="B42" t="s">
        <v>198</v>
      </c>
      <c r="E42">
        <f t="shared" si="3"/>
        <v>0</v>
      </c>
    </row>
    <row r="43" spans="1:5">
      <c r="A43" t="s">
        <v>192</v>
      </c>
      <c r="B43" t="s">
        <v>193</v>
      </c>
      <c r="E43">
        <f>D43/1000</f>
        <v>0</v>
      </c>
    </row>
    <row r="44" spans="1:5">
      <c r="A44" t="s">
        <v>192</v>
      </c>
      <c r="B44" t="s">
        <v>191</v>
      </c>
      <c r="E44">
        <f t="shared" ref="E44:E49" si="4">D44/1000</f>
        <v>0</v>
      </c>
    </row>
    <row r="45" spans="1:5">
      <c r="A45" t="s">
        <v>192</v>
      </c>
      <c r="B45" t="s">
        <v>194</v>
      </c>
      <c r="E45">
        <f t="shared" si="4"/>
        <v>0</v>
      </c>
    </row>
    <row r="46" spans="1:5">
      <c r="A46" t="s">
        <v>192</v>
      </c>
      <c r="B46" t="s">
        <v>195</v>
      </c>
      <c r="E46">
        <f t="shared" si="4"/>
        <v>0</v>
      </c>
    </row>
    <row r="47" spans="1:5">
      <c r="A47" t="s">
        <v>192</v>
      </c>
      <c r="B47" t="s">
        <v>196</v>
      </c>
      <c r="E47">
        <f t="shared" si="4"/>
        <v>0</v>
      </c>
    </row>
    <row r="48" spans="1:5">
      <c r="A48" t="s">
        <v>192</v>
      </c>
      <c r="B48" t="s">
        <v>197</v>
      </c>
      <c r="E48">
        <f t="shared" si="4"/>
        <v>0</v>
      </c>
    </row>
    <row r="49" spans="1:5">
      <c r="A49" t="s">
        <v>192</v>
      </c>
      <c r="B49" t="s">
        <v>198</v>
      </c>
      <c r="E49">
        <f t="shared" si="4"/>
        <v>0</v>
      </c>
    </row>
    <row r="50" spans="1:5">
      <c r="A50" t="s">
        <v>200</v>
      </c>
      <c r="B50" t="s">
        <v>193</v>
      </c>
      <c r="E50">
        <f>D50/1000</f>
        <v>0</v>
      </c>
    </row>
    <row r="51" spans="1:5">
      <c r="A51" t="s">
        <v>200</v>
      </c>
      <c r="B51" t="s">
        <v>191</v>
      </c>
      <c r="E51">
        <f t="shared" ref="E51:E56" si="5">D51/1000</f>
        <v>0</v>
      </c>
    </row>
    <row r="52" spans="1:5">
      <c r="A52" t="s">
        <v>200</v>
      </c>
      <c r="B52" t="s">
        <v>194</v>
      </c>
      <c r="E52">
        <f t="shared" si="5"/>
        <v>0</v>
      </c>
    </row>
    <row r="53" spans="1:5">
      <c r="A53" t="s">
        <v>200</v>
      </c>
      <c r="B53" t="s">
        <v>195</v>
      </c>
      <c r="E53">
        <f t="shared" si="5"/>
        <v>0</v>
      </c>
    </row>
    <row r="54" spans="1:5">
      <c r="A54" t="s">
        <v>200</v>
      </c>
      <c r="B54" t="s">
        <v>196</v>
      </c>
      <c r="E54">
        <f t="shared" si="5"/>
        <v>0</v>
      </c>
    </row>
    <row r="55" spans="1:5">
      <c r="A55" t="s">
        <v>200</v>
      </c>
      <c r="B55" t="s">
        <v>197</v>
      </c>
      <c r="E55">
        <f t="shared" si="5"/>
        <v>0</v>
      </c>
    </row>
    <row r="56" spans="1:5">
      <c r="A56" t="s">
        <v>200</v>
      </c>
      <c r="B56" t="s">
        <v>198</v>
      </c>
      <c r="E56">
        <f t="shared" si="5"/>
        <v>0</v>
      </c>
    </row>
    <row r="57" spans="1:5">
      <c r="A57" t="s">
        <v>198</v>
      </c>
      <c r="B57" t="s">
        <v>193</v>
      </c>
      <c r="E57">
        <f>D57/1000</f>
        <v>0</v>
      </c>
    </row>
    <row r="58" spans="1:5">
      <c r="A58" t="s">
        <v>198</v>
      </c>
      <c r="B58" t="s">
        <v>191</v>
      </c>
      <c r="E58">
        <f t="shared" ref="E58:E63" si="6">D58/1000</f>
        <v>0</v>
      </c>
    </row>
    <row r="59" spans="1:5">
      <c r="A59" t="s">
        <v>198</v>
      </c>
      <c r="B59" t="s">
        <v>194</v>
      </c>
      <c r="E59">
        <f t="shared" si="6"/>
        <v>0</v>
      </c>
    </row>
    <row r="60" spans="1:5">
      <c r="A60" t="s">
        <v>198</v>
      </c>
      <c r="B60" t="s">
        <v>195</v>
      </c>
      <c r="E60">
        <f t="shared" si="6"/>
        <v>0</v>
      </c>
    </row>
    <row r="61" spans="1:5">
      <c r="A61" t="s">
        <v>198</v>
      </c>
      <c r="B61" t="s">
        <v>196</v>
      </c>
      <c r="E61">
        <f t="shared" si="6"/>
        <v>0</v>
      </c>
    </row>
    <row r="62" spans="1:5">
      <c r="A62" t="s">
        <v>198</v>
      </c>
      <c r="B62" t="s">
        <v>197</v>
      </c>
      <c r="E62">
        <f t="shared" si="6"/>
        <v>0</v>
      </c>
    </row>
    <row r="63" spans="1:5">
      <c r="A63" t="s">
        <v>201</v>
      </c>
      <c r="B63" t="s">
        <v>193</v>
      </c>
      <c r="E63">
        <f t="shared" si="6"/>
        <v>0</v>
      </c>
    </row>
    <row r="64" spans="1:5">
      <c r="A64" t="s">
        <v>201</v>
      </c>
      <c r="B64" t="s">
        <v>191</v>
      </c>
      <c r="E64">
        <f t="shared" ref="E64:E69" si="7">D64/1000</f>
        <v>0</v>
      </c>
    </row>
    <row r="65" spans="1:5">
      <c r="A65" t="s">
        <v>201</v>
      </c>
      <c r="B65" t="s">
        <v>194</v>
      </c>
      <c r="E65">
        <f t="shared" si="7"/>
        <v>0</v>
      </c>
    </row>
    <row r="66" spans="1:5">
      <c r="A66" t="s">
        <v>201</v>
      </c>
      <c r="B66" t="s">
        <v>195</v>
      </c>
      <c r="E66">
        <f t="shared" si="7"/>
        <v>0</v>
      </c>
    </row>
    <row r="67" spans="1:5">
      <c r="A67" t="s">
        <v>201</v>
      </c>
      <c r="B67" t="s">
        <v>196</v>
      </c>
      <c r="E67">
        <f t="shared" si="7"/>
        <v>0</v>
      </c>
    </row>
    <row r="68" spans="1:5">
      <c r="A68" t="s">
        <v>201</v>
      </c>
      <c r="B68" t="s">
        <v>197</v>
      </c>
      <c r="E68">
        <f t="shared" si="7"/>
        <v>0</v>
      </c>
    </row>
    <row r="69" spans="1:5">
      <c r="A69" t="s">
        <v>201</v>
      </c>
      <c r="B69" t="s">
        <v>198</v>
      </c>
      <c r="E69">
        <f t="shared" si="7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2025-03-14T12:53:19Z</dcterms:modified>
</cp:coreProperties>
</file>