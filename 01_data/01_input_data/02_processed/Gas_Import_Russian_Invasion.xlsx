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9BC5C993-06C4-45F9-B65F-0E00B046BADF}" xr6:coauthVersionLast="47" xr6:coauthVersionMax="47" xr10:uidLastSave="{00000000-0000-0000-0000-000000000000}"/>
  <bookViews>
    <workbookView xWindow="-5070" yWindow="-21720" windowWidth="38640" windowHeight="21120" firstSheet="3" activeTab="8" xr2:uid="{00000000-000D-0000-FFFF-FFFF00000000}"/>
  </bookViews>
  <sheets>
    <sheet name="nodes_lng" sheetId="1" r:id="rId1"/>
    <sheet name="nodes_gas_prod_europe_2020" sheetId="2" r:id="rId2"/>
    <sheet name="nodes_gas_prod_world_2020" sheetId="11" r:id="rId3"/>
    <sheet name="nodes_gas_prod_europe_2024" sheetId="7" r:id="rId4"/>
    <sheet name="nodes_gas_prod_world_2024" sheetId="12" r:id="rId5"/>
    <sheet name="nodes_demand_europe_2020" sheetId="3" r:id="rId6"/>
    <sheet name="nodes_demand_world_2020" sheetId="13" r:id="rId7"/>
    <sheet name="nodes_demand_europe_2023" sheetId="6" r:id="rId8"/>
    <sheet name="nodes_demand_world_2023" sheetId="14" r:id="rId9"/>
    <sheet name="Connections_2021" sheetId="4" r:id="rId10"/>
    <sheet name="Connections_2024" sheetId="8" r:id="rId11"/>
    <sheet name="Import_Connections_EU" sheetId="5" r:id="rId12"/>
    <sheet name="global_LNG_connections" sheetId="9" r:id="rId13"/>
    <sheet name="Global_Connections" sheetId="10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4" l="1"/>
  <c r="F2" i="14"/>
  <c r="C3" i="14"/>
  <c r="F3" i="14" s="1"/>
  <c r="E3" i="14"/>
  <c r="C4" i="14"/>
  <c r="E4" i="14"/>
  <c r="F4" i="14"/>
  <c r="E5" i="14"/>
  <c r="F5" i="14"/>
  <c r="C6" i="14"/>
  <c r="F6" i="14" s="1"/>
  <c r="E6" i="14"/>
  <c r="E7" i="14"/>
  <c r="F7" i="14"/>
  <c r="C8" i="14"/>
  <c r="F8" i="14" s="1"/>
  <c r="E8" i="14"/>
  <c r="E9" i="14"/>
  <c r="F9" i="14"/>
  <c r="C10" i="14"/>
  <c r="E10" i="14"/>
  <c r="F10" i="14"/>
  <c r="C11" i="14"/>
  <c r="F11" i="14" s="1"/>
  <c r="E11" i="14"/>
  <c r="E12" i="14"/>
  <c r="F12" i="14"/>
  <c r="E13" i="14"/>
  <c r="C14" i="14"/>
  <c r="F14" i="14" s="1"/>
  <c r="E14" i="14"/>
  <c r="E15" i="14"/>
  <c r="F15" i="14"/>
  <c r="E16" i="14"/>
  <c r="F16" i="14"/>
  <c r="E17" i="14"/>
  <c r="F17" i="14"/>
  <c r="E18" i="14"/>
  <c r="F18" i="14"/>
  <c r="E19" i="14"/>
  <c r="F19" i="14"/>
  <c r="E20" i="14"/>
  <c r="F20" i="14"/>
  <c r="C21" i="14"/>
  <c r="F21" i="14" s="1"/>
  <c r="E21" i="14"/>
  <c r="E22" i="14"/>
  <c r="F22" i="14"/>
  <c r="E2" i="13"/>
  <c r="F2" i="13"/>
  <c r="C3" i="13"/>
  <c r="E3" i="13"/>
  <c r="F3" i="13"/>
  <c r="C4" i="13"/>
  <c r="E4" i="13"/>
  <c r="F4" i="13"/>
  <c r="C5" i="13"/>
  <c r="F5" i="13" s="1"/>
  <c r="E5" i="13"/>
  <c r="C6" i="13"/>
  <c r="E6" i="13"/>
  <c r="F6" i="13"/>
  <c r="E7" i="13"/>
  <c r="F7" i="13"/>
  <c r="C8" i="13"/>
  <c r="F8" i="13" s="1"/>
  <c r="E8" i="13"/>
  <c r="E9" i="13"/>
  <c r="F9" i="13"/>
  <c r="E10" i="13"/>
  <c r="F10" i="13"/>
  <c r="C11" i="13"/>
  <c r="F11" i="13" s="1"/>
  <c r="E11" i="13"/>
  <c r="E12" i="13"/>
  <c r="F12" i="13"/>
  <c r="E13" i="13"/>
  <c r="C14" i="13"/>
  <c r="F14" i="13" s="1"/>
  <c r="E14" i="13"/>
  <c r="E15" i="13"/>
  <c r="F15" i="13"/>
  <c r="E16" i="13"/>
  <c r="F16" i="13"/>
  <c r="E17" i="13"/>
  <c r="F17" i="13"/>
  <c r="E18" i="13"/>
  <c r="F18" i="13"/>
  <c r="E19" i="13"/>
  <c r="F19" i="13"/>
  <c r="E20" i="13"/>
  <c r="F20" i="13"/>
  <c r="C21" i="13"/>
  <c r="E21" i="13"/>
  <c r="F21" i="13"/>
  <c r="E22" i="13"/>
  <c r="F22" i="13"/>
  <c r="E2" i="12"/>
  <c r="F2" i="12"/>
  <c r="C3" i="12"/>
  <c r="E3" i="12"/>
  <c r="F3" i="12"/>
  <c r="C4" i="12"/>
  <c r="E4" i="12"/>
  <c r="F4" i="12"/>
  <c r="E5" i="12"/>
  <c r="F5" i="12"/>
  <c r="C6" i="12"/>
  <c r="E6" i="12"/>
  <c r="F6" i="12"/>
  <c r="E7" i="12"/>
  <c r="F7" i="12"/>
  <c r="C8" i="12"/>
  <c r="F8" i="12" s="1"/>
  <c r="E8" i="12"/>
  <c r="E9" i="12"/>
  <c r="F9" i="12"/>
  <c r="E10" i="12"/>
  <c r="F10" i="12"/>
  <c r="E11" i="12"/>
  <c r="F11" i="12"/>
  <c r="E12" i="12"/>
  <c r="F12" i="12"/>
  <c r="E13" i="12"/>
  <c r="C14" i="12"/>
  <c r="E14" i="12"/>
  <c r="F14" i="12"/>
  <c r="E15" i="12"/>
  <c r="F15" i="12"/>
  <c r="C16" i="12"/>
  <c r="C13" i="12" s="1"/>
  <c r="F13" i="12" s="1"/>
  <c r="E16" i="12"/>
  <c r="F16" i="12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C3" i="11"/>
  <c r="E3" i="11"/>
  <c r="G3" i="11"/>
  <c r="C4" i="11"/>
  <c r="G4" i="11" s="1"/>
  <c r="E4" i="11"/>
  <c r="E5" i="11"/>
  <c r="G5" i="11"/>
  <c r="C6" i="11"/>
  <c r="E6" i="11"/>
  <c r="G6" i="11"/>
  <c r="E7" i="11"/>
  <c r="G7" i="11"/>
  <c r="C8" i="11"/>
  <c r="G8" i="11" s="1"/>
  <c r="E8" i="11"/>
  <c r="E9" i="11"/>
  <c r="G9" i="11"/>
  <c r="E10" i="11"/>
  <c r="G10" i="11"/>
  <c r="E11" i="11"/>
  <c r="G11" i="11"/>
  <c r="E12" i="11"/>
  <c r="G12" i="11"/>
  <c r="E13" i="11"/>
  <c r="C14" i="11"/>
  <c r="E14" i="11"/>
  <c r="G14" i="11"/>
  <c r="E15" i="11"/>
  <c r="G15" i="11"/>
  <c r="C16" i="11"/>
  <c r="C13" i="11" s="1"/>
  <c r="G13" i="11" s="1"/>
  <c r="E16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8" i="10"/>
  <c r="G12" i="10"/>
  <c r="G11" i="10"/>
  <c r="G6" i="10"/>
  <c r="E5" i="10"/>
  <c r="G5" i="10"/>
  <c r="G3" i="10"/>
  <c r="G49" i="9"/>
  <c r="G204" i="9"/>
  <c r="G210" i="9"/>
  <c r="G213" i="9"/>
  <c r="E203" i="9"/>
  <c r="E211" i="9"/>
  <c r="E214" i="9"/>
  <c r="E200" i="9"/>
  <c r="E201" i="9"/>
  <c r="E202" i="9"/>
  <c r="E204" i="9"/>
  <c r="E205" i="9"/>
  <c r="E206" i="9"/>
  <c r="E207" i="9"/>
  <c r="E208" i="9"/>
  <c r="E209" i="9"/>
  <c r="E210" i="9"/>
  <c r="E212" i="9"/>
  <c r="E213" i="9"/>
  <c r="E215" i="9"/>
  <c r="G200" i="9"/>
  <c r="G201" i="9"/>
  <c r="G202" i="9"/>
  <c r="G203" i="9"/>
  <c r="G205" i="9"/>
  <c r="G206" i="9"/>
  <c r="G207" i="9"/>
  <c r="G208" i="9"/>
  <c r="G209" i="9"/>
  <c r="G211" i="9"/>
  <c r="G212" i="9"/>
  <c r="G214" i="9"/>
  <c r="G215" i="9"/>
  <c r="E199" i="9"/>
  <c r="G199" i="9"/>
  <c r="E184" i="9"/>
  <c r="E186" i="9"/>
  <c r="E187" i="9"/>
  <c r="E190" i="9"/>
  <c r="E183" i="9"/>
  <c r="E185" i="9"/>
  <c r="E188" i="9"/>
  <c r="E189" i="9"/>
  <c r="E191" i="9"/>
  <c r="E192" i="9"/>
  <c r="E193" i="9"/>
  <c r="E194" i="9"/>
  <c r="E195" i="9"/>
  <c r="E196" i="9"/>
  <c r="E197" i="9"/>
  <c r="E198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E182" i="9"/>
  <c r="G182" i="9"/>
  <c r="G46" i="9"/>
  <c r="G45" i="9"/>
  <c r="G44" i="9"/>
  <c r="G43" i="9"/>
  <c r="E167" i="9"/>
  <c r="E169" i="9"/>
  <c r="E170" i="9"/>
  <c r="E173" i="9"/>
  <c r="E166" i="9"/>
  <c r="E168" i="9"/>
  <c r="E171" i="9"/>
  <c r="E172" i="9"/>
  <c r="E174" i="9"/>
  <c r="E175" i="9"/>
  <c r="E176" i="9"/>
  <c r="E177" i="9"/>
  <c r="E178" i="9"/>
  <c r="E179" i="9"/>
  <c r="E180" i="9"/>
  <c r="E181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E165" i="9"/>
  <c r="G165" i="9"/>
  <c r="E152" i="9"/>
  <c r="E156" i="9"/>
  <c r="E149" i="9"/>
  <c r="E150" i="9"/>
  <c r="E151" i="9"/>
  <c r="E153" i="9"/>
  <c r="E154" i="9"/>
  <c r="E155" i="9"/>
  <c r="E157" i="9"/>
  <c r="E158" i="9"/>
  <c r="E159" i="9"/>
  <c r="E160" i="9"/>
  <c r="E161" i="9"/>
  <c r="E162" i="9"/>
  <c r="E163" i="9"/>
  <c r="E164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E148" i="9"/>
  <c r="G148" i="9"/>
  <c r="G134" i="9"/>
  <c r="E138" i="9"/>
  <c r="E131" i="9"/>
  <c r="E132" i="9"/>
  <c r="E133" i="9"/>
  <c r="E134" i="9"/>
  <c r="E135" i="9"/>
  <c r="E136" i="9"/>
  <c r="E137" i="9"/>
  <c r="E139" i="9"/>
  <c r="E140" i="9"/>
  <c r="E141" i="9"/>
  <c r="E142" i="9"/>
  <c r="E143" i="9"/>
  <c r="E144" i="9"/>
  <c r="E145" i="9"/>
  <c r="E146" i="9"/>
  <c r="E147" i="9"/>
  <c r="G131" i="9"/>
  <c r="G132" i="9"/>
  <c r="G133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E120" i="9"/>
  <c r="E121" i="9"/>
  <c r="E122" i="9"/>
  <c r="E126" i="9"/>
  <c r="E127" i="9"/>
  <c r="E115" i="9"/>
  <c r="E116" i="9"/>
  <c r="E117" i="9"/>
  <c r="E118" i="9"/>
  <c r="E119" i="9"/>
  <c r="E123" i="9"/>
  <c r="E124" i="9"/>
  <c r="E125" i="9"/>
  <c r="E128" i="9"/>
  <c r="E129" i="9"/>
  <c r="E130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E114" i="9"/>
  <c r="G114" i="9"/>
  <c r="E99" i="9"/>
  <c r="E101" i="9"/>
  <c r="E102" i="9"/>
  <c r="E105" i="9"/>
  <c r="E98" i="9"/>
  <c r="E100" i="9"/>
  <c r="E103" i="9"/>
  <c r="E104" i="9"/>
  <c r="E106" i="9"/>
  <c r="E107" i="9"/>
  <c r="E108" i="9"/>
  <c r="E109" i="9"/>
  <c r="E110" i="9"/>
  <c r="E111" i="9"/>
  <c r="E112" i="9"/>
  <c r="E113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E97" i="9"/>
  <c r="G97" i="9"/>
  <c r="E82" i="9"/>
  <c r="E84" i="9"/>
  <c r="E85" i="9"/>
  <c r="E86" i="9"/>
  <c r="E88" i="9"/>
  <c r="E94" i="9"/>
  <c r="E81" i="9"/>
  <c r="E83" i="9"/>
  <c r="E87" i="9"/>
  <c r="E89" i="9"/>
  <c r="E90" i="9"/>
  <c r="E91" i="9"/>
  <c r="E92" i="9"/>
  <c r="E93" i="9"/>
  <c r="E95" i="9"/>
  <c r="E96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E80" i="9"/>
  <c r="G80" i="9"/>
  <c r="E76" i="9"/>
  <c r="E77" i="9"/>
  <c r="E78" i="9"/>
  <c r="E79" i="9"/>
  <c r="E75" i="9"/>
  <c r="G75" i="9"/>
  <c r="G76" i="9"/>
  <c r="G77" i="9"/>
  <c r="G78" i="9"/>
  <c r="G79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13" i="14" l="1"/>
  <c r="F13" i="14" s="1"/>
  <c r="C13" i="13"/>
  <c r="F13" i="13" s="1"/>
  <c r="G16" i="1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E11" i="7"/>
  <c r="F11" i="7" s="1"/>
  <c r="M10" i="7"/>
  <c r="L10" i="7"/>
  <c r="E10" i="7"/>
  <c r="F10" i="7" s="1"/>
  <c r="M9" i="7"/>
  <c r="L9" i="7"/>
  <c r="E9" i="7"/>
  <c r="F9" i="7" s="1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G2" i="2" s="1"/>
  <c r="E40" i="2"/>
  <c r="G40" i="2" s="1"/>
  <c r="F6" i="6"/>
  <c r="F14" i="6"/>
  <c r="F18" i="6"/>
  <c r="F34" i="6"/>
  <c r="F17" i="3"/>
  <c r="D42" i="6"/>
  <c r="D41" i="6"/>
  <c r="D40" i="6"/>
  <c r="F40" i="6" s="1"/>
  <c r="D39" i="6"/>
  <c r="F39" i="6" s="1"/>
  <c r="D38" i="6"/>
  <c r="F38" i="6" s="1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F30" i="6" s="1"/>
  <c r="D29" i="6"/>
  <c r="F29" i="6" s="1"/>
  <c r="D28" i="6"/>
  <c r="F28" i="6" s="1"/>
  <c r="D27" i="6"/>
  <c r="F27" i="6" s="1"/>
  <c r="D26" i="6"/>
  <c r="F26" i="6" s="1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F10" i="6" s="1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G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<sst xmlns="http://schemas.openxmlformats.org/spreadsheetml/2006/main" count="2008" uniqueCount="281">
  <si>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</si>
  <si>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</si>
  <si>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</si>
  <si>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</si>
  <si>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</si>
  <si>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</si>
  <si>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</si>
  <si>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</si>
  <si>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</si>
  <si>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</si>
  <si>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</si>
  <si>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</si>
  <si>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</si>
  <si>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</si>
  <si>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</si>
  <si>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</si>
  <si>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</si>
  <si>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</si>
  <si>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</si>
  <si>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</si>
  <si>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</si>
  <si>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</si>
  <si>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</si>
  <si>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</si>
  <si>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</si>
  <si>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</si>
  <si>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</si>
  <si>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</si>
  <si>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</si>
  <si>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</si>
  <si>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</si>
  <si>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</si>
  <si>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</si>
  <si>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</si>
  <si>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</si>
  <si>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</si>
  <si>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</si>
  <si>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</si>
  <si>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</si>
  <si>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</si>
  <si>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</si>
  <si>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</si>
  <si>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</si>
  <si>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</si>
  <si>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</si>
  <si>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</si>
  <si>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</si>
  <si>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</si>
  <si>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</si>
  <si>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</si>
  <si>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</si>
  <si>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</si>
  <si>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</si>
  <si>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</si>
  <si>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</si>
  <si>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</si>
  <si>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</si>
  <si>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</si>
  <si>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</si>
  <si>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</si>
  <si>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</si>
  <si>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</si>
  <si>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</si>
  <si>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</si>
  <si>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</si>
  <si>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</si>
  <si>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</si>
  <si>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</si>
  <si>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</si>
  <si>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</si>
  <si>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</si>
  <si>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</si>
  <si>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</si>
  <si>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</si>
  <si>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</si>
  <si>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</si>
  <si>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</si>
  <si>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</si>
  <si>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</si>
  <si>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</si>
  <si>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</si>
  <si>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</si>
  <si>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</si>
  <si>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</si>
  <si>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</si>
  <si>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</si>
  <si>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</si>
  <si>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</si>
  <si>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</si>
  <si>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</si>
  <si>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</si>
  <si>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</si>
  <si>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</si>
  <si>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</si>
  <si>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</si>
  <si>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</si>
  <si>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</si>
  <si>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</si>
  <si>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</si>
  <si>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</si>
  <si>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</si>
  <si>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</si>
  <si>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</si>
  <si>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</si>
  <si>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</si>
  <si>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</si>
  <si>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</si>
  <si>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</si>
  <si>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</si>
  <si>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</si>
  <si>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</si>
  <si>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</si>
  <si>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</si>
  <si>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</si>
  <si>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</si>
  <si>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</si>
  <si>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</si>
  <si>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</si>
  <si>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</si>
  <si>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</si>
  <si>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</si>
  <si>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</si>
  <si>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</si>
  <si>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</si>
  <si>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</si>
  <si>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</si>
  <si>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</si>
  <si>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</si>
  <si>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</si>
  <si>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</si>
  <si>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</si>
  <si>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</si>
  <si>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</si>
  <si>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</si>
  <si>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</si>
  <si>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</si>
  <si>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</si>
  <si>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</si>
  <si>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</si>
  <si>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</si>
  <si>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</si>
  <si>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</si>
  <si>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</si>
  <si>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</si>
  <si>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</si>
  <si>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</si>
  <si>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</si>
  <si>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</si>
  <si>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</si>
  <si>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</si>
  <si>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</si>
  <si>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</si>
  <si>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</si>
  <si>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</si>
  <si>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</si>
  <si>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</si>
  <si>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</si>
  <si>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</si>
  <si>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</si>
  <si>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</si>
  <si>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</si>
  <si>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</si>
  <si>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</si>
  <si>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</si>
  <si>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</si>
  <si>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</si>
  <si>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</si>
  <si>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</si>
  <si>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</si>
  <si>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</si>
  <si>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</si>
  <si>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</si>
  <si>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</si>
  <si>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</si>
  <si>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</si>
  <si>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</si>
  <si>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</si>
  <si>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</si>
  <si>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</si>
  <si>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</si>
  <si>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</si>
  <si>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</si>
  <si>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</si>
  <si>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</si>
  <si>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</si>
  <si>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</si>
  <si>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</si>
  <si>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</si>
  <si>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</si>
  <si>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</si>
  <si>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</si>
  <si>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</si>
  <si>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</si>
  <si>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</si>
  <si>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</si>
  <si>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</si>
  <si>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</si>
  <si>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</si>
  <si>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</si>
  <si>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</si>
  <si>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</si>
  <si>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</si>
  <si>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</si>
  <si>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</si>
  <si>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</si>
  <si>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</si>
  <si>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</si>
  <si>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GR_LNG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</si>
  <si>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</si>
  <si>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</si>
  <si>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</si>
  <si>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</si>
  <si>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</si>
  <si>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</si>
  <si>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</si>
  <si>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</si>
  <si>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</si>
  <si>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</si>
  <si>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</si>
  <si>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</si>
  <si>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</si>
  <si>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</si>
  <si>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</si>
  <si>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</si>
  <si>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</si>
  <si>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</si>
  <si>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</si>
  <si>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</si>
  <si>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</si>
  <si>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</si>
  <si>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</si>
  <si>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</si>
  <si>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</si>
  <si>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</si>
  <si>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</si>
  <si>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</si>
  <si>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</si>
  <si>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</si>
  <si>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</si>
  <si>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</si>
  <si>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</si>
  <si>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</si>
  <si>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</si>
  <si>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</si>
  <si>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</si>
  <si>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</si>
  <si>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</si>
  <si>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</si>
  <si>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</si>
  <si>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</si>
  <si>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</si>
  <si>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</si>
  <si>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</si>
  <si>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</si>
  <si>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</si>
  <si>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</si>
  <si>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</si>
  <si>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</si>
  <si>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</si>
  <si>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</si>
  <si>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</si>
  <si>
    <t>Isle of Grain</t>
  </si>
  <si>
    <t>Dunkirk</t>
  </si>
  <si>
    <t xml:space="preserve">RU from Sabetta (plus 1200 mi to west, minus 1200 mi to east as Murmansk is the closest port) except for JS, there it's from Vladivostok </t>
  </si>
  <si>
    <t>comment</t>
  </si>
  <si>
    <t>NA</t>
  </si>
  <si>
    <t>AZ data?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</si>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</sst>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6">
    <dxf>
      <numFmt numFmtId="2" formatCode="0.00"/>
    </dxf>
    <dxf>
      <numFmt numFmtId="164" formatCode="0.0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5"/>
    <tableColumn id="5" xr3:uid="{4278F9D8-E46F-44B9-A622-727B8E2C8EF1}" name="Mil m3 EU [2020]" dataDxfId="44"/>
    <tableColumn id="6" xr3:uid="{F2BDB73C-713D-4BC7-B762-048AA072F297}" name="Mrd m3 EU [2020]" dataDxfId="43">
      <calculatedColumnFormula>Table2[[#This Row],[Mil m3 EU '[2020']]]/1000</calculatedColumnFormula>
    </tableColumn>
    <tableColumn id="7" xr3:uid="{337F5DC2-FD6B-445B-A2F7-5464B34B589E}" name="GWh [2020]" dataDxfId="42">
      <calculatedColumnFormula>Table2[[#This Row],[TWh '[2020']2]]*1000</calculatedColumnFormula>
    </tableColumn>
    <tableColumn id="4" xr3:uid="{5BB2DA97-8C23-44BC-9268-BDBE2BCDBBC8}" name="TWh [2020]2" dataDxfId="41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6" totalsRowShown="0" headerRowDxfId="40" headerRowBorderDxfId="39" tableBorderDxfId="38">
  <autoFilter ref="A1:G16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7">
      <calculatedColumnFormula>Table7[[#This Row],[Mil m3 '[2020']]]/1000</calculatedColumnFormula>
    </tableColumn>
    <tableColumn id="7" xr3:uid="{4A1E0E2A-2ECC-45EB-9D63-EC01B197BAA8}" name="GWh [2020]" dataDxfId="36">
      <calculatedColumnFormula>Table7[[#This Row],[TWh '[2020']2]]*1000</calculatedColumnFormula>
    </tableColumn>
    <tableColumn id="6" xr3:uid="{ECFA587C-DE79-4510-9945-328AB8DBC35F}" name="TWh [2020]2" dataDxfId="35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4"/>
    <tableColumn id="5" xr3:uid="{42F1A333-D727-4655-B618-A9AB5617745F}" name="Mil m3 EU [2020]" dataDxfId="33"/>
    <tableColumn id="6" xr3:uid="{326B3A9A-70B2-4D34-8E01-54CBBD0565E6}" name="Mrd m3 EU [2020]" dataDxfId="32">
      <calculatedColumnFormula>Table26[[#This Row],[Mil m3 EU '[2020']]]/1000</calculatedColumnFormula>
    </tableColumn>
    <tableColumn id="4" xr3:uid="{DC1916A1-B3CC-4586-AE6D-12CF46A9C0F0}" name="TWh [2020]" dataDxfId="31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F16" totalsRowShown="0" headerRowDxfId="14" headerRowBorderDxfId="12" tableBorderDxfId="13">
  <autoFilter ref="A1:F16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11">
      <calculatedColumnFormula>Table79[[#This Row],[Mil m3 '[2020']]]/1000</calculatedColumnFormula>
    </tableColumn>
    <tableColumn id="6" xr3:uid="{0CF67BB6-4E02-4893-BB83-4858F32AB909}" name="TWh [2020]" dataDxfId="10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30"/>
    <tableColumn id="4" xr3:uid="{1618AAC4-0782-47C3-91CE-2FEB95FBDD58}" name="TWh [2020]" dataDxfId="29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8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F22" totalsRowShown="0" headerRowDxfId="9" headerRowBorderDxfId="7" tableBorderDxfId="8">
  <autoFilter ref="A1:F22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6">
      <calculatedColumnFormula>Table7910[[#This Row],[Mil m3 '[2020']]]/1000</calculatedColumnFormula>
    </tableColumn>
    <tableColumn id="6" xr3:uid="{44160680-3C35-4A7A-9677-B7F78304684A}" name="TWh [2020]" dataDxfId="5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7"/>
    <tableColumn id="4" xr3:uid="{60E83C2D-D521-4D6A-800D-160C3176DFC7}" name="TWh [2023]" dataDxfId="26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25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F22" totalsRowShown="0" headerRowDxfId="4" headerRowBorderDxfId="2" tableBorderDxfId="3">
  <autoFilter ref="A1:F22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">
      <calculatedColumnFormula>Table791011[[#This Row],[Mil m3 '[2020']]]/1000</calculatedColumnFormula>
    </tableColumn>
    <tableColumn id="6" xr3:uid="{28EBAF35-966D-44B9-8859-9AC70136DAAC}" name="TWh [2020]" dataDxfId="0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24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23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215" totalsRowShown="0" headerRowDxfId="22" headerRowBorderDxfId="21" tableBorderDxfId="20" totalsRowBorderDxfId="19">
  <autoFilter ref="A1:I215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8">
      <calculatedColumnFormula>LNG_global[[#This Row],[Distance '[miles']]]*1.60934449789256</calculatedColumnFormula>
    </tableColumn>
    <tableColumn id="9" xr3:uid="{DD9D70F1-D00A-43D9-9F09-037C2573E34A}" name="Suez or Panama" dataDxfId="17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6">
      <calculatedColumnFormula>C2*9.77*1000</calculatedColumnFormula>
    </tableColumn>
    <tableColumn id="5" xr3:uid="{01416B1F-02D4-4015-854F-1DF81E1DF7B6}" name="TWh/a" dataDxfId="15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I5" sqref="I5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278</v>
      </c>
      <c r="J4" t="s">
        <v>102</v>
      </c>
      <c r="L4" t="str">
        <f t="shared" si="2"/>
        <v>EL_LNG</v>
      </c>
      <c r="M4" t="str">
        <f t="shared" si="3"/>
        <v>EL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22" workbookViewId="0">
      <selection activeCell="F31" sqref="F31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280</v>
      </c>
      <c r="G1" t="s">
        <v>279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103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278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134</v>
      </c>
    </row>
    <row r="48" spans="1:14">
      <c r="A48" t="s">
        <v>80</v>
      </c>
      <c r="B48" t="s">
        <v>90</v>
      </c>
      <c r="I48" t="s">
        <v>139</v>
      </c>
    </row>
    <row r="49" spans="1:2">
      <c r="A49" t="s">
        <v>124</v>
      </c>
      <c r="B4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19"/>
  <sheetViews>
    <sheetView workbookViewId="0">
      <selection activeCell="H7" sqref="H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174</v>
      </c>
      <c r="E1" s="12" t="s">
        <v>175</v>
      </c>
      <c r="F1" s="13" t="s">
        <v>280</v>
      </c>
      <c r="G1" s="13" t="s">
        <v>279</v>
      </c>
    </row>
    <row r="2" spans="1:7">
      <c r="A2" t="s">
        <v>153</v>
      </c>
      <c r="B2" s="6" t="s">
        <v>153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201</v>
      </c>
      <c r="B3" t="s">
        <v>164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154</v>
      </c>
      <c r="B4" t="s">
        <v>165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155</v>
      </c>
      <c r="B5" t="s">
        <v>166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156</v>
      </c>
      <c r="B6" t="s">
        <v>167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157</v>
      </c>
      <c r="B7" t="s">
        <v>179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158</v>
      </c>
      <c r="B8" t="s">
        <v>168</v>
      </c>
      <c r="C8" s="2">
        <f>231.909048813308-nodes_gas_prod_europe_2020!C21-nodes_gas_prod_europe_2020!C3-nodes_gas_prod_europe_2020!C37-C15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159</v>
      </c>
      <c r="B9" t="s">
        <v>169</v>
      </c>
      <c r="C9">
        <v>145.71638020075315</v>
      </c>
      <c r="E9" s="2">
        <f>Table7[[#This Row],[Mil m3 '[2020']]]/1000</f>
        <v>0</v>
      </c>
      <c r="F9" s="2">
        <f>Table7[[#This Row],[TWh '[2020']2]]*1000</f>
        <v>1423649.0345613582</v>
      </c>
      <c r="G9" s="3">
        <f>IF(Table7[[#This Row],[Mil m3 '[2020']]]&gt;0,Table7[[#This Row],[Mrd m3 '[2020']2]],Table7[[#This Row],[Mrd m3 '[2020']]])*9.77</f>
        <v>1423.6490345613581</v>
      </c>
    </row>
    <row r="10" spans="1:7">
      <c r="A10" t="s">
        <v>160</v>
      </c>
      <c r="B10" t="s">
        <v>170</v>
      </c>
      <c r="C10">
        <v>194.00921828908548</v>
      </c>
      <c r="E10" s="2">
        <f>Table7[[#This Row],[Mil m3 '[2020']]]/1000</f>
        <v>0</v>
      </c>
      <c r="F10" s="2">
        <f>Table7[[#This Row],[TWh '[2020']2]]*1000</f>
        <v>1895470.0626843651</v>
      </c>
      <c r="G10" s="3">
        <f>IF(Table7[[#This Row],[Mil m3 '[2020']]]&gt;0,Table7[[#This Row],[Mrd m3 '[2020']2]],Table7[[#This Row],[Mrd m3 '[2020']]])*9.77</f>
        <v>1895.4700626843651</v>
      </c>
    </row>
    <row r="11" spans="1:7">
      <c r="A11" t="s">
        <v>161</v>
      </c>
      <c r="B11" t="s">
        <v>171</v>
      </c>
      <c r="C11">
        <v>0</v>
      </c>
      <c r="E11" s="2">
        <f>Table7[[#This Row],[Mil m3 '[2020']]]/1000</f>
        <v>0</v>
      </c>
      <c r="F11" s="2">
        <f>Table7[[#This Row],[TWh '[2020']2]]*1000</f>
        <v>0</v>
      </c>
      <c r="G11" s="3">
        <f>IF(Table7[[#This Row],[Mil m3 '[2020']]]&gt;0,Table7[[#This Row],[Mrd m3 '[2020']2]],Table7[[#This Row],[Mrd m3 '[2020']]])*9.77</f>
        <v>0</v>
      </c>
    </row>
    <row r="12" spans="1:7">
      <c r="A12" t="s">
        <v>162</v>
      </c>
      <c r="B12" t="s">
        <v>172</v>
      </c>
      <c r="C12">
        <v>23.760626555099513</v>
      </c>
      <c r="E12" s="2">
        <f>Table7[[#This Row],[Mil m3 '[2020']]]/1000</f>
        <v>0</v>
      </c>
      <c r="F12" s="2">
        <f>Table7[[#This Row],[TWh '[2020']2]]*1000</f>
        <v>232141.32144332223</v>
      </c>
      <c r="G12" s="3">
        <f>IF(Table7[[#This Row],[Mil m3 '[2020']]]&gt;0,Table7[[#This Row],[Mrd m3 '[2020']2]],Table7[[#This Row],[Mrd m3 '[2020']]])*9.77</f>
        <v>232.14132144332223</v>
      </c>
    </row>
    <row r="13" spans="1:7">
      <c r="A13" t="s">
        <v>163</v>
      </c>
      <c r="B13" t="s">
        <v>173</v>
      </c>
      <c r="C13">
        <f>656.2735508682-C12-C10-C9-C11-C16</f>
        <v>154.99710695848057</v>
      </c>
      <c r="E13" s="2">
        <f>Table7[[#This Row],[Mil m3 '[2020']]]/1000</f>
        <v>0</v>
      </c>
      <c r="F13" s="2">
        <f>Table7[[#This Row],[TWh '[2020']2]]*1000</f>
        <v>1514321.734984355</v>
      </c>
      <c r="G13" s="3">
        <f>IF(Table7[[#This Row],[Mil m3 '[2020']]]&gt;0,Table7[[#This Row],[Mrd m3 '[2020']2]],Table7[[#This Row],[Mrd m3 '[2020']]])*9.77</f>
        <v>1514.3217349843551</v>
      </c>
    </row>
    <row r="14" spans="1:7">
      <c r="A14" t="s">
        <v>176</v>
      </c>
      <c r="B14" t="s">
        <v>177</v>
      </c>
      <c r="C14">
        <f>808.357450256401-638.446656032448</f>
        <v>169.91079422395296</v>
      </c>
      <c r="E14" s="2">
        <f>Table7[[#This Row],[Mil m3 '[2020']]]/1000</f>
        <v>0</v>
      </c>
      <c r="F14" s="2">
        <f>Table7[[#This Row],[TWh '[2020']2]]*1000</f>
        <v>1660028.4595680204</v>
      </c>
      <c r="G14" s="3">
        <f>IF(Table7[[#This Row],[Mil m3 '[2020']]]&gt;0,Table7[[#This Row],[Mrd m3 '[2020']2]],Table7[[#This Row],[Mrd m3 '[2020']]])*9.77</f>
        <v>1660.0284595680205</v>
      </c>
    </row>
    <row r="15" spans="1:7">
      <c r="A15" t="s">
        <v>182</v>
      </c>
      <c r="B15" t="s">
        <v>183</v>
      </c>
      <c r="C15">
        <v>58.465174157714841</v>
      </c>
      <c r="E15" s="2">
        <f>Table7[[#This Row],[Mil m3 '[2020']]]/1000</f>
        <v>0</v>
      </c>
      <c r="F15" s="2">
        <f>Table7[[#This Row],[TWh '[2020']2]]*1000</f>
        <v>571204.75152087398</v>
      </c>
      <c r="G15" s="3">
        <f>IF(Table7[[#This Row],[Mil m3 '[2020']]]&gt;0,Table7[[#This Row],[Mrd m3 '[2020']2]],Table7[[#This Row],[Mrd m3 '[2020']]])*9.77</f>
        <v>571.20475152087397</v>
      </c>
    </row>
    <row r="16" spans="1:7">
      <c r="A16" t="s">
        <v>197</v>
      </c>
      <c r="B16" t="s">
        <v>200</v>
      </c>
      <c r="C16">
        <f>64.6974253845862+73.0927934801951</f>
        <v>137.79021886478131</v>
      </c>
      <c r="E16" s="2">
        <f>Table7[[#This Row],[Mil m3 '[2020']]]/1000</f>
        <v>0</v>
      </c>
      <c r="F16" s="2">
        <f>Table7[[#This Row],[TWh '[2020']2]]*1000</f>
        <v>1346210.4383089133</v>
      </c>
      <c r="G16" s="3">
        <f>IF(Table7[[#This Row],[Mil m3 '[2020']]]&gt;0,Table7[[#This Row],[Mrd m3 '[2020']2]],Table7[[#This Row],[Mrd m3 '[2020']]])*9.77</f>
        <v>1346.2104383089134</v>
      </c>
    </row>
    <row r="19" spans="1:1">
      <c r="A19" t="s">
        <v>134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topLeftCell="A16" workbookViewId="0">
      <selection activeCell="A47" sqref="A47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2">
      <c r="A49" t="s">
        <v>124</v>
      </c>
      <c r="B49" t="s">
        <v>122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F19"/>
  <sheetViews>
    <sheetView workbookViewId="0">
      <selection activeCell="D26" sqref="D26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6">
      <c r="A1" s="12" t="s">
        <v>16</v>
      </c>
      <c r="B1" s="12" t="s">
        <v>56</v>
      </c>
      <c r="C1" s="12" t="s">
        <v>85</v>
      </c>
      <c r="D1" s="12" t="s">
        <v>174</v>
      </c>
      <c r="E1" s="12" t="s">
        <v>175</v>
      </c>
      <c r="F1" s="13" t="s">
        <v>106</v>
      </c>
    </row>
    <row r="2" spans="1:6">
      <c r="A2" t="s">
        <v>153</v>
      </c>
      <c r="B2" s="6" t="s">
        <v>153</v>
      </c>
      <c r="C2" s="7">
        <v>1035.2966874829399</v>
      </c>
      <c r="D2" s="7"/>
      <c r="E2" s="7">
        <f>Table79[[#This Row],[Mil m3 '[2020']]]/1000</f>
        <v>0</v>
      </c>
      <c r="F2" s="3">
        <f>IF(Table79[[#This Row],[Mil m3 '[2020']]]&gt;0,Table79[[#This Row],[Mrd m3 '[2020']2]],Table79[[#This Row],[Mrd m3 '[2020']]])*9.77</f>
        <v>10114.848636708322</v>
      </c>
    </row>
    <row r="3" spans="1:6">
      <c r="A3" t="s">
        <v>201</v>
      </c>
      <c r="B3" t="s">
        <v>164</v>
      </c>
      <c r="C3">
        <f>1261.13549926252-1035.29668748294</f>
        <v>225.83881177958006</v>
      </c>
      <c r="E3" s="2">
        <f>Table79[[#This Row],[Mil m3 '[2020']]]/1000</f>
        <v>0</v>
      </c>
      <c r="F3" s="3">
        <f>IF(Table79[[#This Row],[Mil m3 '[2020']]]&gt;0,Table79[[#This Row],[Mrd m3 '[2020']2]],Table79[[#This Row],[Mrd m3 '[2020']]])*9.77</f>
        <v>2206.4451910864968</v>
      </c>
    </row>
    <row r="4" spans="1:6">
      <c r="A4" t="s">
        <v>154</v>
      </c>
      <c r="B4" t="s">
        <v>165</v>
      </c>
      <c r="C4">
        <f>162.021478179314-24.9936060429938</f>
        <v>137.02787213632018</v>
      </c>
      <c r="E4" s="2">
        <f>Table79[[#This Row],[Mil m3 '[2020']]]/1000</f>
        <v>0</v>
      </c>
      <c r="F4" s="3">
        <f>IF(Table79[[#This Row],[Mil m3 '[2020']]]&gt;0,Table79[[#This Row],[Mrd m3 '[2020']2]],Table79[[#This Row],[Mrd m3 '[2020']]])*9.77</f>
        <v>1338.7623107718482</v>
      </c>
    </row>
    <row r="5" spans="1:6">
      <c r="A5" t="s">
        <v>155</v>
      </c>
      <c r="B5" t="s">
        <v>166</v>
      </c>
      <c r="C5">
        <v>24.9936060429938</v>
      </c>
      <c r="E5" s="2">
        <f>Table79[[#This Row],[Mil m3 '[2020']]]/1000</f>
        <v>0</v>
      </c>
      <c r="F5" s="3">
        <f>IF(Table79[[#This Row],[Mil m3 '[2020']]]&gt;0,Table79[[#This Row],[Mrd m3 '[2020']2]],Table79[[#This Row],[Mrd m3 '[2020']]])*9.77</f>
        <v>244.18753104004941</v>
      </c>
    </row>
    <row r="6" spans="1:6">
      <c r="A6" t="s">
        <v>156</v>
      </c>
      <c r="B6" t="s">
        <v>167</v>
      </c>
      <c r="C6">
        <f>712.704008488226-180.976586566424</f>
        <v>531.72742192180203</v>
      </c>
      <c r="E6" s="2">
        <f>Table79[[#This Row],[Mil m3 '[2020']]]/1000</f>
        <v>0</v>
      </c>
      <c r="F6" s="3">
        <f>IF(Table79[[#This Row],[Mil m3 '[2020']]]&gt;0,Table79[[#This Row],[Mrd m3 '[2020']2]],Table79[[#This Row],[Mrd m3 '[2020']]])*9.77</f>
        <v>5194.9769121760055</v>
      </c>
    </row>
    <row r="7" spans="1:6">
      <c r="A7" t="s">
        <v>157</v>
      </c>
      <c r="B7" t="s">
        <v>179</v>
      </c>
      <c r="C7">
        <v>180.976586566424</v>
      </c>
      <c r="E7" s="2">
        <f>Table79[[#This Row],[Mil m3 '[2020']]]/1000</f>
        <v>0</v>
      </c>
      <c r="F7" s="3">
        <f>IF(Table79[[#This Row],[Mil m3 '[2020']]]&gt;0,Table79[[#This Row],[Mrd m3 '[2020']2]],Table79[[#This Row],[Mrd m3 '[2020']]])*9.77</f>
        <v>1768.1412507539624</v>
      </c>
    </row>
    <row r="8" spans="1:6">
      <c r="A8" t="s">
        <v>158</v>
      </c>
      <c r="B8" t="s">
        <v>168</v>
      </c>
      <c r="C8" s="2">
        <f>253.649617284986-nodes_gas_prod_europe_2024!C21-nodes_gas_prod_europe_2024!C3-nodes_gas_prod_europe_2024!C37-C15</f>
        <v>76.854578169538883</v>
      </c>
      <c r="E8" s="2">
        <f>Table79[[#This Row],[Mil m3 '[2020']]]/1000</f>
        <v>0</v>
      </c>
      <c r="F8" s="3">
        <f>IF(Table79[[#This Row],[Mil m3 '[2020']]]&gt;0,Table79[[#This Row],[Mrd m3 '[2020']2]],Table79[[#This Row],[Mrd m3 '[2020']]])*9.77</f>
        <v>750.8692287163949</v>
      </c>
    </row>
    <row r="9" spans="1:6">
      <c r="A9" t="s">
        <v>159</v>
      </c>
      <c r="B9" t="s">
        <v>169</v>
      </c>
      <c r="C9">
        <v>151.74021373996112</v>
      </c>
      <c r="E9" s="2">
        <f>Table79[[#This Row],[Mil m3 '[2020']]]/1000</f>
        <v>0</v>
      </c>
      <c r="F9" s="3">
        <f>IF(Table79[[#This Row],[Mil m3 '[2020']]]&gt;0,Table79[[#This Row],[Mrd m3 '[2020']2]],Table79[[#This Row],[Mrd m3 '[2020']]])*9.77</f>
        <v>1482.5018882394202</v>
      </c>
    </row>
    <row r="10" spans="1:6">
      <c r="A10" t="s">
        <v>160</v>
      </c>
      <c r="B10" t="s">
        <v>170</v>
      </c>
      <c r="C10">
        <v>234.25835791543756</v>
      </c>
      <c r="E10" s="2">
        <f>Table79[[#This Row],[Mil m3 '[2020']]]/1000</f>
        <v>0</v>
      </c>
      <c r="F10" s="3">
        <f>IF(Table79[[#This Row],[Mil m3 '[2020']]]&gt;0,Table79[[#This Row],[Mrd m3 '[2020']2]],Table79[[#This Row],[Mrd m3 '[2020']]])*9.77</f>
        <v>2288.704156833825</v>
      </c>
    </row>
    <row r="11" spans="1:6">
      <c r="A11" t="s">
        <v>161</v>
      </c>
      <c r="B11" t="s">
        <v>171</v>
      </c>
      <c r="C11">
        <v>0</v>
      </c>
      <c r="E11" s="2">
        <f>Table79[[#This Row],[Mil m3 '[2020']]]/1000</f>
        <v>0</v>
      </c>
      <c r="F11" s="3">
        <f>IF(Table79[[#This Row],[Mil m3 '[2020']]]&gt;0,Table79[[#This Row],[Mrd m3 '[2020']2]],Table79[[#This Row],[Mrd m3 '[2020']]])*9.77</f>
        <v>0</v>
      </c>
    </row>
    <row r="12" spans="1:6">
      <c r="A12" t="s">
        <v>162</v>
      </c>
      <c r="B12" t="s">
        <v>172</v>
      </c>
      <c r="C12">
        <v>31.585488535476742</v>
      </c>
      <c r="E12" s="2">
        <f>Table79[[#This Row],[Mil m3 '[2020']]]/1000</f>
        <v>0</v>
      </c>
      <c r="F12" s="3">
        <f>IF(Table79[[#This Row],[Mil m3 '[2020']]]&gt;0,Table79[[#This Row],[Mrd m3 '[2020']2]],Table79[[#This Row],[Mrd m3 '[2020']]])*9.77</f>
        <v>308.59022299160773</v>
      </c>
    </row>
    <row r="13" spans="1:6">
      <c r="A13" t="s">
        <v>163</v>
      </c>
      <c r="B13" t="s">
        <v>173</v>
      </c>
      <c r="C13">
        <f>691.83903700697-C12-C10-C9-C11-C16</f>
        <v>128.91680453343903</v>
      </c>
      <c r="E13" s="2">
        <f>Table79[[#This Row],[Mil m3 '[2020']]]/1000</f>
        <v>0</v>
      </c>
      <c r="F13" s="3">
        <f>IF(Table79[[#This Row],[Mil m3 '[2020']]]&gt;0,Table79[[#This Row],[Mrd m3 '[2020']2]],Table79[[#This Row],[Mrd m3 '[2020']]])*9.77</f>
        <v>1259.5171802916993</v>
      </c>
    </row>
    <row r="14" spans="1:6">
      <c r="A14" t="s">
        <v>176</v>
      </c>
      <c r="B14" t="s">
        <v>177</v>
      </c>
      <c r="C14">
        <f>773.5530598751-586.382199872419</f>
        <v>187.17086000268091</v>
      </c>
      <c r="E14" s="2">
        <f>Table79[[#This Row],[Mil m3 '[2020']]]/1000</f>
        <v>0</v>
      </c>
      <c r="F14" s="3">
        <f>IF(Table79[[#This Row],[Mil m3 '[2020']]]&gt;0,Table79[[#This Row],[Mrd m3 '[2020']2]],Table79[[#This Row],[Mrd m3 '[2020']]])*9.77</f>
        <v>1828.6593022261925</v>
      </c>
    </row>
    <row r="15" spans="1:6">
      <c r="A15" t="s">
        <v>182</v>
      </c>
      <c r="B15" t="s">
        <v>183</v>
      </c>
      <c r="C15">
        <v>57.100413073730465</v>
      </c>
      <c r="E15" s="2">
        <f>Table79[[#This Row],[Mil m3 '[2020']]]/1000</f>
        <v>0</v>
      </c>
      <c r="F15" s="3">
        <f>IF(Table79[[#This Row],[Mil m3 '[2020']]]&gt;0,Table79[[#This Row],[Mrd m3 '[2020']2]],Table79[[#This Row],[Mrd m3 '[2020']]])*9.77</f>
        <v>557.87103573034665</v>
      </c>
    </row>
    <row r="16" spans="1:6">
      <c r="A16" t="s">
        <v>197</v>
      </c>
      <c r="B16" t="s">
        <v>200</v>
      </c>
      <c r="C16">
        <f>64.2640381356325+81.074134147023</f>
        <v>145.33817228265551</v>
      </c>
      <c r="E16" s="2">
        <f>Table79[[#This Row],[Mil m3 '[2020']]]/1000</f>
        <v>0</v>
      </c>
      <c r="F16" s="3">
        <f>IF(Table79[[#This Row],[Mil m3 '[2020']]]&gt;0,Table79[[#This Row],[Mrd m3 '[2020']2]],Table79[[#This Row],[Mrd m3 '[2020']]])*9.77</f>
        <v>1419.9539432015442</v>
      </c>
    </row>
    <row r="19" spans="1:1">
      <c r="A19" t="s">
        <v>134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0"/>
  <sheetViews>
    <sheetView topLeftCell="A31" workbookViewId="0">
      <selection activeCell="A57" sqref="A57:F81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44" spans="1:6">
      <c r="C44" s="2">
        <f>SUM(Table1[Mrd m3 '[2020']])</f>
        <v>541.77584793709366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  <row r="80" spans="8:8">
      <c r="H80" t="s">
        <v>139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H25"/>
  <sheetViews>
    <sheetView workbookViewId="0">
      <selection activeCell="C28" sqref="C28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s="8" t="s">
        <v>16</v>
      </c>
      <c r="B1" s="9" t="s">
        <v>56</v>
      </c>
      <c r="C1" s="9" t="s">
        <v>85</v>
      </c>
      <c r="D1" s="9" t="s">
        <v>174</v>
      </c>
      <c r="E1" s="9" t="s">
        <v>175</v>
      </c>
      <c r="F1" s="10" t="s">
        <v>106</v>
      </c>
    </row>
    <row r="2" spans="1:6">
      <c r="A2" t="s">
        <v>153</v>
      </c>
      <c r="B2" s="6" t="s">
        <v>153</v>
      </c>
      <c r="C2" s="7">
        <v>834.54962782115695</v>
      </c>
      <c r="D2" s="7"/>
      <c r="E2" s="7">
        <f>Table7910[[#This Row],[Mil m3 '[2020']]]/1000</f>
        <v>0</v>
      </c>
      <c r="F2" s="3">
        <f>IF(Table7910[[#This Row],[Mil m3 '[2020']]]&gt;0,Table7910[[#This Row],[Mrd m3 '[2020']2]],Table7910[[#This Row],[Mrd m3 '[2020']]])*9.77*(-1)</f>
        <v>-8153.5498638127028</v>
      </c>
    </row>
    <row r="3" spans="1:6">
      <c r="A3" t="s">
        <v>201</v>
      </c>
      <c r="B3" t="s">
        <v>164</v>
      </c>
      <c r="C3">
        <f>1042.08498320178-834.549627821157</f>
        <v>207.53535538062306</v>
      </c>
      <c r="E3" s="2">
        <f>Table7910[[#This Row],[Mil m3 '[2020']]]/1000</f>
        <v>0</v>
      </c>
      <c r="F3" s="3">
        <f>IF(Table7910[[#This Row],[Mil m3 '[2020']]]&gt;0,Table7910[[#This Row],[Mrd m3 '[2020']2]],Table7910[[#This Row],[Mrd m3 '[2020']]])*9.77*(-1)</f>
        <v>-2027.6204220686873</v>
      </c>
    </row>
    <row r="4" spans="1:6">
      <c r="A4" t="s">
        <v>154</v>
      </c>
      <c r="B4" t="s">
        <v>165</v>
      </c>
      <c r="C4">
        <f>148.570059919613-15.1856471767803</f>
        <v>133.38441274283269</v>
      </c>
      <c r="E4" s="2">
        <f>Table7910[[#This Row],[Mil m3 '[2020']]]/1000</f>
        <v>0</v>
      </c>
      <c r="F4" s="3">
        <f>IF(Table7910[[#This Row],[Mil m3 '[2020']]]&gt;0,Table7910[[#This Row],[Mrd m3 '[2020']2]],Table7910[[#This Row],[Mrd m3 '[2020']]])*9.77*(-1)</f>
        <v>-1303.1657124974754</v>
      </c>
    </row>
    <row r="5" spans="1:6">
      <c r="A5" t="s">
        <v>155</v>
      </c>
      <c r="B5" t="s">
        <v>166</v>
      </c>
      <c r="C5">
        <f>15.1856471767803</f>
        <v>15.1856471767803</v>
      </c>
      <c r="E5" s="2">
        <f>Table7910[[#This Row],[Mil m3 '[2020']]]/1000</f>
        <v>0</v>
      </c>
      <c r="F5" s="3">
        <f>IF(Table7910[[#This Row],[Mil m3 '[2020']]]&gt;0,Table7910[[#This Row],[Mrd m3 '[2020']2]],Table7910[[#This Row],[Mrd m3 '[2020']]])*9.77*(-1)</f>
        <v>-148.36377291714354</v>
      </c>
    </row>
    <row r="6" spans="1:6">
      <c r="A6" t="s">
        <v>156</v>
      </c>
      <c r="B6" t="s">
        <v>167</v>
      </c>
      <c r="C6" s="2">
        <f>552.897499957585-38.4132347090566</f>
        <v>514.48426524852835</v>
      </c>
      <c r="E6" s="2">
        <f>Table7910[[#This Row],[Mil m3 '[2020']]]/1000</f>
        <v>0</v>
      </c>
      <c r="F6" s="3">
        <f>IF(Table7910[[#This Row],[Mil m3 '[2020']]]&gt;0,Table7910[[#This Row],[Mrd m3 '[2020']2]],Table7910[[#This Row],[Mrd m3 '[2020']]])*9.77*(-1)</f>
        <v>-5026.5112714781217</v>
      </c>
    </row>
    <row r="7" spans="1:6">
      <c r="A7" t="s">
        <v>157</v>
      </c>
      <c r="B7" t="s">
        <v>179</v>
      </c>
      <c r="C7">
        <v>38.413234709056603</v>
      </c>
      <c r="E7" s="2">
        <f>Table7910[[#This Row],[Mil m3 '[2020']]]/1000</f>
        <v>0</v>
      </c>
      <c r="F7" s="3">
        <f>IF(Table7910[[#This Row],[Mil m3 '[2020']]]&gt;0,Table7910[[#This Row],[Mrd m3 '[2020']2]],Table7910[[#This Row],[Mrd m3 '[2020']]])*9.77*(-1)</f>
        <v>-375.297303107483</v>
      </c>
    </row>
    <row r="8" spans="1:6">
      <c r="A8" t="s">
        <v>158</v>
      </c>
      <c r="B8" t="s">
        <v>168</v>
      </c>
      <c r="C8" s="2">
        <f>154.184349315883-C16-C17-C18-C19-C20</f>
        <v>40.449273476568081</v>
      </c>
      <c r="E8" s="2">
        <f>Table7910[[#This Row],[Mil m3 '[2020']]]/1000</f>
        <v>0</v>
      </c>
      <c r="F8" s="3">
        <f>IF(Table7910[[#This Row],[Mil m3 '[2020']]]&gt;0,Table7910[[#This Row],[Mrd m3 '[2020']2]],Table7910[[#This Row],[Mrd m3 '[2020']]])*9.77*(-1)</f>
        <v>-395.18940186607011</v>
      </c>
    </row>
    <row r="9" spans="1:6">
      <c r="A9" t="s">
        <v>159</v>
      </c>
      <c r="B9" t="s">
        <v>169</v>
      </c>
      <c r="C9">
        <v>42.317339828787539</v>
      </c>
      <c r="E9" s="2">
        <f>Table7910[[#This Row],[Mil m3 '[2020']]]/1000</f>
        <v>0</v>
      </c>
      <c r="F9" s="3">
        <f>IF(Table7910[[#This Row],[Mil m3 '[2020']]]&gt;0,Table7910[[#This Row],[Mrd m3 '[2020']2]],Table7910[[#This Row],[Mrd m3 '[2020']]])*9.77*(-1)</f>
        <v>-413.44041012725421</v>
      </c>
    </row>
    <row r="10" spans="1:6">
      <c r="A10" t="s">
        <v>160</v>
      </c>
      <c r="B10" t="s">
        <v>170</v>
      </c>
      <c r="C10">
        <v>336.61725663716805</v>
      </c>
      <c r="E10" s="2">
        <f>Table7910[[#This Row],[Mil m3 '[2020']]]/1000</f>
        <v>0</v>
      </c>
      <c r="F10" s="3">
        <f>IF(Table7910[[#This Row],[Mil m3 '[2020']]]&gt;0,Table7910[[#This Row],[Mrd m3 '[2020']2]],Table7910[[#This Row],[Mrd m3 '[2020']]])*9.77*(-1)</f>
        <v>-3288.7505973451316</v>
      </c>
    </row>
    <row r="11" spans="1:6">
      <c r="A11" t="s">
        <v>161</v>
      </c>
      <c r="B11" t="s">
        <v>171</v>
      </c>
      <c r="C11">
        <f>104.1275049683+57.53730834</f>
        <v>161.66481330830001</v>
      </c>
      <c r="E11" s="2">
        <f>Table7910[[#This Row],[Mil m3 '[2020']]]/1000</f>
        <v>0</v>
      </c>
      <c r="F11" s="3">
        <f>IF(Table7910[[#This Row],[Mil m3 '[2020']]]&gt;0,Table7910[[#This Row],[Mrd m3 '[2020']2]],Table7910[[#This Row],[Mrd m3 '[2020']]])*9.77*(-1)</f>
        <v>-1579.465226022091</v>
      </c>
    </row>
    <row r="12" spans="1:6">
      <c r="A12" t="s">
        <v>162</v>
      </c>
      <c r="B12" t="s">
        <v>172</v>
      </c>
      <c r="C12">
        <v>60.360121323378813</v>
      </c>
      <c r="E12" s="2">
        <f>Table7910[[#This Row],[Mil m3 '[2020']]]/1000</f>
        <v>0</v>
      </c>
      <c r="F12" s="3">
        <f>IF(Table7910[[#This Row],[Mil m3 '[2020']]]&gt;0,Table7910[[#This Row],[Mrd m3 '[2020']2]],Table7910[[#This Row],[Mrd m3 '[2020']]])*9.77*(-1)</f>
        <v>-589.71838532941092</v>
      </c>
    </row>
    <row r="13" spans="1:6">
      <c r="A13" t="s">
        <v>163</v>
      </c>
      <c r="B13" t="s">
        <v>173</v>
      </c>
      <c r="C13">
        <f>876.9412368709-C12-C10-C9-C11-C21</f>
        <v>189.7875106376263</v>
      </c>
      <c r="E13" s="2">
        <f>Table7910[[#This Row],[Mil m3 '[2020']]]/1000</f>
        <v>0</v>
      </c>
      <c r="F13" s="3">
        <f>IF(Table7910[[#This Row],[Mil m3 '[2020']]]&gt;0,Table7910[[#This Row],[Mrd m3 '[2020']2]],Table7910[[#This Row],[Mrd m3 '[2020']]])*9.77*(-1)</f>
        <v>-1854.2239789296088</v>
      </c>
    </row>
    <row r="14" spans="1:6">
      <c r="A14" t="s">
        <v>176</v>
      </c>
      <c r="B14" t="s">
        <v>177</v>
      </c>
      <c r="C14">
        <f>554.955290969357-423.483407079646-17.7510088495575</f>
        <v>113.72087504015346</v>
      </c>
      <c r="E14" s="2">
        <f>Table7910[[#This Row],[Mil m3 '[2020']]]/1000</f>
        <v>0</v>
      </c>
      <c r="F14" s="3">
        <f>IF(Table7910[[#This Row],[Mil m3 '[2020']]]&gt;0,Table7910[[#This Row],[Mrd m3 '[2020']2]],Table7910[[#This Row],[Mrd m3 '[2020']]])*9.77*(-1)</f>
        <v>-1111.0529491422992</v>
      </c>
    </row>
    <row r="15" spans="1:6">
      <c r="A15" t="s">
        <v>41</v>
      </c>
      <c r="B15" t="s">
        <v>70</v>
      </c>
      <c r="C15">
        <v>423.48340707964599</v>
      </c>
      <c r="E15" s="2">
        <f>Table7910[[#This Row],[Mil m3 '[2020']]]/1000</f>
        <v>0</v>
      </c>
      <c r="F15" s="3">
        <f>IF(Table7910[[#This Row],[Mil m3 '[2020']]]&gt;0,Table7910[[#This Row],[Mrd m3 '[2020']2]],Table7910[[#This Row],[Mrd m3 '[2020']]])*9.77*(-1)</f>
        <v>-4137.432887168141</v>
      </c>
    </row>
    <row r="16" spans="1:6">
      <c r="A16" t="s">
        <v>50</v>
      </c>
      <c r="B16" t="s">
        <v>79</v>
      </c>
      <c r="C16">
        <v>43.350037499999999</v>
      </c>
      <c r="E16" s="2">
        <f>Table7910[[#This Row],[Mil m3 '[2020']]]/1000</f>
        <v>0</v>
      </c>
      <c r="F16" s="3">
        <f>IF(Table7910[[#This Row],[Mil m3 '[2020']]]&gt;0,Table7910[[#This Row],[Mrd m3 '[2020']2]],Table7910[[#This Row],[Mrd m3 '[2020']]])*9.77*(-1)</f>
        <v>-423.52986637499998</v>
      </c>
    </row>
    <row r="17" spans="1:8">
      <c r="A17" t="s">
        <v>52</v>
      </c>
      <c r="B17" t="s">
        <v>81</v>
      </c>
      <c r="C17">
        <v>7.7</v>
      </c>
      <c r="E17" s="2">
        <f>Table7910[[#This Row],[Mil m3 '[2020']]]/1000</f>
        <v>0</v>
      </c>
      <c r="F17" s="3">
        <f>IF(Table7910[[#This Row],[Mil m3 '[2020']]]&gt;0,Table7910[[#This Row],[Mrd m3 '[2020']2]],Table7910[[#This Row],[Mrd m3 '[2020']]])*9.77*(-1)</f>
        <v>-75.228999999999999</v>
      </c>
    </row>
    <row r="18" spans="1:8">
      <c r="A18" t="s">
        <v>51</v>
      </c>
      <c r="B18" t="s">
        <v>80</v>
      </c>
      <c r="C18">
        <v>3.5904531497162</v>
      </c>
      <c r="E18" s="2">
        <f>Table7910[[#This Row],[Mil m3 '[2020']]]/1000</f>
        <v>0</v>
      </c>
      <c r="F18" s="3">
        <f>IF(Table7910[[#This Row],[Mil m3 '[2020']]]&gt;0,Table7910[[#This Row],[Mrd m3 '[2020']2]],Table7910[[#This Row],[Mrd m3 '[2020']]])*9.77*(-1)</f>
        <v>-35.078727272727271</v>
      </c>
    </row>
    <row r="19" spans="1:8">
      <c r="A19" t="s">
        <v>98</v>
      </c>
      <c r="B19" t="s">
        <v>180</v>
      </c>
      <c r="C19">
        <v>0.78666131450805166</v>
      </c>
      <c r="E19" s="2">
        <f>Table7910[[#This Row],[Mil m3 '[2020']]]/1000</f>
        <v>0</v>
      </c>
      <c r="F19" s="3">
        <f>IF(Table7910[[#This Row],[Mil m3 '[2020']]]&gt;0,Table7910[[#This Row],[Mrd m3 '[2020']2]],Table7910[[#This Row],[Mrd m3 '[2020']]])*9.77*(-1)</f>
        <v>-7.6856810427436644</v>
      </c>
    </row>
    <row r="20" spans="1:8">
      <c r="A20" t="s">
        <v>182</v>
      </c>
      <c r="B20" t="s">
        <v>183</v>
      </c>
      <c r="C20">
        <v>58.307923875090665</v>
      </c>
      <c r="E20" s="2">
        <f>Table7910[[#This Row],[Mil m3 '[2020']]]/1000</f>
        <v>0</v>
      </c>
      <c r="F20" s="3">
        <f>IF(Table7910[[#This Row],[Mil m3 '[2020']]]&gt;0,Table7910[[#This Row],[Mrd m3 '[2020']2]],Table7910[[#This Row],[Mrd m3 '[2020']]])*9.77*(-1)</f>
        <v>-569.66841625963582</v>
      </c>
    </row>
    <row r="21" spans="1:8">
      <c r="A21" t="s">
        <v>197</v>
      </c>
      <c r="B21" t="s">
        <v>200</v>
      </c>
      <c r="C21">
        <f>42.5805321356392+43.613663</f>
        <v>86.194195135639205</v>
      </c>
      <c r="E21" s="2">
        <f>Table7910[[#This Row],[Mil m3 '[2020']]]/1000</f>
        <v>0</v>
      </c>
      <c r="F21" s="3">
        <f>IF(Table7910[[#This Row],[Mil m3 '[2020']]]&gt;0,Table7910[[#This Row],[Mrd m3 '[2020']2]],Table7910[[#This Row],[Mrd m3 '[2020']]])*9.77*(-1)</f>
        <v>-842.11728647519499</v>
      </c>
    </row>
    <row r="22" spans="1:8">
      <c r="A22" t="s">
        <v>53</v>
      </c>
      <c r="B22" t="s">
        <v>82</v>
      </c>
      <c r="C22">
        <v>17.7510088495575</v>
      </c>
      <c r="E22" s="2">
        <f>Table7910[[#This Row],[Mil m3 '[2020']]]/1000</f>
        <v>0</v>
      </c>
      <c r="F22" s="3">
        <f>IF(Table7910[[#This Row],[Mil m3 '[2020']]]&gt;0,Table7910[[#This Row],[Mrd m3 '[2020']2]],Table7910[[#This Row],[Mrd m3 '[2020']]])*9.77*(-1)</f>
        <v>-173.42735646017678</v>
      </c>
    </row>
    <row r="24" spans="1:8">
      <c r="A24" t="s">
        <v>80</v>
      </c>
      <c r="B24" t="s">
        <v>138</v>
      </c>
      <c r="H24" t="s">
        <v>139</v>
      </c>
    </row>
    <row r="25" spans="1:8">
      <c r="A25" t="s">
        <v>81</v>
      </c>
      <c r="B25" t="s">
        <v>181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opLeftCell="A34" workbookViewId="0">
      <selection activeCell="A57" sqref="A57:G81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F25"/>
  <sheetViews>
    <sheetView tabSelected="1" workbookViewId="0">
      <selection activeCell="J28" sqref="J28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s="8" t="s">
        <v>16</v>
      </c>
      <c r="B1" s="9" t="s">
        <v>56</v>
      </c>
      <c r="C1" s="9" t="s">
        <v>85</v>
      </c>
      <c r="D1" s="9" t="s">
        <v>174</v>
      </c>
      <c r="E1" s="9" t="s">
        <v>175</v>
      </c>
      <c r="F1" s="10" t="s">
        <v>106</v>
      </c>
    </row>
    <row r="2" spans="1:6">
      <c r="A2" t="s">
        <v>153</v>
      </c>
      <c r="B2" s="6" t="s">
        <v>153</v>
      </c>
      <c r="C2" s="7">
        <v>886.46721186282696</v>
      </c>
      <c r="D2" s="7"/>
      <c r="E2" s="7">
        <f>Table791011[[#This Row],[Mil m3 '[2020']]]/1000</f>
        <v>0</v>
      </c>
      <c r="F2" s="3">
        <f>IF(Table791011[[#This Row],[Mil m3 '[2020']]]&gt;0,Table791011[[#This Row],[Mrd m3 '[2020']2]],Table791011[[#This Row],[Mrd m3 '[2020']]])*9.77*(-1)</f>
        <v>-8660.7846598998185</v>
      </c>
    </row>
    <row r="3" spans="1:6">
      <c r="A3" t="s">
        <v>201</v>
      </c>
      <c r="B3" t="s">
        <v>164</v>
      </c>
      <c r="C3">
        <f>1104.76718773088-886.467211862827</f>
        <v>218.29997586805314</v>
      </c>
      <c r="E3" s="2">
        <f>Table791011[[#This Row],[Mil m3 '[2020']]]/1000</f>
        <v>0</v>
      </c>
      <c r="F3" s="3">
        <f>IF(Table791011[[#This Row],[Mil m3 '[2020']]]&gt;0,Table791011[[#This Row],[Mrd m3 '[2020']2]],Table791011[[#This Row],[Mrd m3 '[2020']]])*9.77*(-1)</f>
        <v>-2132.7907642308792</v>
      </c>
    </row>
    <row r="4" spans="1:6">
      <c r="A4" t="s">
        <v>154</v>
      </c>
      <c r="B4" t="s">
        <v>165</v>
      </c>
      <c r="C4">
        <f>161.703504900654-14.503954775876</f>
        <v>147.199550124778</v>
      </c>
      <c r="E4" s="2">
        <f>Table791011[[#This Row],[Mil m3 '[2020']]]/1000</f>
        <v>0</v>
      </c>
      <c r="F4" s="3">
        <f>IF(Table791011[[#This Row],[Mil m3 '[2020']]]&gt;0,Table791011[[#This Row],[Mrd m3 '[2020']2]],Table791011[[#This Row],[Mrd m3 '[2020']]])*9.77*(-1)</f>
        <v>-1438.139604719081</v>
      </c>
    </row>
    <row r="5" spans="1:6">
      <c r="A5" t="s">
        <v>155</v>
      </c>
      <c r="B5" t="s">
        <v>166</v>
      </c>
      <c r="C5">
        <v>14.503954775876</v>
      </c>
      <c r="E5" s="2">
        <f>Table791011[[#This Row],[Mil m3 '[2020']]]/1000</f>
        <v>0</v>
      </c>
      <c r="F5" s="3">
        <f>IF(Table791011[[#This Row],[Mil m3 '[2020']]]&gt;0,Table791011[[#This Row],[Mrd m3 '[2020']2]],Table791011[[#This Row],[Mrd m3 '[2020']]])*9.77*(-1)</f>
        <v>-141.70363816030851</v>
      </c>
    </row>
    <row r="6" spans="1:6">
      <c r="A6" t="s">
        <v>156</v>
      </c>
      <c r="B6" t="s">
        <v>167</v>
      </c>
      <c r="C6" s="2">
        <f>577.716724870969-44.2013179565956</f>
        <v>533.51540691437333</v>
      </c>
      <c r="E6" s="2">
        <f>Table791011[[#This Row],[Mil m3 '[2020']]]/1000</f>
        <v>0</v>
      </c>
      <c r="F6" s="3">
        <f>IF(Table791011[[#This Row],[Mil m3 '[2020']]]&gt;0,Table791011[[#This Row],[Mrd m3 '[2020']2]],Table791011[[#This Row],[Mrd m3 '[2020']]])*9.77*(-1)</f>
        <v>-5212.4455255534276</v>
      </c>
    </row>
    <row r="7" spans="1:6">
      <c r="A7" t="s">
        <v>157</v>
      </c>
      <c r="B7" t="s">
        <v>179</v>
      </c>
      <c r="C7">
        <v>44.201317956595602</v>
      </c>
      <c r="E7" s="2">
        <f>Table791011[[#This Row],[Mil m3 '[2020']]]/1000</f>
        <v>0</v>
      </c>
      <c r="F7" s="3">
        <f>IF(Table791011[[#This Row],[Mil m3 '[2020']]]&gt;0,Table791011[[#This Row],[Mrd m3 '[2020']2]],Table791011[[#This Row],[Mrd m3 '[2020']]])*9.77*(-1)</f>
        <v>-431.84687643593901</v>
      </c>
    </row>
    <row r="8" spans="1:6">
      <c r="A8" t="s">
        <v>158</v>
      </c>
      <c r="B8" t="s">
        <v>168</v>
      </c>
      <c r="C8" s="2">
        <f>171.229082457489-C16-C17-C18-C19-C20</f>
        <v>46.93279494631954</v>
      </c>
      <c r="E8" s="2">
        <f>Table791011[[#This Row],[Mil m3 '[2020']]]/1000</f>
        <v>0</v>
      </c>
      <c r="F8" s="3">
        <f>IF(Table791011[[#This Row],[Mil m3 '[2020']]]&gt;0,Table791011[[#This Row],[Mrd m3 '[2020']2]],Table791011[[#This Row],[Mrd m3 '[2020']]])*9.77*(-1)</f>
        <v>-458.53340662554189</v>
      </c>
    </row>
    <row r="9" spans="1:6">
      <c r="A9" t="s">
        <v>159</v>
      </c>
      <c r="B9" t="s">
        <v>169</v>
      </c>
      <c r="C9">
        <v>40.121503042095824</v>
      </c>
      <c r="E9" s="2">
        <f>Table791011[[#This Row],[Mil m3 '[2020']]]/1000</f>
        <v>0</v>
      </c>
      <c r="F9" s="3">
        <f>IF(Table791011[[#This Row],[Mil m3 '[2020']]]&gt;0,Table791011[[#This Row],[Mrd m3 '[2020']2]],Table791011[[#This Row],[Mrd m3 '[2020']]])*9.77*(-1)</f>
        <v>-391.98708472127618</v>
      </c>
    </row>
    <row r="10" spans="1:6">
      <c r="A10" t="s">
        <v>160</v>
      </c>
      <c r="B10" t="s">
        <v>170</v>
      </c>
      <c r="C10">
        <f>404.838112094395+4.84678040562862</f>
        <v>409.68489250002364</v>
      </c>
      <c r="E10" s="2">
        <f>Table791011[[#This Row],[Mil m3 '[2020']]]/1000</f>
        <v>0</v>
      </c>
      <c r="F10" s="3">
        <f>IF(Table791011[[#This Row],[Mil m3 '[2020']]]&gt;0,Table791011[[#This Row],[Mrd m3 '[2020']2]],Table791011[[#This Row],[Mrd m3 '[2020']]])*9.77*(-1)</f>
        <v>-4002.6213997252307</v>
      </c>
    </row>
    <row r="11" spans="1:6">
      <c r="A11" t="s">
        <v>161</v>
      </c>
      <c r="B11" t="s">
        <v>171</v>
      </c>
      <c r="C11">
        <f>92.4207922536915+60.0747038262</f>
        <v>152.4954960798915</v>
      </c>
      <c r="E11" s="2">
        <f>Table791011[[#This Row],[Mil m3 '[2020']]]/1000</f>
        <v>0</v>
      </c>
      <c r="F11" s="3">
        <f>IF(Table791011[[#This Row],[Mil m3 '[2020']]]&gt;0,Table791011[[#This Row],[Mrd m3 '[2020']2]],Table791011[[#This Row],[Mrd m3 '[2020']]])*9.77*(-1)</f>
        <v>-1489.8809967005398</v>
      </c>
    </row>
    <row r="12" spans="1:6">
      <c r="A12" t="s">
        <v>162</v>
      </c>
      <c r="B12" t="s">
        <v>172</v>
      </c>
      <c r="C12">
        <v>62.610307192104507</v>
      </c>
      <c r="E12" s="2">
        <f>Table791011[[#This Row],[Mil m3 '[2020']]]/1000</f>
        <v>0</v>
      </c>
      <c r="F12" s="3">
        <f>IF(Table791011[[#This Row],[Mil m3 '[2020']]]&gt;0,Table791011[[#This Row],[Mrd m3 '[2020']2]],Table791011[[#This Row],[Mrd m3 '[2020']]])*9.77*(-1)</f>
        <v>-611.70270126686103</v>
      </c>
    </row>
    <row r="13" spans="1:6">
      <c r="A13" t="s">
        <v>163</v>
      </c>
      <c r="B13" t="s">
        <v>173</v>
      </c>
      <c r="C13">
        <f>935.383807806868-C12-C10-C9-C11-C21</f>
        <v>178.95511859578477</v>
      </c>
      <c r="E13" s="2">
        <f>Table791011[[#This Row],[Mil m3 '[2020']]]/1000</f>
        <v>0</v>
      </c>
      <c r="F13" s="3">
        <f>IF(Table791011[[#This Row],[Mil m3 '[2020']]]&gt;0,Table791011[[#This Row],[Mrd m3 '[2020']2]],Table791011[[#This Row],[Mrd m3 '[2020']]])*9.77*(-1)</f>
        <v>-1748.3915086808172</v>
      </c>
    </row>
    <row r="14" spans="1:6">
      <c r="A14" t="s">
        <v>176</v>
      </c>
      <c r="B14" t="s">
        <v>177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3">
        <f>IF(Table791011[[#This Row],[Mil m3 '[2020']]]&gt;0,Table791011[[#This Row],[Mrd m3 '[2020']2]],Table791011[[#This Row],[Mrd m3 '[2020']]])*9.77*(-1)</f>
        <v>-1229.6772340959844</v>
      </c>
    </row>
    <row r="15" spans="1:6">
      <c r="A15" t="s">
        <v>41</v>
      </c>
      <c r="B15" t="s">
        <v>70</v>
      </c>
      <c r="C15">
        <v>453.37094395280201</v>
      </c>
      <c r="E15" s="2">
        <f>Table791011[[#This Row],[Mil m3 '[2020']]]/1000</f>
        <v>0</v>
      </c>
      <c r="F15" s="3">
        <f>IF(Table791011[[#This Row],[Mil m3 '[2020']]]&gt;0,Table791011[[#This Row],[Mrd m3 '[2020']2]],Table791011[[#This Row],[Mrd m3 '[2020']]])*9.77*(-1)</f>
        <v>-4429.4341224188756</v>
      </c>
    </row>
    <row r="16" spans="1:6">
      <c r="A16" t="s">
        <v>50</v>
      </c>
      <c r="B16" t="s">
        <v>79</v>
      </c>
      <c r="C16">
        <v>50.338750000000005</v>
      </c>
      <c r="E16" s="2">
        <f>Table791011[[#This Row],[Mil m3 '[2020']]]/1000</f>
        <v>0</v>
      </c>
      <c r="F16" s="3">
        <f>IF(Table791011[[#This Row],[Mil m3 '[2020']]]&gt;0,Table791011[[#This Row],[Mrd m3 '[2020']2]],Table791011[[#This Row],[Mrd m3 '[2020']]])*9.77*(-1)</f>
        <v>-491.80958750000002</v>
      </c>
    </row>
    <row r="17" spans="1:6">
      <c r="A17" t="s">
        <v>52</v>
      </c>
      <c r="B17" t="s">
        <v>81</v>
      </c>
      <c r="C17">
        <v>10.1</v>
      </c>
      <c r="E17" s="2">
        <f>Table791011[[#This Row],[Mil m3 '[2020']]]/1000</f>
        <v>0</v>
      </c>
      <c r="F17" s="3">
        <f>IF(Table791011[[#This Row],[Mil m3 '[2020']]]&gt;0,Table791011[[#This Row],[Mrd m3 '[2020']2]],Table791011[[#This Row],[Mrd m3 '[2020']]])*9.77*(-1)</f>
        <v>-98.676999999999992</v>
      </c>
    </row>
    <row r="18" spans="1:6">
      <c r="A18" t="s">
        <v>51</v>
      </c>
      <c r="B18" t="s">
        <v>80</v>
      </c>
      <c r="C18">
        <v>3.5904531497162</v>
      </c>
      <c r="E18" s="2">
        <f>Table791011[[#This Row],[Mil m3 '[2020']]]/1000</f>
        <v>0</v>
      </c>
      <c r="F18" s="3">
        <f>IF(Table791011[[#This Row],[Mil m3 '[2020']]]&gt;0,Table791011[[#This Row],[Mrd m3 '[2020']2]],Table791011[[#This Row],[Mrd m3 '[2020']]])*9.77*(-1)</f>
        <v>-35.078727272727271</v>
      </c>
    </row>
    <row r="19" spans="1:6">
      <c r="A19" t="s">
        <v>98</v>
      </c>
      <c r="B19" t="s">
        <v>180</v>
      </c>
      <c r="C19">
        <v>0.22269575424695218</v>
      </c>
      <c r="E19" s="2">
        <f>Table791011[[#This Row],[Mil m3 '[2020']]]/1000</f>
        <v>0</v>
      </c>
      <c r="F19" s="3">
        <f>IF(Table791011[[#This Row],[Mil m3 '[2020']]]&gt;0,Table791011[[#This Row],[Mrd m3 '[2020']2]],Table791011[[#This Row],[Mrd m3 '[2020']]])*9.77*(-1)</f>
        <v>-2.1757375189927228</v>
      </c>
    </row>
    <row r="20" spans="1:6">
      <c r="A20" t="s">
        <v>182</v>
      </c>
      <c r="B20" t="s">
        <v>183</v>
      </c>
      <c r="C20">
        <v>60.044388607206308</v>
      </c>
      <c r="E20" s="2">
        <f>Table791011[[#This Row],[Mil m3 '[2020']]]/1000</f>
        <v>0</v>
      </c>
      <c r="F20" s="3">
        <f>IF(Table791011[[#This Row],[Mil m3 '[2020']]]&gt;0,Table791011[[#This Row],[Mrd m3 '[2020']2]],Table791011[[#This Row],[Mrd m3 '[2020']]])*9.77*(-1)</f>
        <v>-586.63367669240563</v>
      </c>
    </row>
    <row r="21" spans="1:6">
      <c r="A21" t="s">
        <v>197</v>
      </c>
      <c r="B21" t="s">
        <v>200</v>
      </c>
      <c r="C21">
        <f>45.4449851278232+46.0715052691446</f>
        <v>91.516490396967811</v>
      </c>
      <c r="E21" s="2">
        <f>Table791011[[#This Row],[Mil m3 '[2020']]]/1000</f>
        <v>0</v>
      </c>
      <c r="F21" s="3">
        <f>IF(Table791011[[#This Row],[Mil m3 '[2020']]]&gt;0,Table791011[[#This Row],[Mrd m3 '[2020']2]],Table791011[[#This Row],[Mrd m3 '[2020']]])*9.77*(-1)</f>
        <v>-894.11611117837549</v>
      </c>
    </row>
    <row r="22" spans="1:6">
      <c r="A22" t="s">
        <v>53</v>
      </c>
      <c r="B22" t="s">
        <v>82</v>
      </c>
      <c r="C22">
        <v>16.784035990584101</v>
      </c>
      <c r="E22" s="2">
        <f>Table791011[[#This Row],[Mil m3 '[2020']]]/1000</f>
        <v>0</v>
      </c>
      <c r="F22" s="3">
        <f>IF(Table791011[[#This Row],[Mil m3 '[2020']]]&gt;0,Table791011[[#This Row],[Mrd m3 '[2020']2]],Table791011[[#This Row],[Mrd m3 '[2020']]])*9.77*(-1)</f>
        <v>-163.98003162800666</v>
      </c>
    </row>
    <row r="24" spans="1:6">
      <c r="A24" t="s">
        <v>80</v>
      </c>
      <c r="B24" t="s">
        <v>138</v>
      </c>
    </row>
    <row r="25" spans="1:6">
      <c r="A25" t="s">
        <v>81</v>
      </c>
      <c r="B25" t="s">
        <v>181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201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201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201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201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215"/>
  <sheetViews>
    <sheetView workbookViewId="0">
      <selection activeCell="G25" sqref="G25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185</v>
      </c>
      <c r="D1" s="9" t="s">
        <v>107</v>
      </c>
      <c r="E1" s="9" t="s">
        <v>108</v>
      </c>
      <c r="F1" s="9" t="s">
        <v>203</v>
      </c>
      <c r="G1" s="9" t="s">
        <v>202</v>
      </c>
      <c r="H1" s="9" t="s">
        <v>217</v>
      </c>
      <c r="I1" s="9" t="s">
        <v>144</v>
      </c>
      <c r="M1" t="s">
        <v>204</v>
      </c>
    </row>
    <row r="2" spans="1:13">
      <c r="A2" t="s">
        <v>184</v>
      </c>
      <c r="B2" t="s">
        <v>191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244</v>
      </c>
      <c r="M2" t="s">
        <v>240</v>
      </c>
    </row>
    <row r="3" spans="1:13">
      <c r="A3" t="s">
        <v>184</v>
      </c>
      <c r="B3" t="s">
        <v>189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245</v>
      </c>
      <c r="M3" t="s">
        <v>241</v>
      </c>
    </row>
    <row r="4" spans="1:13">
      <c r="A4" t="s">
        <v>184</v>
      </c>
      <c r="B4" t="s">
        <v>192</v>
      </c>
      <c r="E4">
        <f t="shared" si="0"/>
        <v>0</v>
      </c>
      <c r="F4">
        <v>10194</v>
      </c>
      <c r="G4">
        <f>LNG_global[[#This Row],[Distance '[miles']]]*1.60934449789256</f>
        <v>16405.657811516758</v>
      </c>
      <c r="H4" t="s">
        <v>246</v>
      </c>
      <c r="I4" t="s">
        <v>247</v>
      </c>
      <c r="M4" t="s">
        <v>252</v>
      </c>
    </row>
    <row r="5" spans="1:13">
      <c r="A5" t="s">
        <v>184</v>
      </c>
      <c r="B5" t="s">
        <v>193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246</v>
      </c>
      <c r="I5" t="s">
        <v>248</v>
      </c>
      <c r="M5" t="s">
        <v>253</v>
      </c>
    </row>
    <row r="6" spans="1:13">
      <c r="A6" t="s">
        <v>184</v>
      </c>
      <c r="B6" t="s">
        <v>194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218</v>
      </c>
      <c r="I6" t="s">
        <v>249</v>
      </c>
      <c r="M6" t="s">
        <v>254</v>
      </c>
    </row>
    <row r="7" spans="1:13">
      <c r="A7" t="s">
        <v>184</v>
      </c>
      <c r="B7" t="s">
        <v>195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246</v>
      </c>
      <c r="I7" t="s">
        <v>250</v>
      </c>
      <c r="M7" t="s">
        <v>257</v>
      </c>
    </row>
    <row r="8" spans="1:13">
      <c r="A8" t="s">
        <v>184</v>
      </c>
      <c r="B8" t="s">
        <v>196</v>
      </c>
      <c r="E8">
        <f t="shared" si="0"/>
        <v>0</v>
      </c>
      <c r="F8">
        <v>6681</v>
      </c>
      <c r="G8">
        <f>LNG_global[[#This Row],[Distance '[miles']]]*1.60934449789256</f>
        <v>10752.030590420192</v>
      </c>
      <c r="I8" t="s">
        <v>251</v>
      </c>
      <c r="M8" t="s">
        <v>259</v>
      </c>
    </row>
    <row r="9" spans="1:13">
      <c r="A9" t="s">
        <v>186</v>
      </c>
      <c r="B9" t="s">
        <v>191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244</v>
      </c>
      <c r="M9" t="s">
        <v>260</v>
      </c>
    </row>
    <row r="10" spans="1:13">
      <c r="A10" t="s">
        <v>186</v>
      </c>
      <c r="B10" t="s">
        <v>189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245</v>
      </c>
      <c r="M10" t="s">
        <v>263</v>
      </c>
    </row>
    <row r="11" spans="1:13">
      <c r="A11" t="s">
        <v>186</v>
      </c>
      <c r="B11" t="s">
        <v>192</v>
      </c>
      <c r="E11">
        <f t="shared" si="0"/>
        <v>0</v>
      </c>
      <c r="F11">
        <v>9806</v>
      </c>
      <c r="G11">
        <f>LNG_global[[#This Row],[Distance '[miles']]]*1.60934449789256</f>
        <v>15781.232146334443</v>
      </c>
      <c r="H11" t="s">
        <v>246</v>
      </c>
      <c r="I11" t="s">
        <v>247</v>
      </c>
    </row>
    <row r="12" spans="1:13">
      <c r="A12" t="s">
        <v>186</v>
      </c>
      <c r="B12" t="s">
        <v>193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246</v>
      </c>
      <c r="I12" t="s">
        <v>248</v>
      </c>
    </row>
    <row r="13" spans="1:13">
      <c r="A13" t="s">
        <v>186</v>
      </c>
      <c r="B13" t="s">
        <v>194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218</v>
      </c>
      <c r="I13" t="s">
        <v>249</v>
      </c>
    </row>
    <row r="14" spans="1:13">
      <c r="A14" t="s">
        <v>186</v>
      </c>
      <c r="B14" t="s">
        <v>195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218</v>
      </c>
      <c r="I14" t="s">
        <v>250</v>
      </c>
    </row>
    <row r="15" spans="1:13">
      <c r="A15" t="s">
        <v>186</v>
      </c>
      <c r="B15" t="s">
        <v>196</v>
      </c>
      <c r="E15">
        <f t="shared" si="0"/>
        <v>0</v>
      </c>
      <c r="F15">
        <v>5324</v>
      </c>
      <c r="G15">
        <f>LNG_global[[#This Row],[Distance '[miles']]]*1.60934449789256</f>
        <v>8568.1501067799891</v>
      </c>
      <c r="I15" t="s">
        <v>251</v>
      </c>
    </row>
    <row r="16" spans="1:13">
      <c r="A16" t="s">
        <v>187</v>
      </c>
      <c r="B16" t="s">
        <v>191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244</v>
      </c>
    </row>
    <row r="17" spans="1:9">
      <c r="A17" t="s">
        <v>187</v>
      </c>
      <c r="B17" t="s">
        <v>189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245</v>
      </c>
    </row>
    <row r="18" spans="1:9">
      <c r="A18" t="s">
        <v>187</v>
      </c>
      <c r="B18" t="s">
        <v>192</v>
      </c>
      <c r="E18">
        <f t="shared" si="0"/>
        <v>0</v>
      </c>
      <c r="F18">
        <v>6160</v>
      </c>
      <c r="G18">
        <f>LNG_global[[#This Row],[Distance '[miles']]]*1.60934449789256</f>
        <v>9913.5621070181696</v>
      </c>
      <c r="I18" t="s">
        <v>247</v>
      </c>
    </row>
    <row r="19" spans="1:9">
      <c r="A19" t="s">
        <v>187</v>
      </c>
      <c r="B19" t="s">
        <v>193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248</v>
      </c>
    </row>
    <row r="20" spans="1:9">
      <c r="A20" t="s">
        <v>187</v>
      </c>
      <c r="B20" t="s">
        <v>194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249</v>
      </c>
    </row>
    <row r="21" spans="1:9">
      <c r="A21" t="s">
        <v>187</v>
      </c>
      <c r="B21" t="s">
        <v>195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250</v>
      </c>
    </row>
    <row r="22" spans="1:9">
      <c r="A22" t="s">
        <v>187</v>
      </c>
      <c r="B22" t="s">
        <v>196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218</v>
      </c>
    </row>
    <row r="23" spans="1:9">
      <c r="A23" t="s">
        <v>188</v>
      </c>
      <c r="B23" t="s">
        <v>191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244</v>
      </c>
    </row>
    <row r="24" spans="1:9">
      <c r="A24" t="s">
        <v>188</v>
      </c>
      <c r="B24" t="s">
        <v>189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245</v>
      </c>
    </row>
    <row r="25" spans="1:9">
      <c r="A25" t="s">
        <v>188</v>
      </c>
      <c r="B25" t="s">
        <v>192</v>
      </c>
      <c r="E25">
        <f t="shared" si="1"/>
        <v>0</v>
      </c>
      <c r="F25">
        <v>6227</v>
      </c>
      <c r="G25">
        <f>LNG_global[[#This Row],[Distance '[miles']]]*1.60934449789256</f>
        <v>10021.38818837697</v>
      </c>
      <c r="I25" t="s">
        <v>247</v>
      </c>
    </row>
    <row r="26" spans="1:9">
      <c r="A26" t="s">
        <v>188</v>
      </c>
      <c r="B26" t="s">
        <v>193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248</v>
      </c>
    </row>
    <row r="27" spans="1:9">
      <c r="A27" t="s">
        <v>188</v>
      </c>
      <c r="B27" t="s">
        <v>194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249</v>
      </c>
    </row>
    <row r="28" spans="1:9">
      <c r="A28" t="s">
        <v>188</v>
      </c>
      <c r="B28" t="s">
        <v>195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250</v>
      </c>
    </row>
    <row r="29" spans="1:9">
      <c r="A29" t="s">
        <v>188</v>
      </c>
      <c r="B29" t="s">
        <v>196</v>
      </c>
      <c r="E29">
        <f t="shared" si="1"/>
        <v>0</v>
      </c>
      <c r="F29">
        <v>2982</v>
      </c>
      <c r="G29">
        <f>LNG_global[[#This Row],[Distance '[miles']]]*1.60934449789256</f>
        <v>4799.0652927156134</v>
      </c>
      <c r="I29" t="s">
        <v>218</v>
      </c>
    </row>
    <row r="30" spans="1:9">
      <c r="A30" t="s">
        <v>189</v>
      </c>
      <c r="B30" t="s">
        <v>191</v>
      </c>
      <c r="E30">
        <f>D30/1000</f>
        <v>0</v>
      </c>
      <c r="F30">
        <v>3420</v>
      </c>
      <c r="G30">
        <f>LNG_global[[#This Row],[Distance '[miles']]]*1.60934449789256</f>
        <v>5503.9581827925549</v>
      </c>
      <c r="I30" t="s">
        <v>244</v>
      </c>
    </row>
    <row r="31" spans="1:9">
      <c r="A31" t="s">
        <v>189</v>
      </c>
      <c r="B31" t="s">
        <v>192</v>
      </c>
      <c r="E31">
        <f t="shared" ref="E31:E35" si="2">D31/1000</f>
        <v>0</v>
      </c>
      <c r="F31">
        <v>10496</v>
      </c>
      <c r="G31">
        <f>LNG_global[[#This Row],[Distance '[miles']]]*1.60934449789256</f>
        <v>16891.679849880311</v>
      </c>
      <c r="I31" t="s">
        <v>247</v>
      </c>
    </row>
    <row r="32" spans="1:9">
      <c r="A32" t="s">
        <v>189</v>
      </c>
      <c r="B32" t="s">
        <v>193</v>
      </c>
      <c r="E32">
        <f t="shared" si="2"/>
        <v>0</v>
      </c>
      <c r="F32">
        <v>10780</v>
      </c>
      <c r="G32">
        <f>LNG_global[[#This Row],[Distance '[miles']]]*1.60934449789256</f>
        <v>17348.733687281798</v>
      </c>
      <c r="I32" t="s">
        <v>248</v>
      </c>
    </row>
    <row r="33" spans="1:9">
      <c r="A33" t="s">
        <v>189</v>
      </c>
      <c r="B33" t="s">
        <v>194</v>
      </c>
      <c r="E33">
        <f t="shared" si="2"/>
        <v>0</v>
      </c>
      <c r="F33">
        <v>7016</v>
      </c>
      <c r="G33">
        <f>LNG_global[[#This Row],[Distance '[miles']]]*1.60934449789256</f>
        <v>11291.160997214201</v>
      </c>
      <c r="I33" t="s">
        <v>256</v>
      </c>
    </row>
    <row r="34" spans="1:9">
      <c r="A34" t="s">
        <v>189</v>
      </c>
      <c r="B34" t="s">
        <v>195</v>
      </c>
      <c r="E34">
        <f t="shared" si="2"/>
        <v>0</v>
      </c>
      <c r="F34">
        <v>8836</v>
      </c>
      <c r="G34">
        <f>LNG_global[[#This Row],[Distance '[miles']]]*1.60934449789256</f>
        <v>14220.16798337866</v>
      </c>
      <c r="I34" t="s">
        <v>250</v>
      </c>
    </row>
    <row r="35" spans="1:9">
      <c r="A35" t="s">
        <v>189</v>
      </c>
      <c r="B35" t="s">
        <v>196</v>
      </c>
      <c r="E35">
        <f t="shared" si="2"/>
        <v>0</v>
      </c>
      <c r="F35">
        <v>5250</v>
      </c>
      <c r="G35">
        <f>LNG_global[[#This Row],[Distance '[miles']]]*1.60934449789256</f>
        <v>8449.0586139359402</v>
      </c>
      <c r="I35" t="s">
        <v>251</v>
      </c>
    </row>
    <row r="36" spans="1:9">
      <c r="A36" t="s">
        <v>190</v>
      </c>
      <c r="B36" t="s">
        <v>191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258</v>
      </c>
    </row>
    <row r="37" spans="1:9">
      <c r="A37" t="s">
        <v>190</v>
      </c>
      <c r="B37" t="s">
        <v>189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245</v>
      </c>
    </row>
    <row r="38" spans="1:9">
      <c r="A38" t="s">
        <v>190</v>
      </c>
      <c r="B38" t="s">
        <v>192</v>
      </c>
      <c r="E38">
        <f t="shared" si="3"/>
        <v>0</v>
      </c>
      <c r="F38">
        <v>3175</v>
      </c>
      <c r="G38">
        <f>LNG_global[[#This Row],[Distance '[miles']]]*1.60934449789256</f>
        <v>5109.6687808088782</v>
      </c>
      <c r="I38" t="s">
        <v>247</v>
      </c>
    </row>
    <row r="39" spans="1:9">
      <c r="A39" t="s">
        <v>190</v>
      </c>
      <c r="B39" t="s">
        <v>193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248</v>
      </c>
    </row>
    <row r="40" spans="1:9">
      <c r="A40" t="s">
        <v>190</v>
      </c>
      <c r="B40" t="s">
        <v>194</v>
      </c>
      <c r="E40">
        <f t="shared" si="3"/>
        <v>0</v>
      </c>
      <c r="F40">
        <v>4180</v>
      </c>
      <c r="G40">
        <f>LNG_global[[#This Row],[Distance '[miles']]]*1.60934449789256</f>
        <v>6727.0600011909009</v>
      </c>
      <c r="I40" t="s">
        <v>256</v>
      </c>
    </row>
    <row r="41" spans="1:9">
      <c r="A41" t="s">
        <v>190</v>
      </c>
      <c r="B41" t="s">
        <v>195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250</v>
      </c>
    </row>
    <row r="42" spans="1:9">
      <c r="A42" t="s">
        <v>190</v>
      </c>
      <c r="B42" t="s">
        <v>196</v>
      </c>
      <c r="E42">
        <f t="shared" si="3"/>
        <v>0</v>
      </c>
      <c r="F42">
        <v>6655</v>
      </c>
      <c r="G42">
        <f>LNG_global[[#This Row],[Distance '[miles']]]*1.60934449789256</f>
        <v>10710.187633474987</v>
      </c>
      <c r="I42" t="s">
        <v>218</v>
      </c>
    </row>
    <row r="43" spans="1:9">
      <c r="A43" t="s">
        <v>198</v>
      </c>
      <c r="B43" t="s">
        <v>191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244</v>
      </c>
    </row>
    <row r="44" spans="1:9">
      <c r="A44" t="s">
        <v>198</v>
      </c>
      <c r="B44" t="s">
        <v>189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245</v>
      </c>
    </row>
    <row r="45" spans="1:9">
      <c r="A45" t="s">
        <v>198</v>
      </c>
      <c r="B45" t="s">
        <v>192</v>
      </c>
      <c r="E45">
        <f t="shared" si="4"/>
        <v>0</v>
      </c>
      <c r="F45">
        <v>13641</v>
      </c>
      <c r="G45">
        <f>LNG_global[[#This Row],[Distance '[miles']]]*1.60934449789256</f>
        <v>21953.068295752411</v>
      </c>
      <c r="H45" t="s">
        <v>218</v>
      </c>
      <c r="I45" t="s">
        <v>247</v>
      </c>
    </row>
    <row r="46" spans="1:9">
      <c r="A46" t="s">
        <v>198</v>
      </c>
      <c r="B46" t="s">
        <v>193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248</v>
      </c>
    </row>
    <row r="47" spans="1:9">
      <c r="A47" t="s">
        <v>198</v>
      </c>
      <c r="B47" t="s">
        <v>194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218</v>
      </c>
      <c r="I47" t="s">
        <v>249</v>
      </c>
    </row>
    <row r="48" spans="1:9">
      <c r="A48" t="s">
        <v>198</v>
      </c>
      <c r="B48" t="s">
        <v>195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218</v>
      </c>
      <c r="I48" t="s">
        <v>250</v>
      </c>
    </row>
    <row r="49" spans="1:9">
      <c r="A49" t="s">
        <v>198</v>
      </c>
      <c r="B49" t="s">
        <v>196</v>
      </c>
      <c r="E49">
        <f t="shared" si="4"/>
        <v>0</v>
      </c>
      <c r="F49">
        <v>6008</v>
      </c>
      <c r="G49">
        <f>LNG_global[[#This Row],[Distance '[miles']]]*1.60934449789256</f>
        <v>9668.9417433385006</v>
      </c>
      <c r="I49" t="s">
        <v>251</v>
      </c>
    </row>
    <row r="50" spans="1:9">
      <c r="A50" t="s">
        <v>196</v>
      </c>
      <c r="B50" t="s">
        <v>191</v>
      </c>
      <c r="E50">
        <f>D50/1000</f>
        <v>0</v>
      </c>
      <c r="F50">
        <v>6103</v>
      </c>
      <c r="G50">
        <f>LNG_global[[#This Row],[Distance '[miles']]]*1.60934449789256</f>
        <v>9821.8294706382931</v>
      </c>
      <c r="I50" t="s">
        <v>244</v>
      </c>
    </row>
    <row r="51" spans="1:9">
      <c r="A51" t="s">
        <v>196</v>
      </c>
      <c r="B51" t="s">
        <v>189</v>
      </c>
      <c r="E51">
        <f t="shared" ref="E51:E56" si="5">D51/1000</f>
        <v>0</v>
      </c>
      <c r="F51">
        <v>5250</v>
      </c>
      <c r="G51">
        <f>LNG_global[[#This Row],[Distance '[miles']]]*1.60934449789256</f>
        <v>8449.0586139359402</v>
      </c>
      <c r="I51" t="s">
        <v>245</v>
      </c>
    </row>
    <row r="52" spans="1:9">
      <c r="A52" t="s">
        <v>196</v>
      </c>
      <c r="B52" t="s">
        <v>192</v>
      </c>
      <c r="E52">
        <f t="shared" si="5"/>
        <v>0</v>
      </c>
      <c r="F52">
        <v>7546</v>
      </c>
      <c r="G52">
        <f>LNG_global[[#This Row],[Distance '[miles']]]*1.60934449789256</f>
        <v>12144.113581097257</v>
      </c>
      <c r="I52" t="s">
        <v>247</v>
      </c>
    </row>
    <row r="53" spans="1:9">
      <c r="A53" t="s">
        <v>196</v>
      </c>
      <c r="B53" t="s">
        <v>193</v>
      </c>
      <c r="E53">
        <f t="shared" si="5"/>
        <v>0</v>
      </c>
      <c r="F53">
        <v>7831</v>
      </c>
      <c r="G53">
        <f>LNG_global[[#This Row],[Distance '[miles']]]*1.60934449789256</f>
        <v>12602.776762996637</v>
      </c>
      <c r="I53" t="s">
        <v>248</v>
      </c>
    </row>
    <row r="54" spans="1:9">
      <c r="A54" t="s">
        <v>196</v>
      </c>
      <c r="B54" t="s">
        <v>194</v>
      </c>
      <c r="E54">
        <f t="shared" si="5"/>
        <v>0</v>
      </c>
      <c r="F54">
        <v>2800</v>
      </c>
      <c r="G54">
        <f>LNG_global[[#This Row],[Distance '[miles']]]*1.60934449789256</f>
        <v>4506.1645940991675</v>
      </c>
      <c r="I54" t="s">
        <v>249</v>
      </c>
    </row>
    <row r="55" spans="1:9">
      <c r="A55" t="s">
        <v>196</v>
      </c>
      <c r="B55" t="s">
        <v>195</v>
      </c>
      <c r="E55">
        <f t="shared" si="5"/>
        <v>0</v>
      </c>
      <c r="F55">
        <v>5758</v>
      </c>
      <c r="G55">
        <f>LNG_global[[#This Row],[Distance '[miles']]]*1.60934449789256</f>
        <v>9266.6056188653602</v>
      </c>
      <c r="I55" t="s">
        <v>250</v>
      </c>
    </row>
    <row r="56" spans="1:9">
      <c r="A56" t="s">
        <v>199</v>
      </c>
      <c r="B56" t="s">
        <v>191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244</v>
      </c>
    </row>
    <row r="57" spans="1:9">
      <c r="A57" t="s">
        <v>199</v>
      </c>
      <c r="B57" t="s">
        <v>189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245</v>
      </c>
    </row>
    <row r="58" spans="1:9">
      <c r="A58" t="s">
        <v>199</v>
      </c>
      <c r="B58" t="s">
        <v>192</v>
      </c>
      <c r="E58">
        <f t="shared" si="6"/>
        <v>0</v>
      </c>
      <c r="F58">
        <v>2583</v>
      </c>
      <c r="G58">
        <f>LNG_global[[#This Row],[Distance '[miles']]]*1.60934449789256</f>
        <v>4156.936838056482</v>
      </c>
      <c r="I58" t="s">
        <v>247</v>
      </c>
    </row>
    <row r="59" spans="1:9">
      <c r="A59" t="s">
        <v>199</v>
      </c>
      <c r="B59" t="s">
        <v>193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248</v>
      </c>
    </row>
    <row r="60" spans="1:9">
      <c r="A60" t="s">
        <v>199</v>
      </c>
      <c r="B60" t="s">
        <v>194</v>
      </c>
      <c r="E60">
        <f t="shared" si="6"/>
        <v>0</v>
      </c>
      <c r="F60">
        <v>3463</v>
      </c>
      <c r="G60">
        <f>LNG_global[[#This Row],[Distance '[miles']]]*1.60934449789256</f>
        <v>5573.1599962019354</v>
      </c>
      <c r="I60" t="s">
        <v>256</v>
      </c>
    </row>
    <row r="61" spans="1:9">
      <c r="A61" t="s">
        <v>199</v>
      </c>
      <c r="B61" t="s">
        <v>195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250</v>
      </c>
    </row>
    <row r="62" spans="1:9">
      <c r="A62" t="s">
        <v>199</v>
      </c>
      <c r="B62" t="s">
        <v>196</v>
      </c>
      <c r="E62">
        <f t="shared" si="6"/>
        <v>0</v>
      </c>
      <c r="F62">
        <v>5942</v>
      </c>
      <c r="G62">
        <f>LNG_global[[#This Row],[Distance '[miles']]]*1.60934449789256</f>
        <v>9562.7250064775908</v>
      </c>
      <c r="I62" t="s">
        <v>218</v>
      </c>
    </row>
    <row r="63" spans="1:9">
      <c r="A63" t="s">
        <v>188</v>
      </c>
      <c r="B63" t="s">
        <v>205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218</v>
      </c>
      <c r="I63" t="s">
        <v>239</v>
      </c>
    </row>
    <row r="64" spans="1:9">
      <c r="A64" t="s">
        <v>188</v>
      </c>
      <c r="B64" t="s">
        <v>206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218</v>
      </c>
      <c r="I64" t="s">
        <v>219</v>
      </c>
    </row>
    <row r="65" spans="1:9">
      <c r="A65" t="s">
        <v>188</v>
      </c>
      <c r="B65" t="s">
        <v>207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218</v>
      </c>
      <c r="I65" t="s">
        <v>220</v>
      </c>
    </row>
    <row r="66" spans="1:9">
      <c r="A66" t="s">
        <v>188</v>
      </c>
      <c r="B66" t="s">
        <v>208</v>
      </c>
      <c r="E66">
        <f t="shared" si="7"/>
        <v>0</v>
      </c>
      <c r="F66">
        <v>4452</v>
      </c>
      <c r="G66">
        <f>LNG_global[[#This Row],[Distance '[miles']]]*1.60934449789256</f>
        <v>7164.8017046176765</v>
      </c>
      <c r="H66" t="s">
        <v>218</v>
      </c>
      <c r="I66" t="s">
        <v>221</v>
      </c>
    </row>
    <row r="67" spans="1:9">
      <c r="A67" t="s">
        <v>188</v>
      </c>
      <c r="B67" t="s">
        <v>209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218</v>
      </c>
      <c r="I67" t="s">
        <v>222</v>
      </c>
    </row>
    <row r="68" spans="1:9">
      <c r="A68" t="s">
        <v>188</v>
      </c>
      <c r="B68" t="s">
        <v>210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218</v>
      </c>
      <c r="I68" t="s">
        <v>223</v>
      </c>
    </row>
    <row r="69" spans="1:9">
      <c r="A69" t="s">
        <v>188</v>
      </c>
      <c r="B69" t="s">
        <v>211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218</v>
      </c>
      <c r="I69" t="s">
        <v>224</v>
      </c>
    </row>
    <row r="70" spans="1:9">
      <c r="A70" t="s">
        <v>188</v>
      </c>
      <c r="B70" t="s">
        <v>212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218</v>
      </c>
      <c r="I70" t="s">
        <v>225</v>
      </c>
    </row>
    <row r="71" spans="1:9">
      <c r="A71" t="s">
        <v>188</v>
      </c>
      <c r="B71" t="s">
        <v>213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218</v>
      </c>
      <c r="I71" t="s">
        <v>226</v>
      </c>
    </row>
    <row r="72" spans="1:9">
      <c r="A72" t="s">
        <v>188</v>
      </c>
      <c r="B72" t="s">
        <v>214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218</v>
      </c>
      <c r="I72" t="s">
        <v>227</v>
      </c>
    </row>
    <row r="73" spans="1:9">
      <c r="A73" t="s">
        <v>188</v>
      </c>
      <c r="B73" t="s">
        <v>215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218</v>
      </c>
      <c r="I73" t="s">
        <v>228</v>
      </c>
    </row>
    <row r="74" spans="1:9">
      <c r="A74" t="s">
        <v>188</v>
      </c>
      <c r="B74" t="s">
        <v>216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218</v>
      </c>
      <c r="I74" t="s">
        <v>243</v>
      </c>
    </row>
    <row r="75" spans="1:9">
      <c r="A75" t="s">
        <v>188</v>
      </c>
      <c r="B75" t="s">
        <v>229</v>
      </c>
      <c r="E75">
        <f t="shared" ref="E75:E79" si="8">D75/1000</f>
        <v>0</v>
      </c>
      <c r="F75">
        <v>7423</v>
      </c>
      <c r="G75">
        <f>LNG_global[[#This Row],[Distance '[miles']]]*1.60934449789256</f>
        <v>11946.164207856473</v>
      </c>
      <c r="H75" t="s">
        <v>218</v>
      </c>
      <c r="I75" t="s">
        <v>234</v>
      </c>
    </row>
    <row r="76" spans="1:9">
      <c r="A76" t="s">
        <v>188</v>
      </c>
      <c r="B76" t="s">
        <v>230</v>
      </c>
      <c r="E76">
        <f t="shared" si="8"/>
        <v>0</v>
      </c>
      <c r="F76">
        <v>7423</v>
      </c>
      <c r="G76">
        <f>LNG_global[[#This Row],[Distance '[miles']]]*1.60934449789256</f>
        <v>11946.164207856473</v>
      </c>
      <c r="H76" t="s">
        <v>218</v>
      </c>
      <c r="I76" t="s">
        <v>235</v>
      </c>
    </row>
    <row r="77" spans="1:9">
      <c r="A77" t="s">
        <v>188</v>
      </c>
      <c r="B77" t="s">
        <v>231</v>
      </c>
      <c r="E77">
        <f t="shared" si="8"/>
        <v>0</v>
      </c>
      <c r="F77">
        <v>6540</v>
      </c>
      <c r="G77">
        <f>LNG_global[[#This Row],[Distance '[miles']]]*1.60934449789256</f>
        <v>10525.113016217341</v>
      </c>
      <c r="H77" t="s">
        <v>218</v>
      </c>
      <c r="I77" t="s">
        <v>236</v>
      </c>
    </row>
    <row r="78" spans="1:9">
      <c r="A78" t="s">
        <v>188</v>
      </c>
      <c r="B78" t="s">
        <v>232</v>
      </c>
      <c r="E78">
        <f t="shared" si="8"/>
        <v>0</v>
      </c>
      <c r="F78">
        <v>6078</v>
      </c>
      <c r="G78">
        <f>LNG_global[[#This Row],[Distance '[miles']]]*1.60934449789256</f>
        <v>9781.5958581909799</v>
      </c>
      <c r="H78" t="s">
        <v>218</v>
      </c>
      <c r="I78" t="s">
        <v>237</v>
      </c>
    </row>
    <row r="79" spans="1:9">
      <c r="A79" t="s">
        <v>188</v>
      </c>
      <c r="B79" t="s">
        <v>233</v>
      </c>
      <c r="E79">
        <f t="shared" si="8"/>
        <v>0</v>
      </c>
      <c r="F79">
        <v>7363</v>
      </c>
      <c r="G79">
        <f>LNG_global[[#This Row],[Distance '[miles']]]*1.60934449789256</f>
        <v>11849.603537982919</v>
      </c>
      <c r="H79" t="s">
        <v>218</v>
      </c>
      <c r="I79" t="s">
        <v>238</v>
      </c>
    </row>
    <row r="80" spans="1:9">
      <c r="A80" t="s">
        <v>184</v>
      </c>
      <c r="B80" t="s">
        <v>205</v>
      </c>
      <c r="E80">
        <f>D80/1000</f>
        <v>0</v>
      </c>
      <c r="F80">
        <v>4986</v>
      </c>
      <c r="G80">
        <f>LNG_global[[#This Row],[Distance '[miles']]]*1.60934449789256</f>
        <v>8024.1916664923037</v>
      </c>
      <c r="I80" t="s">
        <v>239</v>
      </c>
    </row>
    <row r="81" spans="1:9">
      <c r="A81" t="s">
        <v>184</v>
      </c>
      <c r="B81" t="s">
        <v>206</v>
      </c>
      <c r="E81">
        <f t="shared" ref="E81:E96" si="9">D81/1000</f>
        <v>0</v>
      </c>
      <c r="F81">
        <v>4815</v>
      </c>
      <c r="G81">
        <f>LNG_global[[#This Row],[Distance '[miles']]]*1.60934449789256</f>
        <v>7748.9937573526759</v>
      </c>
      <c r="I81" t="s">
        <v>219</v>
      </c>
    </row>
    <row r="82" spans="1:9">
      <c r="A82" t="s">
        <v>184</v>
      </c>
      <c r="B82" t="s">
        <v>207</v>
      </c>
      <c r="E82">
        <f t="shared" si="9"/>
        <v>0</v>
      </c>
      <c r="F82">
        <v>6255</v>
      </c>
      <c r="G82">
        <f>LNG_global[[#This Row],[Distance '[miles']]]*1.60934449789256</f>
        <v>10066.449834317962</v>
      </c>
      <c r="I82" t="s">
        <v>220</v>
      </c>
    </row>
    <row r="83" spans="1:9">
      <c r="A83" t="s">
        <v>184</v>
      </c>
      <c r="B83" t="s">
        <v>208</v>
      </c>
      <c r="E83">
        <f t="shared" si="9"/>
        <v>0</v>
      </c>
      <c r="F83">
        <v>5637</v>
      </c>
      <c r="G83">
        <f>LNG_global[[#This Row],[Distance '[miles']]]*1.60934449789256</f>
        <v>9071.8749346203604</v>
      </c>
      <c r="I83" t="s">
        <v>221</v>
      </c>
    </row>
    <row r="84" spans="1:9">
      <c r="A84" t="s">
        <v>184</v>
      </c>
      <c r="B84" t="s">
        <v>209</v>
      </c>
      <c r="E84">
        <f t="shared" si="9"/>
        <v>0</v>
      </c>
      <c r="F84">
        <v>6380</v>
      </c>
      <c r="G84">
        <f>LNG_global[[#This Row],[Distance '[miles']]]*1.60934449789256</f>
        <v>10267.617896554533</v>
      </c>
      <c r="I84" t="s">
        <v>222</v>
      </c>
    </row>
    <row r="85" spans="1:9">
      <c r="A85" t="s">
        <v>184</v>
      </c>
      <c r="B85" t="s">
        <v>210</v>
      </c>
      <c r="E85">
        <f t="shared" si="9"/>
        <v>0</v>
      </c>
      <c r="F85">
        <v>5634</v>
      </c>
      <c r="G85">
        <f>LNG_global[[#This Row],[Distance '[miles']]]*1.60934449789256</f>
        <v>9067.0469011266832</v>
      </c>
      <c r="I85" t="s">
        <v>223</v>
      </c>
    </row>
    <row r="86" spans="1:9">
      <c r="A86" t="s">
        <v>184</v>
      </c>
      <c r="B86" t="s">
        <v>211</v>
      </c>
      <c r="E86">
        <f t="shared" si="9"/>
        <v>0</v>
      </c>
      <c r="F86">
        <v>5052</v>
      </c>
      <c r="G86">
        <f>LNG_global[[#This Row],[Distance '[miles']]]*1.60934449789256</f>
        <v>8130.4084033532126</v>
      </c>
      <c r="I86" t="s">
        <v>224</v>
      </c>
    </row>
    <row r="87" spans="1:9">
      <c r="A87" t="s">
        <v>184</v>
      </c>
      <c r="B87" t="s">
        <v>212</v>
      </c>
      <c r="E87">
        <f t="shared" si="9"/>
        <v>0</v>
      </c>
      <c r="F87">
        <v>5443</v>
      </c>
      <c r="G87">
        <f>LNG_global[[#This Row],[Distance '[miles']]]*1.60934449789256</f>
        <v>8759.6621020292041</v>
      </c>
      <c r="I87" t="s">
        <v>225</v>
      </c>
    </row>
    <row r="88" spans="1:9">
      <c r="A88" t="s">
        <v>184</v>
      </c>
      <c r="B88" t="s">
        <v>213</v>
      </c>
      <c r="E88">
        <f t="shared" si="9"/>
        <v>0</v>
      </c>
      <c r="F88">
        <v>4565</v>
      </c>
      <c r="G88">
        <f>LNG_global[[#This Row],[Distance '[miles']]]*1.60934449789256</f>
        <v>7346.6576328795363</v>
      </c>
      <c r="I88" t="s">
        <v>226</v>
      </c>
    </row>
    <row r="89" spans="1:9">
      <c r="A89" t="s">
        <v>184</v>
      </c>
      <c r="B89" t="s">
        <v>214</v>
      </c>
      <c r="E89">
        <f t="shared" si="9"/>
        <v>0</v>
      </c>
      <c r="F89">
        <v>4786</v>
      </c>
      <c r="G89">
        <f>LNG_global[[#This Row],[Distance '[miles']]]*1.60934449789256</f>
        <v>7702.3227669137923</v>
      </c>
      <c r="I89" t="s">
        <v>242</v>
      </c>
    </row>
    <row r="90" spans="1:9">
      <c r="A90" t="s">
        <v>184</v>
      </c>
      <c r="B90" t="s">
        <v>215</v>
      </c>
      <c r="E90">
        <f t="shared" si="9"/>
        <v>0</v>
      </c>
      <c r="F90">
        <v>6409</v>
      </c>
      <c r="G90">
        <f>LNG_global[[#This Row],[Distance '[miles']]]*1.60934449789256</f>
        <v>10314.288886993416</v>
      </c>
      <c r="I90" t="s">
        <v>228</v>
      </c>
    </row>
    <row r="91" spans="1:9">
      <c r="A91" t="s">
        <v>184</v>
      </c>
      <c r="B91" t="s">
        <v>216</v>
      </c>
      <c r="E91">
        <f t="shared" si="9"/>
        <v>0</v>
      </c>
      <c r="F91">
        <v>4666</v>
      </c>
      <c r="G91">
        <f>LNG_global[[#This Row],[Distance '[miles']]]*1.60934449789256</f>
        <v>7509.2014271666849</v>
      </c>
      <c r="I91" t="s">
        <v>243</v>
      </c>
    </row>
    <row r="92" spans="1:9">
      <c r="A92" t="s">
        <v>184</v>
      </c>
      <c r="B92" t="s">
        <v>229</v>
      </c>
      <c r="E92">
        <f t="shared" si="9"/>
        <v>0</v>
      </c>
      <c r="F92">
        <v>5846</v>
      </c>
      <c r="G92">
        <f>LNG_global[[#This Row],[Distance '[miles']]]*1.60934449789256</f>
        <v>9408.227934679906</v>
      </c>
      <c r="I92" t="s">
        <v>234</v>
      </c>
    </row>
    <row r="93" spans="1:9">
      <c r="A93" t="s">
        <v>184</v>
      </c>
      <c r="B93" t="s">
        <v>230</v>
      </c>
      <c r="E93">
        <f t="shared" si="9"/>
        <v>0</v>
      </c>
      <c r="F93">
        <v>5846</v>
      </c>
      <c r="G93">
        <f>LNG_global[[#This Row],[Distance '[miles']]]*1.60934449789256</f>
        <v>9408.227934679906</v>
      </c>
      <c r="I93" t="s">
        <v>235</v>
      </c>
    </row>
    <row r="94" spans="1:9">
      <c r="A94" t="s">
        <v>184</v>
      </c>
      <c r="B94" t="s">
        <v>231</v>
      </c>
      <c r="E94">
        <f t="shared" si="9"/>
        <v>0</v>
      </c>
      <c r="F94">
        <v>5215</v>
      </c>
      <c r="G94">
        <f>LNG_global[[#This Row],[Distance '[miles']]]*1.60934449789256</f>
        <v>8392.7315565096997</v>
      </c>
      <c r="I94" t="s">
        <v>236</v>
      </c>
    </row>
    <row r="95" spans="1:9">
      <c r="A95" t="s">
        <v>184</v>
      </c>
      <c r="B95" t="s">
        <v>232</v>
      </c>
      <c r="E95">
        <f t="shared" si="9"/>
        <v>0</v>
      </c>
      <c r="F95">
        <v>4564</v>
      </c>
      <c r="G95">
        <f>LNG_global[[#This Row],[Distance '[miles']]]*1.60934449789256</f>
        <v>7345.0482883816439</v>
      </c>
      <c r="I95" t="s">
        <v>237</v>
      </c>
    </row>
    <row r="96" spans="1:9">
      <c r="A96" t="s">
        <v>184</v>
      </c>
      <c r="B96" t="s">
        <v>233</v>
      </c>
      <c r="E96">
        <f t="shared" si="9"/>
        <v>0</v>
      </c>
      <c r="F96">
        <v>5786</v>
      </c>
      <c r="G96">
        <f>LNG_global[[#This Row],[Distance '[miles']]]*1.60934449789256</f>
        <v>9311.6672648063523</v>
      </c>
      <c r="I96" t="s">
        <v>238</v>
      </c>
    </row>
    <row r="97" spans="1:9">
      <c r="A97" t="s">
        <v>186</v>
      </c>
      <c r="B97" t="s">
        <v>205</v>
      </c>
      <c r="E97">
        <f>D97/1000</f>
        <v>0</v>
      </c>
      <c r="F97">
        <v>3985</v>
      </c>
      <c r="G97">
        <f>LNG_global[[#This Row],[Distance '[miles']]]*1.60934449789256</f>
        <v>6413.2378241018514</v>
      </c>
      <c r="I97" t="s">
        <v>239</v>
      </c>
    </row>
    <row r="98" spans="1:9">
      <c r="A98" t="s">
        <v>186</v>
      </c>
      <c r="B98" t="s">
        <v>206</v>
      </c>
      <c r="E98">
        <f t="shared" ref="E98:E113" si="10">D98/1000</f>
        <v>0</v>
      </c>
      <c r="F98">
        <v>4101</v>
      </c>
      <c r="G98">
        <f>LNG_global[[#This Row],[Distance '[miles']]]*1.60934449789256</f>
        <v>6599.9217858573884</v>
      </c>
      <c r="I98" t="s">
        <v>219</v>
      </c>
    </row>
    <row r="99" spans="1:9">
      <c r="A99" t="s">
        <v>186</v>
      </c>
      <c r="B99" t="s">
        <v>207</v>
      </c>
      <c r="E99">
        <f t="shared" si="10"/>
        <v>0</v>
      </c>
      <c r="F99">
        <v>4898</v>
      </c>
      <c r="G99">
        <f>LNG_global[[#This Row],[Distance '[miles']]]*1.60934449789256</f>
        <v>7882.5693506777588</v>
      </c>
      <c r="I99" t="s">
        <v>220</v>
      </c>
    </row>
    <row r="100" spans="1:9">
      <c r="A100" t="s">
        <v>186</v>
      </c>
      <c r="B100" t="s">
        <v>208</v>
      </c>
      <c r="E100">
        <f t="shared" si="10"/>
        <v>0</v>
      </c>
      <c r="F100">
        <v>4280</v>
      </c>
      <c r="G100">
        <f>LNG_global[[#This Row],[Distance '[miles']]]*1.60934449789256</f>
        <v>6887.9944509801562</v>
      </c>
      <c r="I100" t="s">
        <v>221</v>
      </c>
    </row>
    <row r="101" spans="1:9">
      <c r="A101" t="s">
        <v>186</v>
      </c>
      <c r="B101" t="s">
        <v>209</v>
      </c>
      <c r="E101">
        <f t="shared" si="10"/>
        <v>0</v>
      </c>
      <c r="F101">
        <v>5023</v>
      </c>
      <c r="G101">
        <f>LNG_global[[#This Row],[Distance '[miles']]]*1.60934449789256</f>
        <v>8083.7374129143291</v>
      </c>
      <c r="I101" t="s">
        <v>222</v>
      </c>
    </row>
    <row r="102" spans="1:9">
      <c r="A102" t="s">
        <v>186</v>
      </c>
      <c r="B102" t="s">
        <v>210</v>
      </c>
      <c r="E102">
        <f t="shared" si="10"/>
        <v>0</v>
      </c>
      <c r="F102">
        <v>4823</v>
      </c>
      <c r="G102">
        <f>LNG_global[[#This Row],[Distance '[miles']]]*1.60934449789256</f>
        <v>7761.8685133358167</v>
      </c>
      <c r="I102" t="s">
        <v>223</v>
      </c>
    </row>
    <row r="103" spans="1:9">
      <c r="A103" t="s">
        <v>186</v>
      </c>
      <c r="B103" t="s">
        <v>211</v>
      </c>
      <c r="E103">
        <f t="shared" si="10"/>
        <v>0</v>
      </c>
      <c r="F103">
        <v>4051</v>
      </c>
      <c r="G103">
        <f>LNG_global[[#This Row],[Distance '[miles']]]*1.60934449789256</f>
        <v>6519.4545609627603</v>
      </c>
      <c r="I103" t="s">
        <v>224</v>
      </c>
    </row>
    <row r="104" spans="1:9">
      <c r="A104" t="s">
        <v>186</v>
      </c>
      <c r="B104" t="s">
        <v>212</v>
      </c>
      <c r="E104">
        <f t="shared" si="10"/>
        <v>0</v>
      </c>
      <c r="F104">
        <v>4632</v>
      </c>
      <c r="G104">
        <f>LNG_global[[#This Row],[Distance '[miles']]]*1.60934449789256</f>
        <v>7454.4837142383376</v>
      </c>
      <c r="I104" t="s">
        <v>225</v>
      </c>
    </row>
    <row r="105" spans="1:9">
      <c r="A105" t="s">
        <v>186</v>
      </c>
      <c r="B105" t="s">
        <v>213</v>
      </c>
      <c r="E105">
        <f t="shared" si="10"/>
        <v>0</v>
      </c>
      <c r="F105">
        <v>3299</v>
      </c>
      <c r="G105">
        <f>LNG_global[[#This Row],[Distance '[miles']]]*1.60934449789256</f>
        <v>5309.2274985475551</v>
      </c>
      <c r="I105" t="s">
        <v>226</v>
      </c>
    </row>
    <row r="106" spans="1:9">
      <c r="A106" t="s">
        <v>186</v>
      </c>
      <c r="B106" t="s">
        <v>214</v>
      </c>
      <c r="E106">
        <f t="shared" si="10"/>
        <v>0</v>
      </c>
      <c r="F106">
        <v>3366</v>
      </c>
      <c r="G106">
        <f>LNG_global[[#This Row],[Distance '[miles']]]*1.60934449789256</f>
        <v>5417.0535799063564</v>
      </c>
      <c r="I106" t="s">
        <v>255</v>
      </c>
    </row>
    <row r="107" spans="1:9">
      <c r="A107" t="s">
        <v>186</v>
      </c>
      <c r="B107" t="s">
        <v>215</v>
      </c>
      <c r="E107">
        <f t="shared" si="10"/>
        <v>0</v>
      </c>
      <c r="F107">
        <v>5052</v>
      </c>
      <c r="G107">
        <f>LNG_global[[#This Row],[Distance '[miles']]]*1.60934449789256</f>
        <v>8130.4084033532126</v>
      </c>
      <c r="I107" t="s">
        <v>228</v>
      </c>
    </row>
    <row r="108" spans="1:9">
      <c r="A108" t="s">
        <v>186</v>
      </c>
      <c r="B108" t="s">
        <v>216</v>
      </c>
      <c r="E108">
        <f t="shared" si="10"/>
        <v>0</v>
      </c>
      <c r="F108">
        <v>3733</v>
      </c>
      <c r="G108">
        <f>LNG_global[[#This Row],[Distance '[miles']]]*1.60934449789256</f>
        <v>6007.6830106329262</v>
      </c>
      <c r="I108" t="s">
        <v>243</v>
      </c>
    </row>
    <row r="109" spans="1:9">
      <c r="A109" t="s">
        <v>186</v>
      </c>
      <c r="B109" t="s">
        <v>229</v>
      </c>
      <c r="E109">
        <f t="shared" si="10"/>
        <v>0</v>
      </c>
      <c r="F109">
        <v>5035</v>
      </c>
      <c r="G109">
        <f>LNG_global[[#This Row],[Distance '[miles']]]*1.60934449789256</f>
        <v>8103.0495468890394</v>
      </c>
      <c r="I109" t="s">
        <v>234</v>
      </c>
    </row>
    <row r="110" spans="1:9">
      <c r="A110" t="s">
        <v>186</v>
      </c>
      <c r="B110" t="s">
        <v>230</v>
      </c>
      <c r="E110">
        <f t="shared" si="10"/>
        <v>0</v>
      </c>
      <c r="F110">
        <v>5035</v>
      </c>
      <c r="G110">
        <f>LNG_global[[#This Row],[Distance '[miles']]]*1.60934449789256</f>
        <v>8103.0495468890394</v>
      </c>
      <c r="I110" t="s">
        <v>235</v>
      </c>
    </row>
    <row r="111" spans="1:9">
      <c r="A111" t="s">
        <v>186</v>
      </c>
      <c r="B111" t="s">
        <v>231</v>
      </c>
      <c r="E111">
        <f t="shared" si="10"/>
        <v>0</v>
      </c>
      <c r="F111">
        <v>4248</v>
      </c>
      <c r="G111">
        <f>LNG_global[[#This Row],[Distance '[miles']]]*1.60934449789256</f>
        <v>6836.4954270475946</v>
      </c>
      <c r="I111" t="s">
        <v>236</v>
      </c>
    </row>
    <row r="112" spans="1:9">
      <c r="A112" t="s">
        <v>186</v>
      </c>
      <c r="B112" t="s">
        <v>232</v>
      </c>
      <c r="E112">
        <f t="shared" si="10"/>
        <v>0</v>
      </c>
      <c r="F112">
        <v>3599</v>
      </c>
      <c r="G112">
        <f>LNG_global[[#This Row],[Distance '[miles']]]*1.60934449789256</f>
        <v>5792.0308479153236</v>
      </c>
      <c r="I112" t="s">
        <v>237</v>
      </c>
    </row>
    <row r="113" spans="1:9">
      <c r="A113" t="s">
        <v>186</v>
      </c>
      <c r="B113" t="s">
        <v>233</v>
      </c>
      <c r="E113">
        <f t="shared" si="10"/>
        <v>0</v>
      </c>
      <c r="F113">
        <v>4975</v>
      </c>
      <c r="G113">
        <f>LNG_global[[#This Row],[Distance '[miles']]]*1.60934449789256</f>
        <v>8006.4888770154857</v>
      </c>
      <c r="I113" t="s">
        <v>238</v>
      </c>
    </row>
    <row r="114" spans="1:9">
      <c r="A114" t="s">
        <v>187</v>
      </c>
      <c r="B114" t="s">
        <v>205</v>
      </c>
      <c r="E114">
        <f>D114/1000</f>
        <v>0</v>
      </c>
      <c r="F114">
        <v>6210</v>
      </c>
      <c r="G114">
        <f>LNG_global[[#This Row],[Distance '[miles']]]*1.60934449789256</f>
        <v>9994.0293319127977</v>
      </c>
      <c r="H114" t="s">
        <v>218</v>
      </c>
      <c r="I114" t="s">
        <v>239</v>
      </c>
    </row>
    <row r="115" spans="1:9">
      <c r="A115" t="s">
        <v>187</v>
      </c>
      <c r="B115" t="s">
        <v>206</v>
      </c>
      <c r="E115">
        <f t="shared" ref="E115:E130" si="11">D115/1000</f>
        <v>0</v>
      </c>
      <c r="F115">
        <v>4514</v>
      </c>
      <c r="G115">
        <f>LNG_global[[#This Row],[Distance '[miles']]]*1.60934449789256</f>
        <v>7264.5810634870159</v>
      </c>
      <c r="H115" t="s">
        <v>218</v>
      </c>
      <c r="I115" t="s">
        <v>219</v>
      </c>
    </row>
    <row r="116" spans="1:9">
      <c r="A116" t="s">
        <v>187</v>
      </c>
      <c r="B116" t="s">
        <v>207</v>
      </c>
      <c r="E116">
        <f t="shared" si="11"/>
        <v>0</v>
      </c>
      <c r="F116">
        <v>3601</v>
      </c>
      <c r="G116">
        <f>LNG_global[[#This Row],[Distance '[miles']]]*1.60934449789256</f>
        <v>5795.2495369111084</v>
      </c>
      <c r="H116" t="s">
        <v>218</v>
      </c>
      <c r="I116" t="s">
        <v>220</v>
      </c>
    </row>
    <row r="117" spans="1:9">
      <c r="A117" t="s">
        <v>187</v>
      </c>
      <c r="B117" t="s">
        <v>208</v>
      </c>
      <c r="E117">
        <f t="shared" si="11"/>
        <v>0</v>
      </c>
      <c r="F117">
        <v>4385</v>
      </c>
      <c r="G117">
        <f>LNG_global[[#This Row],[Distance '[miles']]]*1.60934449789256</f>
        <v>7056.9756232588752</v>
      </c>
      <c r="H117" t="s">
        <v>218</v>
      </c>
      <c r="I117" t="s">
        <v>221</v>
      </c>
    </row>
    <row r="118" spans="1:9">
      <c r="A118" t="s">
        <v>187</v>
      </c>
      <c r="B118" t="s">
        <v>209</v>
      </c>
      <c r="E118">
        <f t="shared" si="11"/>
        <v>0</v>
      </c>
      <c r="F118">
        <v>4260</v>
      </c>
      <c r="G118">
        <f>LNG_global[[#This Row],[Distance '[miles']]]*1.60934449789256</f>
        <v>6855.807561022305</v>
      </c>
      <c r="H118" t="s">
        <v>218</v>
      </c>
      <c r="I118" t="s">
        <v>222</v>
      </c>
    </row>
    <row r="119" spans="1:9">
      <c r="A119" t="s">
        <v>187</v>
      </c>
      <c r="B119" t="s">
        <v>210</v>
      </c>
      <c r="E119">
        <f t="shared" si="11"/>
        <v>0</v>
      </c>
      <c r="F119">
        <v>7144</v>
      </c>
      <c r="G119">
        <f>LNG_global[[#This Row],[Distance '[miles']]]*1.60934449789256</f>
        <v>11497.157092944448</v>
      </c>
      <c r="H119" t="s">
        <v>218</v>
      </c>
      <c r="I119" t="s">
        <v>223</v>
      </c>
    </row>
    <row r="120" spans="1:9">
      <c r="A120" t="s">
        <v>187</v>
      </c>
      <c r="B120" t="s">
        <v>211</v>
      </c>
      <c r="E120">
        <f t="shared" si="11"/>
        <v>0</v>
      </c>
      <c r="F120">
        <v>6276</v>
      </c>
      <c r="G120">
        <f>LNG_global[[#This Row],[Distance '[miles']]]*1.60934449789256</f>
        <v>10100.246068773706</v>
      </c>
      <c r="H120" t="s">
        <v>218</v>
      </c>
      <c r="I120" t="s">
        <v>224</v>
      </c>
    </row>
    <row r="121" spans="1:9">
      <c r="A121" t="s">
        <v>187</v>
      </c>
      <c r="B121" t="s">
        <v>212</v>
      </c>
      <c r="E121">
        <f t="shared" si="11"/>
        <v>0</v>
      </c>
      <c r="F121">
        <v>6953</v>
      </c>
      <c r="G121">
        <f>LNG_global[[#This Row],[Distance '[miles']]]*1.60934449789256</f>
        <v>11189.772293846969</v>
      </c>
      <c r="H121" t="s">
        <v>218</v>
      </c>
      <c r="I121" t="s">
        <v>225</v>
      </c>
    </row>
    <row r="122" spans="1:9">
      <c r="A122" t="s">
        <v>187</v>
      </c>
      <c r="B122" t="s">
        <v>213</v>
      </c>
      <c r="E122">
        <f t="shared" si="11"/>
        <v>0</v>
      </c>
      <c r="F122">
        <v>5199</v>
      </c>
      <c r="G122">
        <f>LNG_global[[#This Row],[Distance '[miles']]]*1.60934449789256</f>
        <v>8366.9820445434198</v>
      </c>
      <c r="H122" t="s">
        <v>218</v>
      </c>
      <c r="I122" t="s">
        <v>226</v>
      </c>
    </row>
    <row r="123" spans="1:9">
      <c r="A123" t="s">
        <v>187</v>
      </c>
      <c r="B123" t="s">
        <v>214</v>
      </c>
      <c r="E123">
        <f t="shared" si="11"/>
        <v>0</v>
      </c>
      <c r="F123">
        <v>4590</v>
      </c>
      <c r="G123">
        <f>LNG_global[[#This Row],[Distance '[miles']]]*1.60934449789256</f>
        <v>7386.8912453268504</v>
      </c>
      <c r="H123" t="s">
        <v>218</v>
      </c>
      <c r="I123" t="s">
        <v>227</v>
      </c>
    </row>
    <row r="124" spans="1:9">
      <c r="A124" t="s">
        <v>187</v>
      </c>
      <c r="B124" t="s">
        <v>215</v>
      </c>
      <c r="E124">
        <f t="shared" si="11"/>
        <v>0</v>
      </c>
      <c r="F124">
        <v>3600</v>
      </c>
      <c r="G124">
        <f>LNG_global[[#This Row],[Distance '[miles']]]*1.60934449789256</f>
        <v>5793.640192413216</v>
      </c>
      <c r="H124" t="s">
        <v>218</v>
      </c>
      <c r="I124" t="s">
        <v>228</v>
      </c>
    </row>
    <row r="125" spans="1:9">
      <c r="A125" t="s">
        <v>187</v>
      </c>
      <c r="B125" t="s">
        <v>216</v>
      </c>
      <c r="E125">
        <f t="shared" si="11"/>
        <v>0</v>
      </c>
      <c r="F125">
        <v>6024</v>
      </c>
      <c r="G125">
        <f>LNG_global[[#This Row],[Distance '[miles']]]*1.60934449789256</f>
        <v>9694.6912553047805</v>
      </c>
      <c r="H125" t="s">
        <v>218</v>
      </c>
      <c r="I125" t="s">
        <v>243</v>
      </c>
    </row>
    <row r="126" spans="1:9">
      <c r="A126" t="s">
        <v>187</v>
      </c>
      <c r="B126" t="s">
        <v>229</v>
      </c>
      <c r="E126">
        <f t="shared" si="11"/>
        <v>0</v>
      </c>
      <c r="F126">
        <v>7356</v>
      </c>
      <c r="G126">
        <f>LNG_global[[#This Row],[Distance '[miles']]]*1.60934449789256</f>
        <v>11838.338126497671</v>
      </c>
      <c r="H126" t="s">
        <v>218</v>
      </c>
      <c r="I126" t="s">
        <v>234</v>
      </c>
    </row>
    <row r="127" spans="1:9">
      <c r="A127" t="s">
        <v>187</v>
      </c>
      <c r="B127" t="s">
        <v>230</v>
      </c>
      <c r="E127">
        <f t="shared" si="11"/>
        <v>0</v>
      </c>
      <c r="F127">
        <v>7356</v>
      </c>
      <c r="G127">
        <f>LNG_global[[#This Row],[Distance '[miles']]]*1.60934449789256</f>
        <v>11838.338126497671</v>
      </c>
      <c r="H127" t="s">
        <v>218</v>
      </c>
      <c r="I127" t="s">
        <v>235</v>
      </c>
    </row>
    <row r="128" spans="1:9">
      <c r="A128" t="s">
        <v>187</v>
      </c>
      <c r="B128" t="s">
        <v>231</v>
      </c>
      <c r="E128">
        <f t="shared" si="11"/>
        <v>0</v>
      </c>
      <c r="F128">
        <v>6473</v>
      </c>
      <c r="G128">
        <f>LNG_global[[#This Row],[Distance '[miles']]]*1.60934449789256</f>
        <v>10417.286934858541</v>
      </c>
      <c r="H128" t="s">
        <v>218</v>
      </c>
      <c r="I128" t="s">
        <v>236</v>
      </c>
    </row>
    <row r="129" spans="1:9">
      <c r="A129" t="s">
        <v>187</v>
      </c>
      <c r="B129" t="s">
        <v>232</v>
      </c>
      <c r="E129">
        <f t="shared" si="11"/>
        <v>0</v>
      </c>
      <c r="F129">
        <v>6011</v>
      </c>
      <c r="G129">
        <f>LNG_global[[#This Row],[Distance '[miles']]]*1.60934449789256</f>
        <v>9673.7697768321777</v>
      </c>
      <c r="H129" t="s">
        <v>218</v>
      </c>
      <c r="I129" t="s">
        <v>237</v>
      </c>
    </row>
    <row r="130" spans="1:9">
      <c r="A130" t="s">
        <v>187</v>
      </c>
      <c r="B130" t="s">
        <v>233</v>
      </c>
      <c r="E130">
        <f t="shared" si="11"/>
        <v>0</v>
      </c>
      <c r="F130">
        <v>7296</v>
      </c>
      <c r="G130">
        <f>LNG_global[[#This Row],[Distance '[miles']]]*1.60934449789256</f>
        <v>11741.777456624117</v>
      </c>
      <c r="H130" t="s">
        <v>218</v>
      </c>
      <c r="I130" t="s">
        <v>238</v>
      </c>
    </row>
    <row r="131" spans="1:9">
      <c r="A131" t="s">
        <v>189</v>
      </c>
      <c r="B131" t="s">
        <v>205</v>
      </c>
      <c r="E131">
        <f t="shared" ref="E131:E147" si="12">D131/1000</f>
        <v>0</v>
      </c>
      <c r="F131">
        <v>4348</v>
      </c>
      <c r="G131">
        <f>LNG_global[[#This Row],[Distance '[miles']]]*1.60934449789256</f>
        <v>6997.4298768368508</v>
      </c>
      <c r="I131" t="s">
        <v>239</v>
      </c>
    </row>
    <row r="132" spans="1:9">
      <c r="A132" t="s">
        <v>189</v>
      </c>
      <c r="B132" t="s">
        <v>206</v>
      </c>
      <c r="E132">
        <f t="shared" si="12"/>
        <v>0</v>
      </c>
      <c r="F132">
        <v>4027</v>
      </c>
      <c r="G132">
        <f>LNG_global[[#This Row],[Distance '[miles']]]*1.60934449789256</f>
        <v>6480.8302930133386</v>
      </c>
      <c r="I132" t="s">
        <v>219</v>
      </c>
    </row>
    <row r="133" spans="1:9">
      <c r="A133" t="s">
        <v>189</v>
      </c>
      <c r="B133" t="s">
        <v>207</v>
      </c>
      <c r="E133">
        <f t="shared" si="12"/>
        <v>0</v>
      </c>
      <c r="F133">
        <v>4824</v>
      </c>
      <c r="G133">
        <f>LNG_global[[#This Row],[Distance '[miles']]]*1.60934449789256</f>
        <v>7763.4778578337091</v>
      </c>
      <c r="I133" t="s">
        <v>220</v>
      </c>
    </row>
    <row r="134" spans="1:9">
      <c r="A134" t="s">
        <v>189</v>
      </c>
      <c r="B134" t="s">
        <v>208</v>
      </c>
      <c r="E134">
        <f t="shared" si="12"/>
        <v>0</v>
      </c>
      <c r="F134">
        <v>4206</v>
      </c>
      <c r="G134">
        <f>LNG_global[[#This Row],[Distance '[miles']]]*1.60934449789256</f>
        <v>6768.9029581361074</v>
      </c>
      <c r="I134" t="s">
        <v>221</v>
      </c>
    </row>
    <row r="135" spans="1:9">
      <c r="A135" t="s">
        <v>189</v>
      </c>
      <c r="B135" t="s">
        <v>209</v>
      </c>
      <c r="E135">
        <f t="shared" si="12"/>
        <v>0</v>
      </c>
      <c r="F135">
        <v>4949</v>
      </c>
      <c r="G135">
        <f>LNG_global[[#This Row],[Distance '[miles']]]*1.60934449789256</f>
        <v>7964.6459200702793</v>
      </c>
      <c r="I135" t="s">
        <v>222</v>
      </c>
    </row>
    <row r="136" spans="1:9">
      <c r="A136" t="s">
        <v>189</v>
      </c>
      <c r="B136" t="s">
        <v>210</v>
      </c>
      <c r="E136">
        <f t="shared" si="12"/>
        <v>0</v>
      </c>
      <c r="F136">
        <v>5282</v>
      </c>
      <c r="G136">
        <f>LNG_global[[#This Row],[Distance '[miles']]]*1.60934449789256</f>
        <v>8500.5576378685018</v>
      </c>
      <c r="I136" t="s">
        <v>223</v>
      </c>
    </row>
    <row r="137" spans="1:9">
      <c r="A137" t="s">
        <v>189</v>
      </c>
      <c r="B137" t="s">
        <v>211</v>
      </c>
      <c r="E137">
        <f t="shared" si="12"/>
        <v>0</v>
      </c>
      <c r="F137">
        <v>4414</v>
      </c>
      <c r="G137">
        <f>LNG_global[[#This Row],[Distance '[miles']]]*1.60934449789256</f>
        <v>7103.6466136977597</v>
      </c>
      <c r="I137" t="s">
        <v>224</v>
      </c>
    </row>
    <row r="138" spans="1:9">
      <c r="A138" t="s">
        <v>189</v>
      </c>
      <c r="B138" t="s">
        <v>212</v>
      </c>
      <c r="E138">
        <f t="shared" si="12"/>
        <v>0</v>
      </c>
      <c r="F138">
        <v>5091</v>
      </c>
      <c r="G138">
        <f>LNG_global[[#This Row],[Distance '[miles']]]*1.60934449789256</f>
        <v>8193.1728387710227</v>
      </c>
      <c r="I138" t="s">
        <v>225</v>
      </c>
    </row>
    <row r="139" spans="1:9">
      <c r="A139" t="s">
        <v>189</v>
      </c>
      <c r="B139" t="s">
        <v>213</v>
      </c>
      <c r="E139">
        <f t="shared" si="12"/>
        <v>0</v>
      </c>
      <c r="F139">
        <v>3389</v>
      </c>
      <c r="G139">
        <f>LNG_global[[#This Row],[Distance '[miles']]]*1.60934449789256</f>
        <v>5454.0685033578857</v>
      </c>
      <c r="I139" t="s">
        <v>226</v>
      </c>
    </row>
    <row r="140" spans="1:9">
      <c r="A140" t="s">
        <v>189</v>
      </c>
      <c r="B140" t="s">
        <v>214</v>
      </c>
      <c r="E140">
        <f t="shared" si="12"/>
        <v>0</v>
      </c>
      <c r="F140">
        <v>3359</v>
      </c>
      <c r="G140">
        <f>LNG_global[[#This Row],[Distance '[miles']]]*1.60934449789256</f>
        <v>5405.7881684211088</v>
      </c>
      <c r="I140" t="s">
        <v>255</v>
      </c>
    </row>
    <row r="141" spans="1:9">
      <c r="A141" t="s">
        <v>189</v>
      </c>
      <c r="B141" t="s">
        <v>215</v>
      </c>
      <c r="E141">
        <f t="shared" si="12"/>
        <v>0</v>
      </c>
      <c r="F141">
        <v>4978</v>
      </c>
      <c r="G141">
        <f>LNG_global[[#This Row],[Distance '[miles']]]*1.60934449789256</f>
        <v>8011.3169105091638</v>
      </c>
      <c r="I141" t="s">
        <v>228</v>
      </c>
    </row>
    <row r="142" spans="1:9">
      <c r="A142" t="s">
        <v>189</v>
      </c>
      <c r="B142" t="s">
        <v>216</v>
      </c>
      <c r="E142">
        <f t="shared" si="12"/>
        <v>0</v>
      </c>
      <c r="F142">
        <v>4162</v>
      </c>
      <c r="G142">
        <f>LNG_global[[#This Row],[Distance '[miles']]]*1.60934449789256</f>
        <v>6698.0918002288345</v>
      </c>
      <c r="I142" t="s">
        <v>243</v>
      </c>
    </row>
    <row r="143" spans="1:9">
      <c r="A143" t="s">
        <v>189</v>
      </c>
      <c r="B143" t="s">
        <v>229</v>
      </c>
      <c r="E143">
        <f t="shared" si="12"/>
        <v>0</v>
      </c>
      <c r="F143">
        <v>5494</v>
      </c>
      <c r="G143">
        <f>LNG_global[[#This Row],[Distance '[miles']]]*1.60934449789256</f>
        <v>8841.7386714217246</v>
      </c>
      <c r="I143" t="s">
        <v>234</v>
      </c>
    </row>
    <row r="144" spans="1:9">
      <c r="A144" t="s">
        <v>189</v>
      </c>
      <c r="B144" t="s">
        <v>230</v>
      </c>
      <c r="E144">
        <f t="shared" si="12"/>
        <v>0</v>
      </c>
      <c r="F144">
        <v>5494</v>
      </c>
      <c r="G144">
        <f>LNG_global[[#This Row],[Distance '[miles']]]*1.60934449789256</f>
        <v>8841.7386714217246</v>
      </c>
      <c r="I144" t="s">
        <v>235</v>
      </c>
    </row>
    <row r="145" spans="1:9">
      <c r="A145" t="s">
        <v>189</v>
      </c>
      <c r="B145" t="s">
        <v>231</v>
      </c>
      <c r="E145">
        <f t="shared" si="12"/>
        <v>0</v>
      </c>
      <c r="F145">
        <v>4611</v>
      </c>
      <c r="G145">
        <f>LNG_global[[#This Row],[Distance '[miles']]]*1.60934449789256</f>
        <v>7420.687479782594</v>
      </c>
      <c r="I145" t="s">
        <v>236</v>
      </c>
    </row>
    <row r="146" spans="1:9">
      <c r="A146" t="s">
        <v>189</v>
      </c>
      <c r="B146" t="s">
        <v>232</v>
      </c>
      <c r="E146">
        <f t="shared" si="12"/>
        <v>0</v>
      </c>
      <c r="F146">
        <v>4149</v>
      </c>
      <c r="G146">
        <f>LNG_global[[#This Row],[Distance '[miles']]]*1.60934449789256</f>
        <v>6677.1703217562308</v>
      </c>
      <c r="I146" t="s">
        <v>237</v>
      </c>
    </row>
    <row r="147" spans="1:9">
      <c r="A147" t="s">
        <v>189</v>
      </c>
      <c r="B147" t="s">
        <v>233</v>
      </c>
      <c r="E147">
        <f t="shared" si="12"/>
        <v>0</v>
      </c>
      <c r="F147">
        <v>5434</v>
      </c>
      <c r="G147">
        <f>LNG_global[[#This Row],[Distance '[miles']]]*1.60934449789256</f>
        <v>8745.1780015481709</v>
      </c>
      <c r="I147" t="s">
        <v>238</v>
      </c>
    </row>
    <row r="148" spans="1:9">
      <c r="A148" t="s">
        <v>190</v>
      </c>
      <c r="B148" t="s">
        <v>205</v>
      </c>
      <c r="E148">
        <f>D148/1000</f>
        <v>0</v>
      </c>
      <c r="F148">
        <v>9950</v>
      </c>
      <c r="G148">
        <f>LNG_global[[#This Row],[Distance '[miles']]]*1.60934449789256</f>
        <v>16012.977754030971</v>
      </c>
      <c r="H148" t="s">
        <v>218</v>
      </c>
      <c r="I148" t="s">
        <v>239</v>
      </c>
    </row>
    <row r="149" spans="1:9">
      <c r="A149" t="s">
        <v>190</v>
      </c>
      <c r="B149" t="s">
        <v>206</v>
      </c>
      <c r="E149">
        <f t="shared" ref="E149:E164" si="13">D149/1000</f>
        <v>0</v>
      </c>
      <c r="F149">
        <v>8254</v>
      </c>
      <c r="G149">
        <f>LNG_global[[#This Row],[Distance '[miles']]]*1.60934449789256</f>
        <v>13283.52948560519</v>
      </c>
      <c r="H149" t="s">
        <v>218</v>
      </c>
      <c r="I149" t="s">
        <v>219</v>
      </c>
    </row>
    <row r="150" spans="1:9">
      <c r="A150" t="s">
        <v>190</v>
      </c>
      <c r="B150" t="s">
        <v>207</v>
      </c>
      <c r="E150">
        <f t="shared" si="13"/>
        <v>0</v>
      </c>
      <c r="F150">
        <v>7341</v>
      </c>
      <c r="G150">
        <f>LNG_global[[#This Row],[Distance '[miles']]]*1.60934449789256</f>
        <v>11814.197959029283</v>
      </c>
      <c r="H150" t="s">
        <v>218</v>
      </c>
      <c r="I150" t="s">
        <v>220</v>
      </c>
    </row>
    <row r="151" spans="1:9">
      <c r="A151" t="s">
        <v>190</v>
      </c>
      <c r="B151" t="s">
        <v>208</v>
      </c>
      <c r="E151">
        <f t="shared" si="13"/>
        <v>0</v>
      </c>
      <c r="F151">
        <v>8125</v>
      </c>
      <c r="G151">
        <f>LNG_global[[#This Row],[Distance '[miles']]]*1.60934449789256</f>
        <v>13075.924045377049</v>
      </c>
      <c r="H151" t="s">
        <v>218</v>
      </c>
      <c r="I151" t="s">
        <v>221</v>
      </c>
    </row>
    <row r="152" spans="1:9">
      <c r="A152" t="s">
        <v>190</v>
      </c>
      <c r="B152" t="s">
        <v>209</v>
      </c>
      <c r="E152">
        <f t="shared" si="13"/>
        <v>0</v>
      </c>
      <c r="F152">
        <v>8000</v>
      </c>
      <c r="G152">
        <f>LNG_global[[#This Row],[Distance '[miles']]]*1.60934449789256</f>
        <v>12874.75598314048</v>
      </c>
      <c r="H152" t="s">
        <v>218</v>
      </c>
      <c r="I152" t="s">
        <v>222</v>
      </c>
    </row>
    <row r="153" spans="1:9">
      <c r="A153" t="s">
        <v>190</v>
      </c>
      <c r="B153" t="s">
        <v>210</v>
      </c>
      <c r="E153">
        <f t="shared" si="13"/>
        <v>0</v>
      </c>
      <c r="F153">
        <v>10884</v>
      </c>
      <c r="G153">
        <f>LNG_global[[#This Row],[Distance '[miles']]]*1.60934449789256</f>
        <v>17516.105515062623</v>
      </c>
      <c r="H153" t="s">
        <v>218</v>
      </c>
      <c r="I153" t="s">
        <v>223</v>
      </c>
    </row>
    <row r="154" spans="1:9">
      <c r="A154" t="s">
        <v>190</v>
      </c>
      <c r="B154" t="s">
        <v>211</v>
      </c>
      <c r="E154">
        <f t="shared" si="13"/>
        <v>0</v>
      </c>
      <c r="F154">
        <v>10016</v>
      </c>
      <c r="G154">
        <f>LNG_global[[#This Row],[Distance '[miles']]]*1.60934449789256</f>
        <v>16119.194490891881</v>
      </c>
      <c r="H154" t="s">
        <v>218</v>
      </c>
      <c r="I154" t="s">
        <v>224</v>
      </c>
    </row>
    <row r="155" spans="1:9">
      <c r="A155" t="s">
        <v>190</v>
      </c>
      <c r="B155" t="s">
        <v>212</v>
      </c>
      <c r="E155">
        <f t="shared" si="13"/>
        <v>0</v>
      </c>
      <c r="F155">
        <v>10693</v>
      </c>
      <c r="G155">
        <f>LNG_global[[#This Row],[Distance '[miles']]]*1.60934449789256</f>
        <v>17208.720715965144</v>
      </c>
      <c r="H155" t="s">
        <v>218</v>
      </c>
      <c r="I155" t="s">
        <v>225</v>
      </c>
    </row>
    <row r="156" spans="1:9">
      <c r="A156" t="s">
        <v>190</v>
      </c>
      <c r="B156" t="s">
        <v>213</v>
      </c>
      <c r="E156">
        <f t="shared" si="13"/>
        <v>0</v>
      </c>
      <c r="F156">
        <v>8939</v>
      </c>
      <c r="G156">
        <f>LNG_global[[#This Row],[Distance '[miles']]]*1.60934449789256</f>
        <v>14385.930466661594</v>
      </c>
      <c r="H156" t="s">
        <v>218</v>
      </c>
      <c r="I156" t="s">
        <v>226</v>
      </c>
    </row>
    <row r="157" spans="1:9">
      <c r="A157" t="s">
        <v>190</v>
      </c>
      <c r="B157" t="s">
        <v>214</v>
      </c>
      <c r="E157">
        <f t="shared" si="13"/>
        <v>0</v>
      </c>
      <c r="F157">
        <v>8330</v>
      </c>
      <c r="G157">
        <f>LNG_global[[#This Row],[Distance '[miles']]]*1.60934449789256</f>
        <v>13405.839667445025</v>
      </c>
      <c r="H157" t="s">
        <v>218</v>
      </c>
      <c r="I157" t="s">
        <v>227</v>
      </c>
    </row>
    <row r="158" spans="1:9">
      <c r="A158" t="s">
        <v>190</v>
      </c>
      <c r="B158" t="s">
        <v>215</v>
      </c>
      <c r="E158">
        <f t="shared" si="13"/>
        <v>0</v>
      </c>
      <c r="F158">
        <v>7340</v>
      </c>
      <c r="G158">
        <f>LNG_global[[#This Row],[Distance '[miles']]]*1.60934449789256</f>
        <v>11812.588614531391</v>
      </c>
      <c r="H158" t="s">
        <v>218</v>
      </c>
      <c r="I158" t="s">
        <v>228</v>
      </c>
    </row>
    <row r="159" spans="1:9">
      <c r="A159" t="s">
        <v>190</v>
      </c>
      <c r="B159" t="s">
        <v>216</v>
      </c>
      <c r="E159">
        <f t="shared" si="13"/>
        <v>0</v>
      </c>
      <c r="F159">
        <v>9764</v>
      </c>
      <c r="G159">
        <f>LNG_global[[#This Row],[Distance '[miles']]]*1.60934449789256</f>
        <v>15713.639677422956</v>
      </c>
      <c r="H159" t="s">
        <v>218</v>
      </c>
      <c r="I159" t="s">
        <v>243</v>
      </c>
    </row>
    <row r="160" spans="1:9">
      <c r="A160" t="s">
        <v>190</v>
      </c>
      <c r="B160" t="s">
        <v>229</v>
      </c>
      <c r="E160">
        <f t="shared" si="13"/>
        <v>0</v>
      </c>
      <c r="F160">
        <v>11096</v>
      </c>
      <c r="G160">
        <f>LNG_global[[#This Row],[Distance '[miles']]]*1.60934449789256</f>
        <v>17857.286548615844</v>
      </c>
      <c r="H160" t="s">
        <v>218</v>
      </c>
      <c r="I160" t="s">
        <v>234</v>
      </c>
    </row>
    <row r="161" spans="1:9">
      <c r="A161" t="s">
        <v>190</v>
      </c>
      <c r="B161" t="s">
        <v>230</v>
      </c>
      <c r="E161">
        <f t="shared" si="13"/>
        <v>0</v>
      </c>
      <c r="F161">
        <v>11096</v>
      </c>
      <c r="G161">
        <f>LNG_global[[#This Row],[Distance '[miles']]]*1.60934449789256</f>
        <v>17857.286548615844</v>
      </c>
      <c r="H161" t="s">
        <v>218</v>
      </c>
      <c r="I161" t="s">
        <v>235</v>
      </c>
    </row>
    <row r="162" spans="1:9">
      <c r="A162" t="s">
        <v>190</v>
      </c>
      <c r="B162" t="s">
        <v>231</v>
      </c>
      <c r="E162">
        <f t="shared" si="13"/>
        <v>0</v>
      </c>
      <c r="F162">
        <v>10213</v>
      </c>
      <c r="G162">
        <f>LNG_global[[#This Row],[Distance '[miles']]]*1.60934449789256</f>
        <v>16436.235356976715</v>
      </c>
      <c r="H162" t="s">
        <v>218</v>
      </c>
      <c r="I162" t="s">
        <v>236</v>
      </c>
    </row>
    <row r="163" spans="1:9">
      <c r="A163" t="s">
        <v>190</v>
      </c>
      <c r="B163" t="s">
        <v>232</v>
      </c>
      <c r="E163">
        <f t="shared" si="13"/>
        <v>0</v>
      </c>
      <c r="F163">
        <v>9751</v>
      </c>
      <c r="G163">
        <f>LNG_global[[#This Row],[Distance '[miles']]]*1.60934449789256</f>
        <v>15692.718198950352</v>
      </c>
      <c r="H163" t="s">
        <v>218</v>
      </c>
      <c r="I163" t="s">
        <v>237</v>
      </c>
    </row>
    <row r="164" spans="1:9">
      <c r="A164" t="s">
        <v>190</v>
      </c>
      <c r="B164" t="s">
        <v>233</v>
      </c>
      <c r="E164">
        <f t="shared" si="13"/>
        <v>0</v>
      </c>
      <c r="F164">
        <v>11036</v>
      </c>
      <c r="G164">
        <f>LNG_global[[#This Row],[Distance '[miles']]]*1.60934449789256</f>
        <v>17760.725878742291</v>
      </c>
      <c r="H164" t="s">
        <v>218</v>
      </c>
      <c r="I164" t="s">
        <v>238</v>
      </c>
    </row>
    <row r="165" spans="1:9">
      <c r="A165" t="s">
        <v>196</v>
      </c>
      <c r="B165" t="s">
        <v>205</v>
      </c>
      <c r="E165">
        <f>D165/1000</f>
        <v>0</v>
      </c>
      <c r="F165">
        <v>3208</v>
      </c>
      <c r="G165">
        <f>LNG_global[[#This Row],[Distance '[miles']]]*1.60934449789256</f>
        <v>5162.7771492393322</v>
      </c>
      <c r="I165" t="s">
        <v>239</v>
      </c>
    </row>
    <row r="166" spans="1:9">
      <c r="A166" t="s">
        <v>196</v>
      </c>
      <c r="B166" t="s">
        <v>206</v>
      </c>
      <c r="E166">
        <f t="shared" ref="E166:E181" si="14">D166/1000</f>
        <v>0</v>
      </c>
      <c r="F166">
        <v>1512</v>
      </c>
      <c r="G166">
        <f>LNG_global[[#This Row],[Distance '[miles']]]*1.60934449789256</f>
        <v>2433.3288808135508</v>
      </c>
      <c r="I166" t="s">
        <v>219</v>
      </c>
    </row>
    <row r="167" spans="1:9">
      <c r="A167" t="s">
        <v>196</v>
      </c>
      <c r="B167" t="s">
        <v>207</v>
      </c>
      <c r="E167">
        <f t="shared" si="14"/>
        <v>0</v>
      </c>
      <c r="F167">
        <v>599</v>
      </c>
      <c r="G167">
        <f>LNG_global[[#This Row],[Distance '[miles']]]*1.60934449789256</f>
        <v>963.99735423764344</v>
      </c>
      <c r="I167" t="s">
        <v>220</v>
      </c>
    </row>
    <row r="168" spans="1:9">
      <c r="A168" t="s">
        <v>196</v>
      </c>
      <c r="B168" t="s">
        <v>208</v>
      </c>
      <c r="E168">
        <f t="shared" si="14"/>
        <v>0</v>
      </c>
      <c r="F168">
        <v>1383</v>
      </c>
      <c r="G168">
        <f>LNG_global[[#This Row],[Distance '[miles']]]*1.60934449789256</f>
        <v>2225.7234405854106</v>
      </c>
      <c r="I168" t="s">
        <v>221</v>
      </c>
    </row>
    <row r="169" spans="1:9">
      <c r="A169" t="s">
        <v>196</v>
      </c>
      <c r="B169" t="s">
        <v>209</v>
      </c>
      <c r="E169">
        <f t="shared" si="14"/>
        <v>0</v>
      </c>
      <c r="F169">
        <v>1258</v>
      </c>
      <c r="G169">
        <f>LNG_global[[#This Row],[Distance '[miles']]]*1.60934449789256</f>
        <v>2024.5553783488403</v>
      </c>
      <c r="I169" t="s">
        <v>222</v>
      </c>
    </row>
    <row r="170" spans="1:9">
      <c r="A170" t="s">
        <v>196</v>
      </c>
      <c r="B170" t="s">
        <v>210</v>
      </c>
      <c r="E170">
        <f t="shared" si="14"/>
        <v>0</v>
      </c>
      <c r="F170">
        <v>4142</v>
      </c>
      <c r="G170">
        <f>LNG_global[[#This Row],[Distance '[miles']]]*1.60934449789256</f>
        <v>6665.9049102709832</v>
      </c>
      <c r="I170" t="s">
        <v>223</v>
      </c>
    </row>
    <row r="171" spans="1:9">
      <c r="A171" t="s">
        <v>196</v>
      </c>
      <c r="B171" t="s">
        <v>211</v>
      </c>
      <c r="E171">
        <f t="shared" si="14"/>
        <v>0</v>
      </c>
      <c r="F171">
        <v>3274</v>
      </c>
      <c r="G171">
        <f>LNG_global[[#This Row],[Distance '[miles']]]*1.60934449789256</f>
        <v>5268.9938861002411</v>
      </c>
      <c r="I171" t="s">
        <v>224</v>
      </c>
    </row>
    <row r="172" spans="1:9">
      <c r="A172" t="s">
        <v>196</v>
      </c>
      <c r="B172" t="s">
        <v>212</v>
      </c>
      <c r="E172">
        <f t="shared" si="14"/>
        <v>0</v>
      </c>
      <c r="F172">
        <v>3951</v>
      </c>
      <c r="G172">
        <f>LNG_global[[#This Row],[Distance '[miles']]]*1.60934449789256</f>
        <v>6358.5201111735041</v>
      </c>
      <c r="I172" t="s">
        <v>225</v>
      </c>
    </row>
    <row r="173" spans="1:9">
      <c r="A173" t="s">
        <v>196</v>
      </c>
      <c r="B173" t="s">
        <v>213</v>
      </c>
      <c r="E173">
        <f t="shared" si="14"/>
        <v>0</v>
      </c>
      <c r="F173">
        <v>2197</v>
      </c>
      <c r="G173">
        <f>LNG_global[[#This Row],[Distance '[miles']]]*1.60934449789256</f>
        <v>3535.7298618699542</v>
      </c>
      <c r="I173" t="s">
        <v>226</v>
      </c>
    </row>
    <row r="174" spans="1:9">
      <c r="A174" t="s">
        <v>196</v>
      </c>
      <c r="B174" t="s">
        <v>214</v>
      </c>
      <c r="E174">
        <f t="shared" si="14"/>
        <v>0</v>
      </c>
      <c r="F174">
        <v>1588</v>
      </c>
      <c r="G174">
        <f>LNG_global[[#This Row],[Distance '[miles']]]*1.60934449789256</f>
        <v>2555.6390626533853</v>
      </c>
      <c r="I174" t="s">
        <v>227</v>
      </c>
    </row>
    <row r="175" spans="1:9">
      <c r="A175" t="s">
        <v>196</v>
      </c>
      <c r="B175" t="s">
        <v>215</v>
      </c>
      <c r="E175">
        <f t="shared" si="14"/>
        <v>0</v>
      </c>
      <c r="F175">
        <v>598</v>
      </c>
      <c r="G175">
        <f>LNG_global[[#This Row],[Distance '[miles']]]*1.60934449789256</f>
        <v>962.38800973975083</v>
      </c>
      <c r="I175" t="s">
        <v>228</v>
      </c>
    </row>
    <row r="176" spans="1:9">
      <c r="A176" t="s">
        <v>196</v>
      </c>
      <c r="B176" t="s">
        <v>216</v>
      </c>
      <c r="E176">
        <f t="shared" si="14"/>
        <v>0</v>
      </c>
      <c r="F176">
        <v>3022</v>
      </c>
      <c r="G176">
        <f>LNG_global[[#This Row],[Distance '[miles']]]*1.60934449789256</f>
        <v>4863.4390726313159</v>
      </c>
      <c r="I176" t="s">
        <v>243</v>
      </c>
    </row>
    <row r="177" spans="1:9">
      <c r="A177" t="s">
        <v>196</v>
      </c>
      <c r="B177" t="s">
        <v>229</v>
      </c>
      <c r="E177">
        <f t="shared" si="14"/>
        <v>0</v>
      </c>
      <c r="F177">
        <v>4354</v>
      </c>
      <c r="G177">
        <f>LNG_global[[#This Row],[Distance '[miles']]]*1.60934449789256</f>
        <v>7007.085943824206</v>
      </c>
      <c r="I177" t="s">
        <v>234</v>
      </c>
    </row>
    <row r="178" spans="1:9">
      <c r="A178" t="s">
        <v>196</v>
      </c>
      <c r="B178" t="s">
        <v>230</v>
      </c>
      <c r="E178">
        <f t="shared" si="14"/>
        <v>0</v>
      </c>
      <c r="F178">
        <v>4354</v>
      </c>
      <c r="G178">
        <f>LNG_global[[#This Row],[Distance '[miles']]]*1.60934449789256</f>
        <v>7007.085943824206</v>
      </c>
      <c r="I178" t="s">
        <v>235</v>
      </c>
    </row>
    <row r="179" spans="1:9">
      <c r="A179" t="s">
        <v>196</v>
      </c>
      <c r="B179" t="s">
        <v>231</v>
      </c>
      <c r="E179">
        <f t="shared" si="14"/>
        <v>0</v>
      </c>
      <c r="F179">
        <v>3471</v>
      </c>
      <c r="G179">
        <f>LNG_global[[#This Row],[Distance '[miles']]]*1.60934449789256</f>
        <v>5586.0347521850754</v>
      </c>
      <c r="I179" t="s">
        <v>236</v>
      </c>
    </row>
    <row r="180" spans="1:9">
      <c r="A180" t="s">
        <v>196</v>
      </c>
      <c r="B180" t="s">
        <v>232</v>
      </c>
      <c r="E180">
        <f t="shared" si="14"/>
        <v>0</v>
      </c>
      <c r="F180">
        <v>3009</v>
      </c>
      <c r="G180">
        <f>LNG_global[[#This Row],[Distance '[miles']]]*1.60934449789256</f>
        <v>4842.5175941587131</v>
      </c>
      <c r="I180" t="s">
        <v>237</v>
      </c>
    </row>
    <row r="181" spans="1:9">
      <c r="A181" t="s">
        <v>196</v>
      </c>
      <c r="B181" t="s">
        <v>233</v>
      </c>
      <c r="E181">
        <f t="shared" si="14"/>
        <v>0</v>
      </c>
      <c r="F181">
        <v>4294</v>
      </c>
      <c r="G181">
        <f>LNG_global[[#This Row],[Distance '[miles']]]*1.60934449789256</f>
        <v>6910.5252739506523</v>
      </c>
      <c r="I181" t="s">
        <v>238</v>
      </c>
    </row>
    <row r="182" spans="1:9">
      <c r="A182" t="s">
        <v>199</v>
      </c>
      <c r="B182" t="s">
        <v>205</v>
      </c>
      <c r="E182">
        <f>D182/1000</f>
        <v>0</v>
      </c>
      <c r="F182">
        <v>9237</v>
      </c>
      <c r="G182">
        <f>LNG_global[[#This Row],[Distance '[miles']]]*1.60934449789256</f>
        <v>14865.515127033575</v>
      </c>
      <c r="H182" t="s">
        <v>218</v>
      </c>
      <c r="I182" t="s">
        <v>239</v>
      </c>
    </row>
    <row r="183" spans="1:9">
      <c r="A183" t="s">
        <v>199</v>
      </c>
      <c r="B183" t="s">
        <v>206</v>
      </c>
      <c r="E183">
        <f t="shared" ref="E183:E198" si="15">D183/1000</f>
        <v>0</v>
      </c>
      <c r="F183">
        <v>7541</v>
      </c>
      <c r="G183">
        <f>LNG_global[[#This Row],[Distance '[miles']]]*1.60934449789256</f>
        <v>12136.066858607795</v>
      </c>
      <c r="H183" t="s">
        <v>218</v>
      </c>
      <c r="I183" t="s">
        <v>219</v>
      </c>
    </row>
    <row r="184" spans="1:9">
      <c r="A184" t="s">
        <v>199</v>
      </c>
      <c r="B184" t="s">
        <v>207</v>
      </c>
      <c r="E184">
        <f t="shared" si="15"/>
        <v>0</v>
      </c>
      <c r="F184">
        <v>6628</v>
      </c>
      <c r="G184">
        <f>LNG_global[[#This Row],[Distance '[miles']]]*1.60934449789256</f>
        <v>10666.735332031887</v>
      </c>
      <c r="H184" t="s">
        <v>218</v>
      </c>
      <c r="I184" t="s">
        <v>220</v>
      </c>
    </row>
    <row r="185" spans="1:9">
      <c r="A185" t="s">
        <v>199</v>
      </c>
      <c r="B185" t="s">
        <v>208</v>
      </c>
      <c r="E185">
        <f t="shared" si="15"/>
        <v>0</v>
      </c>
      <c r="F185">
        <v>7412</v>
      </c>
      <c r="G185">
        <f>LNG_global[[#This Row],[Distance '[miles']]]*1.60934449789256</f>
        <v>11928.461418379655</v>
      </c>
      <c r="H185" t="s">
        <v>218</v>
      </c>
      <c r="I185" t="s">
        <v>221</v>
      </c>
    </row>
    <row r="186" spans="1:9">
      <c r="A186" t="s">
        <v>199</v>
      </c>
      <c r="B186" t="s">
        <v>209</v>
      </c>
      <c r="E186">
        <f t="shared" si="15"/>
        <v>0</v>
      </c>
      <c r="F186">
        <v>7287</v>
      </c>
      <c r="G186">
        <f>LNG_global[[#This Row],[Distance '[miles']]]*1.60934449789256</f>
        <v>11727.293356143084</v>
      </c>
      <c r="H186" t="s">
        <v>218</v>
      </c>
      <c r="I186" t="s">
        <v>222</v>
      </c>
    </row>
    <row r="187" spans="1:9">
      <c r="A187" t="s">
        <v>199</v>
      </c>
      <c r="B187" t="s">
        <v>210</v>
      </c>
      <c r="E187">
        <f t="shared" si="15"/>
        <v>0</v>
      </c>
      <c r="F187">
        <v>10171</v>
      </c>
      <c r="G187">
        <f>LNG_global[[#This Row],[Distance '[miles']]]*1.60934449789256</f>
        <v>16368.642888065227</v>
      </c>
      <c r="H187" t="s">
        <v>218</v>
      </c>
      <c r="I187" t="s">
        <v>223</v>
      </c>
    </row>
    <row r="188" spans="1:9">
      <c r="A188" t="s">
        <v>199</v>
      </c>
      <c r="B188" t="s">
        <v>211</v>
      </c>
      <c r="E188">
        <f t="shared" si="15"/>
        <v>0</v>
      </c>
      <c r="F188">
        <v>9303</v>
      </c>
      <c r="G188">
        <f>LNG_global[[#This Row],[Distance '[miles']]]*1.60934449789256</f>
        <v>14971.731863894485</v>
      </c>
      <c r="H188" t="s">
        <v>218</v>
      </c>
      <c r="I188" t="s">
        <v>224</v>
      </c>
    </row>
    <row r="189" spans="1:9">
      <c r="A189" t="s">
        <v>199</v>
      </c>
      <c r="B189" t="s">
        <v>212</v>
      </c>
      <c r="E189">
        <f t="shared" si="15"/>
        <v>0</v>
      </c>
      <c r="F189">
        <v>9980</v>
      </c>
      <c r="G189">
        <f>LNG_global[[#This Row],[Distance '[miles']]]*1.60934449789256</f>
        <v>16061.258088967748</v>
      </c>
      <c r="H189" t="s">
        <v>218</v>
      </c>
      <c r="I189" t="s">
        <v>225</v>
      </c>
    </row>
    <row r="190" spans="1:9">
      <c r="A190" t="s">
        <v>199</v>
      </c>
      <c r="B190" t="s">
        <v>213</v>
      </c>
      <c r="E190">
        <f t="shared" si="15"/>
        <v>0</v>
      </c>
      <c r="F190">
        <v>8226</v>
      </c>
      <c r="G190">
        <f>LNG_global[[#This Row],[Distance '[miles']]]*1.60934449789256</f>
        <v>13238.467839664198</v>
      </c>
      <c r="H190" t="s">
        <v>218</v>
      </c>
      <c r="I190" t="s">
        <v>226</v>
      </c>
    </row>
    <row r="191" spans="1:9">
      <c r="A191" t="s">
        <v>199</v>
      </c>
      <c r="B191" t="s">
        <v>214</v>
      </c>
      <c r="E191">
        <f t="shared" si="15"/>
        <v>0</v>
      </c>
      <c r="F191">
        <v>7617</v>
      </c>
      <c r="G191">
        <f>LNG_global[[#This Row],[Distance '[miles']]]*1.60934449789256</f>
        <v>12258.377040447629</v>
      </c>
      <c r="H191" t="s">
        <v>218</v>
      </c>
      <c r="I191" t="s">
        <v>227</v>
      </c>
    </row>
    <row r="192" spans="1:9">
      <c r="A192" t="s">
        <v>199</v>
      </c>
      <c r="B192" t="s">
        <v>215</v>
      </c>
      <c r="E192">
        <f t="shared" si="15"/>
        <v>0</v>
      </c>
      <c r="F192">
        <v>6627</v>
      </c>
      <c r="G192">
        <f>LNG_global[[#This Row],[Distance '[miles']]]*1.60934449789256</f>
        <v>10665.125987533995</v>
      </c>
      <c r="H192" t="s">
        <v>218</v>
      </c>
      <c r="I192" t="s">
        <v>228</v>
      </c>
    </row>
    <row r="193" spans="1:9">
      <c r="A193" t="s">
        <v>199</v>
      </c>
      <c r="B193" t="s">
        <v>216</v>
      </c>
      <c r="E193">
        <f t="shared" si="15"/>
        <v>0</v>
      </c>
      <c r="F193">
        <v>9051</v>
      </c>
      <c r="G193">
        <f>LNG_global[[#This Row],[Distance '[miles']]]*1.60934449789256</f>
        <v>14566.17705042556</v>
      </c>
      <c r="H193" t="s">
        <v>218</v>
      </c>
      <c r="I193" t="s">
        <v>243</v>
      </c>
    </row>
    <row r="194" spans="1:9">
      <c r="A194" t="s">
        <v>199</v>
      </c>
      <c r="B194" t="s">
        <v>229</v>
      </c>
      <c r="E194">
        <f t="shared" si="15"/>
        <v>0</v>
      </c>
      <c r="F194">
        <v>10383</v>
      </c>
      <c r="G194">
        <f>LNG_global[[#This Row],[Distance '[miles']]]*1.60934449789256</f>
        <v>16709.823921618448</v>
      </c>
      <c r="H194" t="s">
        <v>218</v>
      </c>
      <c r="I194" t="s">
        <v>234</v>
      </c>
    </row>
    <row r="195" spans="1:9">
      <c r="A195" t="s">
        <v>199</v>
      </c>
      <c r="B195" t="s">
        <v>230</v>
      </c>
      <c r="E195">
        <f t="shared" si="15"/>
        <v>0</v>
      </c>
      <c r="F195">
        <v>10383</v>
      </c>
      <c r="G195">
        <f>LNG_global[[#This Row],[Distance '[miles']]]*1.60934449789256</f>
        <v>16709.823921618448</v>
      </c>
      <c r="H195" t="s">
        <v>218</v>
      </c>
      <c r="I195" t="s">
        <v>235</v>
      </c>
    </row>
    <row r="196" spans="1:9">
      <c r="A196" t="s">
        <v>199</v>
      </c>
      <c r="B196" t="s">
        <v>231</v>
      </c>
      <c r="E196">
        <f t="shared" si="15"/>
        <v>0</v>
      </c>
      <c r="F196">
        <v>9500</v>
      </c>
      <c r="G196">
        <f>LNG_global[[#This Row],[Distance '[miles']]]*1.60934449789256</f>
        <v>15288.772729979319</v>
      </c>
      <c r="H196" t="s">
        <v>218</v>
      </c>
      <c r="I196" t="s">
        <v>236</v>
      </c>
    </row>
    <row r="197" spans="1:9">
      <c r="A197" t="s">
        <v>199</v>
      </c>
      <c r="B197" t="s">
        <v>232</v>
      </c>
      <c r="E197">
        <f t="shared" si="15"/>
        <v>0</v>
      </c>
      <c r="F197">
        <v>9038</v>
      </c>
      <c r="G197">
        <f>LNG_global[[#This Row],[Distance '[miles']]]*1.60934449789256</f>
        <v>14545.255571952957</v>
      </c>
      <c r="H197" t="s">
        <v>218</v>
      </c>
      <c r="I197" t="s">
        <v>237</v>
      </c>
    </row>
    <row r="198" spans="1:9">
      <c r="A198" t="s">
        <v>199</v>
      </c>
      <c r="B198" t="s">
        <v>233</v>
      </c>
      <c r="E198">
        <f t="shared" si="15"/>
        <v>0</v>
      </c>
      <c r="F198">
        <v>10323</v>
      </c>
      <c r="G198">
        <f>LNG_global[[#This Row],[Distance '[miles']]]*1.60934449789256</f>
        <v>16613.263251744895</v>
      </c>
      <c r="H198" t="s">
        <v>218</v>
      </c>
      <c r="I198" t="s">
        <v>238</v>
      </c>
    </row>
    <row r="199" spans="1:9">
      <c r="A199" t="s">
        <v>198</v>
      </c>
      <c r="B199" t="s">
        <v>205</v>
      </c>
      <c r="E199">
        <f>D199/1000</f>
        <v>0</v>
      </c>
      <c r="F199">
        <v>2843</v>
      </c>
      <c r="G199">
        <f>LNG_global[[#This Row],[Distance '[miles']]]*1.60934449789256</f>
        <v>4575.366407508548</v>
      </c>
      <c r="I199" t="s">
        <v>239</v>
      </c>
    </row>
    <row r="200" spans="1:9">
      <c r="A200" t="s">
        <v>198</v>
      </c>
      <c r="B200" t="s">
        <v>206</v>
      </c>
      <c r="E200">
        <f t="shared" ref="E200:E215" si="16">D200/1000</f>
        <v>0</v>
      </c>
      <c r="F200">
        <v>2873</v>
      </c>
      <c r="G200">
        <f>LNG_global[[#This Row],[Distance '[miles']]]*1.60934449789256</f>
        <v>4623.6467424453249</v>
      </c>
      <c r="I200" t="s">
        <v>262</v>
      </c>
    </row>
    <row r="201" spans="1:9">
      <c r="A201" t="s">
        <v>198</v>
      </c>
      <c r="B201" t="s">
        <v>207</v>
      </c>
      <c r="E201">
        <f t="shared" si="16"/>
        <v>0</v>
      </c>
      <c r="F201">
        <v>5582</v>
      </c>
      <c r="G201">
        <f>LNG_global[[#This Row],[Distance '[miles']]]*1.60934449789256</f>
        <v>8983.3609872362704</v>
      </c>
      <c r="I201" t="s">
        <v>220</v>
      </c>
    </row>
    <row r="202" spans="1:9">
      <c r="A202" t="s">
        <v>198</v>
      </c>
      <c r="B202" t="s">
        <v>208</v>
      </c>
      <c r="E202">
        <f t="shared" si="16"/>
        <v>0</v>
      </c>
      <c r="F202">
        <v>4964</v>
      </c>
      <c r="G202">
        <f>LNG_global[[#This Row],[Distance '[miles']]]*1.60934449789256</f>
        <v>7988.7860875386677</v>
      </c>
      <c r="I202" t="s">
        <v>221</v>
      </c>
    </row>
    <row r="203" spans="1:9">
      <c r="A203" t="s">
        <v>198</v>
      </c>
      <c r="B203" t="s">
        <v>209</v>
      </c>
      <c r="E203">
        <f t="shared" si="16"/>
        <v>0</v>
      </c>
      <c r="F203">
        <v>5707</v>
      </c>
      <c r="G203">
        <f>LNG_global[[#This Row],[Distance '[miles']]]*1.60934449789256</f>
        <v>9184.5290494728397</v>
      </c>
      <c r="I203" t="s">
        <v>222</v>
      </c>
    </row>
    <row r="204" spans="1:9">
      <c r="A204" t="s">
        <v>198</v>
      </c>
      <c r="B204" t="s">
        <v>210</v>
      </c>
      <c r="E204">
        <f t="shared" si="16"/>
        <v>0</v>
      </c>
      <c r="F204">
        <v>3047</v>
      </c>
      <c r="G204">
        <f>LNG_global[[#This Row],[Distance '[miles']]]*1.60934449789256</f>
        <v>4903.6726850786299</v>
      </c>
      <c r="I204" t="s">
        <v>223</v>
      </c>
    </row>
    <row r="205" spans="1:9">
      <c r="A205" t="s">
        <v>198</v>
      </c>
      <c r="B205" t="s">
        <v>211</v>
      </c>
      <c r="E205">
        <f t="shared" si="16"/>
        <v>0</v>
      </c>
      <c r="F205">
        <v>2827</v>
      </c>
      <c r="G205">
        <f>LNG_global[[#This Row],[Distance '[miles']]]*1.60934449789256</f>
        <v>4549.6168955422672</v>
      </c>
      <c r="I205" t="s">
        <v>224</v>
      </c>
    </row>
    <row r="206" spans="1:9">
      <c r="A206" t="s">
        <v>198</v>
      </c>
      <c r="B206" t="s">
        <v>212</v>
      </c>
      <c r="E206">
        <f t="shared" si="16"/>
        <v>0</v>
      </c>
      <c r="F206">
        <v>2856</v>
      </c>
      <c r="G206">
        <f>LNG_global[[#This Row],[Distance '[miles']]]*1.60934449789256</f>
        <v>4596.2878859811508</v>
      </c>
      <c r="I206" t="s">
        <v>225</v>
      </c>
    </row>
    <row r="207" spans="1:9">
      <c r="A207" t="s">
        <v>198</v>
      </c>
      <c r="B207" t="s">
        <v>213</v>
      </c>
      <c r="E207">
        <f t="shared" si="16"/>
        <v>0</v>
      </c>
      <c r="F207">
        <v>3840</v>
      </c>
      <c r="G207">
        <f>LNG_global[[#This Row],[Distance '[miles']]]*1.60934449789256</f>
        <v>6179.8828719074299</v>
      </c>
      <c r="I207" t="s">
        <v>226</v>
      </c>
    </row>
    <row r="208" spans="1:9">
      <c r="A208" t="s">
        <v>198</v>
      </c>
      <c r="B208" t="s">
        <v>214</v>
      </c>
      <c r="E208">
        <f t="shared" si="16"/>
        <v>0</v>
      </c>
      <c r="F208">
        <v>3499</v>
      </c>
      <c r="G208">
        <f>LNG_global[[#This Row],[Distance '[miles']]]*1.60934449789256</f>
        <v>5631.0963981260675</v>
      </c>
      <c r="I208" t="s">
        <v>242</v>
      </c>
    </row>
    <row r="209" spans="1:9">
      <c r="A209" t="s">
        <v>198</v>
      </c>
      <c r="B209" t="s">
        <v>215</v>
      </c>
      <c r="E209">
        <f t="shared" si="16"/>
        <v>0</v>
      </c>
      <c r="F209">
        <v>5736</v>
      </c>
      <c r="G209">
        <f>LNG_global[[#This Row],[Distance '[miles']]]*1.60934449789256</f>
        <v>9231.2000399117242</v>
      </c>
      <c r="I209" t="s">
        <v>228</v>
      </c>
    </row>
    <row r="210" spans="1:9">
      <c r="A210" t="s">
        <v>198</v>
      </c>
      <c r="B210" t="s">
        <v>216</v>
      </c>
      <c r="E210">
        <f t="shared" si="16"/>
        <v>0</v>
      </c>
      <c r="F210">
        <v>2866</v>
      </c>
      <c r="G210">
        <f>LNG_global[[#This Row],[Distance '[miles']]]*1.60934449789256</f>
        <v>4612.3813309600764</v>
      </c>
      <c r="I210" t="s">
        <v>261</v>
      </c>
    </row>
    <row r="211" spans="1:9">
      <c r="A211" t="s">
        <v>198</v>
      </c>
      <c r="B211" t="s">
        <v>229</v>
      </c>
      <c r="E211">
        <f t="shared" si="16"/>
        <v>0</v>
      </c>
      <c r="F211">
        <v>3259</v>
      </c>
      <c r="G211">
        <f>LNG_global[[#This Row],[Distance '[miles']]]*1.60934449789256</f>
        <v>5244.8537186318526</v>
      </c>
      <c r="I211" t="s">
        <v>234</v>
      </c>
    </row>
    <row r="212" spans="1:9">
      <c r="A212" t="s">
        <v>198</v>
      </c>
      <c r="B212" t="s">
        <v>230</v>
      </c>
      <c r="E212">
        <f t="shared" si="16"/>
        <v>0</v>
      </c>
      <c r="F212">
        <v>3259</v>
      </c>
      <c r="G212">
        <f>LNG_global[[#This Row],[Distance '[miles']]]*1.60934449789256</f>
        <v>5244.8537186318526</v>
      </c>
      <c r="I212" t="s">
        <v>235</v>
      </c>
    </row>
    <row r="213" spans="1:9">
      <c r="A213" t="s">
        <v>198</v>
      </c>
      <c r="B213" t="s">
        <v>231</v>
      </c>
      <c r="E213">
        <f t="shared" si="16"/>
        <v>0</v>
      </c>
      <c r="F213">
        <v>2730</v>
      </c>
      <c r="G213">
        <f>LNG_global[[#This Row],[Distance '[miles']]]*1.60934449789256</f>
        <v>4393.5104792466891</v>
      </c>
      <c r="I213" t="s">
        <v>236</v>
      </c>
    </row>
    <row r="214" spans="1:9">
      <c r="A214" t="s">
        <v>198</v>
      </c>
      <c r="B214" t="s">
        <v>232</v>
      </c>
      <c r="E214">
        <f t="shared" si="16"/>
        <v>0</v>
      </c>
      <c r="F214">
        <v>3077</v>
      </c>
      <c r="G214">
        <f>LNG_global[[#This Row],[Distance '[miles']]]*1.60934449789256</f>
        <v>4951.9530200154068</v>
      </c>
      <c r="I214" t="s">
        <v>237</v>
      </c>
    </row>
    <row r="215" spans="1:9">
      <c r="A215" t="s">
        <v>198</v>
      </c>
      <c r="B215" t="s">
        <v>233</v>
      </c>
      <c r="E215">
        <f t="shared" si="16"/>
        <v>0</v>
      </c>
      <c r="F215">
        <v>3199</v>
      </c>
      <c r="G215">
        <f>LNG_global[[#This Row],[Distance '[miles']]]*1.60934449789256</f>
        <v>5148.2930487582989</v>
      </c>
      <c r="I215" t="s">
        <v>238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H34" sqref="H34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267</v>
      </c>
      <c r="D1" t="s">
        <v>107</v>
      </c>
      <c r="E1" t="s">
        <v>108</v>
      </c>
      <c r="F1" t="s">
        <v>203</v>
      </c>
      <c r="G1" t="s">
        <v>202</v>
      </c>
      <c r="H1" t="s">
        <v>264</v>
      </c>
      <c r="I1" t="s">
        <v>270</v>
      </c>
      <c r="L1" t="s">
        <v>268</v>
      </c>
    </row>
    <row r="2" spans="1:12">
      <c r="A2" t="s">
        <v>41</v>
      </c>
      <c r="B2" t="s">
        <v>160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276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f t="shared" ref="G3:G12" si="2">F3*1.60934449789256</f>
        <v>0</v>
      </c>
    </row>
    <row r="4" spans="1:12">
      <c r="A4" t="s">
        <v>41</v>
      </c>
      <c r="B4" t="s">
        <v>176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274</v>
      </c>
    </row>
    <row r="5" spans="1:12">
      <c r="A5" t="s">
        <v>153</v>
      </c>
      <c r="B5" t="s">
        <v>265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si="2"/>
        <v>4828.0334936776799</v>
      </c>
      <c r="I5" t="s">
        <v>275</v>
      </c>
    </row>
    <row r="6" spans="1:12">
      <c r="A6" t="s">
        <v>265</v>
      </c>
      <c r="B6" t="s">
        <v>153</v>
      </c>
      <c r="C6">
        <v>500</v>
      </c>
      <c r="D6">
        <f t="shared" si="0"/>
        <v>4885000</v>
      </c>
      <c r="E6" s="11">
        <f t="shared" si="1"/>
        <v>4885</v>
      </c>
      <c r="G6">
        <f t="shared" si="2"/>
        <v>0</v>
      </c>
      <c r="I6" t="s">
        <v>275</v>
      </c>
    </row>
    <row r="7" spans="1:12">
      <c r="A7" t="s">
        <v>176</v>
      </c>
      <c r="B7" t="s">
        <v>160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273</v>
      </c>
    </row>
    <row r="8" spans="1:12">
      <c r="A8" t="s">
        <v>176</v>
      </c>
      <c r="B8" t="s">
        <v>97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f t="shared" si="2"/>
        <v>0</v>
      </c>
      <c r="H8" t="s">
        <v>266</v>
      </c>
    </row>
    <row r="9" spans="1:12">
      <c r="A9" t="s">
        <v>156</v>
      </c>
      <c r="B9" t="s">
        <v>158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272</v>
      </c>
    </row>
    <row r="10" spans="1:12">
      <c r="A10" t="s">
        <v>156</v>
      </c>
      <c r="B10" t="s">
        <v>176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277</v>
      </c>
    </row>
    <row r="11" spans="1:12">
      <c r="A11" t="s">
        <v>157</v>
      </c>
      <c r="B11" t="s">
        <v>156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271</v>
      </c>
    </row>
    <row r="12" spans="1:12">
      <c r="A12" t="s">
        <v>156</v>
      </c>
      <c r="B12" t="s">
        <v>157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271</v>
      </c>
    </row>
    <row r="13" spans="1:12">
      <c r="A13" t="s">
        <v>163</v>
      </c>
      <c r="B13" t="s">
        <v>160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nodes_lng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nodes_demand_europe_2023</vt:lpstr>
      <vt:lpstr>nodes_demand_world_2023</vt:lpstr>
      <vt:lpstr>Connections_2021</vt:lpstr>
      <vt:lpstr>Connections_2024</vt:lpstr>
      <vt:lpstr>Import_Connections_EU</vt:lpstr>
      <vt:lpstr>global_LNG_connections</vt:lpstr>
      <vt:lpstr>Global_Connections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2025-03-24T10:12:28Z</dcterms:modified>
</cp:coreProperties>
</file>