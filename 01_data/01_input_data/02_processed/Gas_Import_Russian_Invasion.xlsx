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5FC2583-9393-4B12-92C7-C994959F149C}" xr6:coauthVersionLast="47" xr6:coauthVersionMax="47" xr10:uidLastSave="{00000000-0000-0000-0000-000000000000}"/>
  <bookViews>
    <workbookView xWindow="-110" yWindow="-110" windowWidth="19420" windowHeight="10300" firstSheet="3" activeTab="5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0" sheetId="4" r:id="rId6"/>
    <sheet name="Import_Connection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7" l="1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92" i="4"/>
  <c r="D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4" i="2"/>
  <c r="F5" i="2"/>
  <c r="F7" i="2"/>
  <c r="F8" i="2"/>
  <c r="F9" i="2"/>
  <c r="F12" i="2"/>
  <c r="F13" i="2"/>
  <c r="F14" i="2"/>
  <c r="F15" i="2"/>
  <c r="F18" i="2"/>
  <c r="F19" i="2"/>
  <c r="F20" i="2"/>
  <c r="F21" i="2"/>
  <c r="F22" i="2"/>
  <c r="F23" i="2"/>
  <c r="F24" i="2"/>
  <c r="F25" i="2"/>
  <c r="F26" i="2"/>
  <c r="F29" i="2"/>
  <c r="F31" i="2"/>
  <c r="F32" i="2"/>
  <c r="F34" i="2"/>
  <c r="F35" i="2"/>
  <c r="F36" i="2"/>
  <c r="F37" i="2"/>
  <c r="F38" i="2"/>
  <c r="F39" i="2"/>
  <c r="F41" i="2"/>
  <c r="D44" i="2"/>
  <c r="C44" i="2"/>
  <c r="E3" i="2"/>
  <c r="E4" i="2"/>
  <c r="E5" i="2"/>
  <c r="E6" i="2"/>
  <c r="F6" i="2" s="1"/>
  <c r="E7" i="2"/>
  <c r="E8" i="2"/>
  <c r="E9" i="2"/>
  <c r="E10" i="2"/>
  <c r="F10" i="2" s="1"/>
  <c r="E11" i="2"/>
  <c r="F11" i="2" s="1"/>
  <c r="E12" i="2"/>
  <c r="E13" i="2"/>
  <c r="E14" i="2"/>
  <c r="E15" i="2"/>
  <c r="E16" i="2"/>
  <c r="F16" i="2" s="1"/>
  <c r="E17" i="2"/>
  <c r="F17" i="2" s="1"/>
  <c r="E18" i="2"/>
  <c r="E19" i="2"/>
  <c r="E20" i="2"/>
  <c r="E21" i="2"/>
  <c r="E22" i="2"/>
  <c r="E23" i="2"/>
  <c r="E24" i="2"/>
  <c r="E25" i="2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44" i="2" s="1"/>
  <c r="E35" i="2"/>
  <c r="E36" i="2"/>
  <c r="E37" i="2"/>
  <c r="E38" i="2"/>
  <c r="E39" i="2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34" i="7" l="1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<sst xmlns="http://schemas.openxmlformats.org/spreadsheetml/2006/main" count="703" uniqueCount="141">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</sst>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4"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3"/>
    <tableColumn id="5" xr3:uid="{4278F9D8-E46F-44B9-A622-727B8E2C8EF1}" name="Mil m3 EU [2020]" dataDxfId="12"/>
    <tableColumn id="6" xr3:uid="{F2BDB73C-713D-4BC7-B762-048AA072F297}" name="Mrd m3 EU [2020]" dataDxfId="11">
      <calculatedColumnFormula>Table2[[#This Row],[Mil m3 EU '[2020']]]/1000</calculatedColumnFormula>
    </tableColumn>
    <tableColumn id="4" xr3:uid="{5BB2DA97-8C23-44BC-9268-BDBE2BCDBBC8}" name="TWh [2020]" dataDxfId="10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9"/>
    <tableColumn id="5" xr3:uid="{42F1A333-D727-4655-B618-A9AB5617745F}" name="Mil m3 EU [2020]" dataDxfId="8"/>
    <tableColumn id="6" xr3:uid="{326B3A9A-70B2-4D34-8E01-54CBBD0565E6}" name="Mrd m3 EU [2020]" dataDxfId="7">
      <calculatedColumnFormula>Table26[[#This Row],[Mil m3 EU '[2020']]]/1000</calculatedColumnFormula>
    </tableColumn>
    <tableColumn id="4" xr3:uid="{DC1916A1-B3CC-4586-AE6D-12CF46A9C0F0}" name="TWh [2020]" dataDxfId="6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"/>
    <tableColumn id="4" xr3:uid="{1618AAC4-0782-47C3-91CE-2FEB95FBDD58}" name="TWh [2020]" dataDxfId="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"/>
    <tableColumn id="4" xr3:uid="{60E83C2D-D521-4D6A-800D-160C3176DFC7}" name="TWh [2023]" dataDxfId="1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0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2" totalsRowShown="0">
  <autoFilter ref="A1:E92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105</v>
      </c>
      <c r="G1" t="s">
        <v>106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103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103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103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103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103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103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103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103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103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103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103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103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102</v>
      </c>
    </row>
    <row r="15" spans="1:13">
      <c r="A15" t="s">
        <v>131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103</v>
      </c>
      <c r="L15" t="str">
        <f t="shared" si="2"/>
        <v>EE_LNG</v>
      </c>
      <c r="M15" t="str">
        <f t="shared" si="3"/>
        <v>EE</v>
      </c>
    </row>
    <row r="16" spans="1:13">
      <c r="A16" t="s">
        <v>130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103</v>
      </c>
      <c r="L16" t="str">
        <f t="shared" si="2"/>
        <v>FI_LNG</v>
      </c>
      <c r="M16" t="str">
        <f t="shared" si="3"/>
        <v>FI</v>
      </c>
    </row>
    <row r="17" spans="1:13">
      <c r="A17" t="s">
        <v>132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103</v>
      </c>
      <c r="L17" t="str">
        <f t="shared" si="2"/>
        <v>DE_LNG</v>
      </c>
      <c r="M17" t="str">
        <f t="shared" si="3"/>
        <v>DE</v>
      </c>
    </row>
    <row r="18" spans="1:13">
      <c r="A18" t="s">
        <v>133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103</v>
      </c>
      <c r="L18" t="str">
        <f t="shared" si="2"/>
        <v>IE_LNG</v>
      </c>
      <c r="M18" t="str">
        <f t="shared" si="3"/>
        <v>IE</v>
      </c>
    </row>
    <row r="19" spans="1:13">
      <c r="A19" t="s">
        <v>134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103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workbookViewId="0">
      <selection activeCell="H48" sqref="H48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104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138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90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H44" sqref="H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104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138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139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43" workbookViewId="0">
      <selection activeCell="A50" sqref="A50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85</v>
      </c>
      <c r="D1" t="s">
        <v>107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113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114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111</v>
      </c>
      <c r="B41" t="s">
        <v>112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120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137</v>
      </c>
      <c r="D1" t="s">
        <v>136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113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114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111</v>
      </c>
      <c r="B41" t="s">
        <v>112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120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2"/>
  <sheetViews>
    <sheetView tabSelected="1" workbookViewId="0">
      <selection activeCell="G95" sqref="G95"/>
    </sheetView>
  </sheetViews>
  <sheetFormatPr defaultRowHeight="14.5"/>
  <cols>
    <col min="3" max="3" width="8.90625" customWidth="1"/>
    <col min="4" max="4" width="8.81640625" customWidth="1"/>
  </cols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  <row r="91" spans="1:5">
      <c r="A91" s="4" t="s">
        <v>54</v>
      </c>
      <c r="B91" s="4" t="s">
        <v>36</v>
      </c>
      <c r="C91" s="4"/>
      <c r="D91" s="4">
        <f>C91*365</f>
        <v>0</v>
      </c>
      <c r="E91" s="4">
        <v>24.424999999999997</v>
      </c>
    </row>
    <row r="92" spans="1:5">
      <c r="A92" t="s">
        <v>36</v>
      </c>
      <c r="B92" t="s">
        <v>54</v>
      </c>
      <c r="D92">
        <f>C92*365</f>
        <v>0</v>
      </c>
      <c r="E92" s="4">
        <v>24.424999999999997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E33" sqref="E33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97</v>
      </c>
      <c r="B3" t="s">
        <v>98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99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100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98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99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126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127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128</v>
      </c>
    </row>
    <row r="31" spans="1:6">
      <c r="A31" t="s">
        <v>41</v>
      </c>
      <c r="B31" t="s">
        <v>53</v>
      </c>
      <c r="F31" t="s">
        <v>129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101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101</v>
      </c>
    </row>
    <row r="37" spans="1:6">
      <c r="A3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nodes_lng</vt:lpstr>
      <vt:lpstr>nodes_gas_prod_2020</vt:lpstr>
      <vt:lpstr>nodes_gas_prod_2024</vt:lpstr>
      <vt:lpstr>nodes_demand_2020</vt:lpstr>
      <vt:lpstr>nodes_demand_2023</vt:lpstr>
      <vt:lpstr>Connections_2020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2025-02-19T12:43:29Z</dcterms:modified>
</cp:coreProperties>
</file>