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126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55D42ECD-15AC-45FA-9E70-C45F1348C0EB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nodes_lng" sheetId="1" r:id="rId1"/>
    <sheet name="nodes_gas_prod" sheetId="2" r:id="rId2"/>
    <sheet name="nodes_deman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2" i="1"/>
</calcChain>
</file>

<file path=xl/sharedStrings.xml><?xml version="1.0" encoding="utf-8"?>
<sst xmlns="http://schemas.openxmlformats.org/spreadsheetml/2006/main" count="20" uniqueCount="20">
  <si>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</si>
  <si>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</si>
  <si>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</si>
  <si>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</si>
  <si>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</si>
  <si>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</si>
  <si>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</si>
  <si>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</si>
  <si>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</si>
  <si>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</si>
  <si>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</si>
  <si>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</si>
  <si>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Rest of EU</t>
  </si>
  <si>
    <t>Rest of Europe</t>
  </si>
  <si>
    <t>LNG</t>
  </si>
  <si>
    <t>Imports</t>
  </si>
  <si>
    <t>Share [2020]</t>
  </si>
  <si>
    <t>Capacity after grid connection [2020]</t>
  </si>
  <si>
    <t>LNG Capacity Mrd m3 [2020]</t>
  </si>
  <si>
    <t>node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</si>
</sst>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workbookViewId="0">
      <selection activeCell="I16" sqref="I16"/>
    </sheetView>
  </sheetViews>
  <sheetFormatPr defaultRowHeight="14.5" x14ac:dyDescent="0.35"/>
  <sheetData>
    <row r="1" spans="1:5" x14ac:dyDescent="0.35">
      <c r="A1" t="s">
        <v>14</v>
      </c>
      <c r="B1" t="s">
        <v>18</v>
      </c>
      <c r="C1" t="s">
        <v>15</v>
      </c>
      <c r="D1" t="s">
        <v>16</v>
      </c>
      <c r="E1" t="s">
        <v>17</v>
      </c>
    </row>
    <row r="2" spans="1:5" x14ac:dyDescent="0.35">
      <c r="A2" t="s">
        <v>0</v>
      </c>
      <c r="B2">
        <v>9</v>
      </c>
      <c r="C2">
        <v>5.0999999999999996</v>
      </c>
      <c r="D2" s="1">
        <f>C2/B2</f>
        <v>0.56666666666666665</v>
      </c>
      <c r="E2">
        <v>9</v>
      </c>
    </row>
    <row r="3" spans="1:5" x14ac:dyDescent="0.35">
      <c r="A3" t="s">
        <v>2</v>
      </c>
      <c r="B3">
        <v>33</v>
      </c>
      <c r="C3">
        <v>19.600000000000001</v>
      </c>
      <c r="D3" s="1">
        <f t="shared" ref="D3:D15" si="0">C3/B3</f>
        <v>0.59393939393939399</v>
      </c>
      <c r="E3">
        <v>33</v>
      </c>
    </row>
    <row r="4" spans="1:5" x14ac:dyDescent="0.35">
      <c r="A4" t="s">
        <v>3</v>
      </c>
      <c r="B4">
        <v>7.5</v>
      </c>
      <c r="C4">
        <v>2.5</v>
      </c>
      <c r="D4" s="1">
        <f t="shared" si="0"/>
        <v>0.33333333333333331</v>
      </c>
      <c r="E4">
        <v>7.5</v>
      </c>
    </row>
    <row r="5" spans="1:5" x14ac:dyDescent="0.35">
      <c r="A5" t="s">
        <v>4</v>
      </c>
      <c r="B5">
        <v>15.8</v>
      </c>
      <c r="C5">
        <v>12.1</v>
      </c>
      <c r="D5" s="1">
        <f t="shared" si="0"/>
        <v>0.76582278481012656</v>
      </c>
      <c r="E5">
        <v>15.8</v>
      </c>
    </row>
    <row r="6" spans="1:5" x14ac:dyDescent="0.35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</row>
    <row r="7" spans="1:5" x14ac:dyDescent="0.35">
      <c r="A7" t="s">
        <v>6</v>
      </c>
      <c r="B7">
        <v>4</v>
      </c>
      <c r="C7">
        <v>1.6</v>
      </c>
      <c r="D7" s="1">
        <f t="shared" si="0"/>
        <v>0.4</v>
      </c>
      <c r="E7">
        <v>4</v>
      </c>
    </row>
    <row r="8" spans="1:5" x14ac:dyDescent="0.35">
      <c r="A8" t="s">
        <v>7</v>
      </c>
      <c r="B8">
        <v>12.5</v>
      </c>
      <c r="C8">
        <v>8.1999999999999993</v>
      </c>
      <c r="D8" s="1">
        <f t="shared" si="0"/>
        <v>0.65599999999999992</v>
      </c>
      <c r="E8">
        <v>12.5</v>
      </c>
    </row>
    <row r="9" spans="1:5" x14ac:dyDescent="0.35">
      <c r="A9" t="s">
        <v>8</v>
      </c>
      <c r="B9">
        <v>7.5</v>
      </c>
      <c r="C9">
        <v>4.0999999999999996</v>
      </c>
      <c r="D9" s="1">
        <f t="shared" si="0"/>
        <v>0.54666666666666663</v>
      </c>
      <c r="E9">
        <v>5.8</v>
      </c>
    </row>
    <row r="10" spans="1:5" x14ac:dyDescent="0.35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</row>
    <row r="11" spans="1:5" x14ac:dyDescent="0.35">
      <c r="A11" t="s">
        <v>9</v>
      </c>
      <c r="B11">
        <v>67.099999999999994</v>
      </c>
      <c r="C11">
        <v>20.9</v>
      </c>
      <c r="D11" s="1">
        <f t="shared" si="0"/>
        <v>0.31147540983606559</v>
      </c>
      <c r="E11">
        <v>67.099999999999994</v>
      </c>
    </row>
    <row r="12" spans="1:5" x14ac:dyDescent="0.35">
      <c r="A12" t="s">
        <v>10</v>
      </c>
      <c r="B12">
        <v>14.8</v>
      </c>
      <c r="C12">
        <v>14.8</v>
      </c>
      <c r="D12" s="1">
        <f t="shared" si="0"/>
        <v>1</v>
      </c>
      <c r="E12">
        <v>14.8</v>
      </c>
    </row>
    <row r="13" spans="1:5" x14ac:dyDescent="0.35">
      <c r="A13" t="s">
        <v>11</v>
      </c>
      <c r="B13">
        <v>52.3</v>
      </c>
      <c r="C13">
        <v>18.600000000000001</v>
      </c>
      <c r="D13" s="1">
        <f t="shared" si="0"/>
        <v>0.35564053537284901</v>
      </c>
      <c r="E13">
        <v>52.3</v>
      </c>
    </row>
    <row r="14" spans="1:5" x14ac:dyDescent="0.35">
      <c r="A14" t="s">
        <v>12</v>
      </c>
      <c r="B14">
        <v>1.3</v>
      </c>
      <c r="C14">
        <v>0.8</v>
      </c>
      <c r="D14" s="1">
        <f t="shared" si="0"/>
        <v>0.61538461538461542</v>
      </c>
      <c r="E14">
        <v>1.3</v>
      </c>
    </row>
    <row r="15" spans="1:5" x14ac:dyDescent="0.35">
      <c r="A15" t="s">
        <v>13</v>
      </c>
      <c r="B15">
        <v>1.3</v>
      </c>
      <c r="C15">
        <v>0.1</v>
      </c>
      <c r="D15" s="1">
        <f t="shared" si="0"/>
        <v>7.6923076923076927E-2</v>
      </c>
      <c r="E15">
        <v>1.3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"/>
  <sheetViews>
    <sheetView workbookViewId="0"/>
  </sheetViews>
  <sheetFormatPr defaultRowHeight="14.5" x14ac:dyDescent="0.35"/>
  <sheetData>
    <row r="1" spans="1:1" x14ac:dyDescent="0.35">
      <c r="A1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"/>
  <sheetViews>
    <sheetView tabSelected="1" workbookViewId="0">
      <selection activeCell="A2" sqref="A2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nodes_lng</vt:lpstr>
      <vt:lpstr>nodes_gas_prod</vt:lpstr>
      <vt:lpstr>nodes_demand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2024-03-08T12:42:09Z</dcterms:modified>
</cp:coreProperties>
</file>