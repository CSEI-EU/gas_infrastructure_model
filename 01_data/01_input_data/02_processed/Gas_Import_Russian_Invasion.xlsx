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E88B6ED9-2259-43E3-9A4A-13A60D43190F}" xr6:coauthVersionLast="47" xr6:coauthVersionMax="47" xr10:uidLastSave="{00000000-0000-0000-0000-000000000000}"/>
  <bookViews>
    <workbookView xWindow="-12975" yWindow="-21720" windowWidth="51840" windowHeight="21120" tabRatio="790" firstSheet="6" activeTab="16" xr2:uid="{00000000-000D-0000-FFFF-FFFF00000000}"/>
  </bookViews>
  <sheets>
    <sheet name="nodes_lng_europe_2019" sheetId="32" r:id="rId1"/>
    <sheet name="nodes_lng_europe_2020" sheetId="1" r:id="rId2"/>
    <sheet name="nodes_lng_europe_2024" sheetId="15" r:id="rId3"/>
    <sheet name="nodes_lng_europe_2035" sheetId="17" r:id="rId4"/>
    <sheet name="nodes_gas_prod_europe_2019" sheetId="28" r:id="rId5"/>
    <sheet name="nodes_gas_prod_world_2019" sheetId="29" r:id="rId6"/>
    <sheet name="nodes_gas_prod_europe_2020" sheetId="2" r:id="rId7"/>
    <sheet name="nodes_gas_prod_world_2020" sheetId="11" r:id="rId8"/>
    <sheet name="nodes_gas_prod_europe_2024" sheetId="7" r:id="rId9"/>
    <sheet name="nodes_gas_prod_world_2024" sheetId="12" r:id="rId10"/>
    <sheet name="nodes_gas_prod_europe_2035_SP" sheetId="23" r:id="rId11"/>
    <sheet name="nodes_gas_prod_europe_2035_AP" sheetId="24" r:id="rId12"/>
    <sheet name="nodes_gas_prod_world_2035" sheetId="22" r:id="rId13"/>
    <sheet name="nodes_demand_europe_2019" sheetId="30" r:id="rId14"/>
    <sheet name="nodes_demand_europe_2020" sheetId="3" r:id="rId15"/>
    <sheet name="nodes_demand_europe_2024" sheetId="6" r:id="rId16"/>
    <sheet name="nodes_demand_europe_2035" sheetId="18" r:id="rId17"/>
    <sheet name="nodes_demand_europe_2035_SP" sheetId="20" r:id="rId18"/>
    <sheet name="nodes_demand_europe_2035_AP" sheetId="21" r:id="rId19"/>
    <sheet name="nodes_demand_world_2019" sheetId="13" r:id="rId20"/>
    <sheet name="nodes_demand_world_2020" sheetId="33" r:id="rId21"/>
    <sheet name="nodes_demand_world_2024" sheetId="14" r:id="rId22"/>
    <sheet name="nodes_demand_world_2035" sheetId="19" r:id="rId23"/>
    <sheet name="Import_Connections_EU" sheetId="5" r:id="rId24"/>
    <sheet name="Connections_2019" sheetId="34" r:id="rId25"/>
    <sheet name="Connections_2020" sheetId="4" r:id="rId26"/>
    <sheet name="Connections_2024" sheetId="8" r:id="rId27"/>
    <sheet name="Connections_2035" sheetId="25" r:id="rId28"/>
    <sheet name="Global_Connections" sheetId="10" r:id="rId29"/>
    <sheet name="global_LNG_connections_2019" sheetId="31" r:id="rId30"/>
    <sheet name="global_LNG_connections_2020" sheetId="9" r:id="rId31"/>
    <sheet name="global_LNG_connections_2024" sheetId="16" r:id="rId32"/>
    <sheet name="global_LNG_connections_2035" sheetId="26" r:id="rId33"/>
  </sheets>
  <definedNames>
    <definedName name="_xlnm._FilterDatabase" localSheetId="23" hidden="1">Import_Connections_EU!$A$1:$F$34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4" l="1"/>
  <c r="F2" i="34" s="1"/>
  <c r="G2" i="34" s="1"/>
  <c r="E43" i="34"/>
  <c r="F43" i="34" s="1"/>
  <c r="G43" i="34" s="1"/>
  <c r="D101" i="34"/>
  <c r="F101" i="34" s="1"/>
  <c r="G101" i="34" s="1"/>
  <c r="E100" i="34"/>
  <c r="F100" i="34" s="1"/>
  <c r="G100" i="34" s="1"/>
  <c r="E91" i="34"/>
  <c r="F20" i="34"/>
  <c r="G20" i="34" s="1"/>
  <c r="E6" i="32"/>
  <c r="G6" i="32"/>
  <c r="I6" i="32"/>
  <c r="H6" i="32" s="1"/>
  <c r="N6" i="32"/>
  <c r="O6" i="32"/>
  <c r="G2" i="9"/>
  <c r="C28" i="5"/>
  <c r="F3" i="34"/>
  <c r="G3" i="34" s="1"/>
  <c r="F4" i="34"/>
  <c r="G4" i="34" s="1"/>
  <c r="F5" i="34"/>
  <c r="G5" i="34" s="1"/>
  <c r="F6" i="34"/>
  <c r="G6" i="34" s="1"/>
  <c r="F7" i="34"/>
  <c r="G7" i="34" s="1"/>
  <c r="F8" i="34"/>
  <c r="G8" i="34" s="1"/>
  <c r="F9" i="34"/>
  <c r="G9" i="34" s="1"/>
  <c r="F10" i="34"/>
  <c r="G10" i="34" s="1"/>
  <c r="F11" i="34"/>
  <c r="G11" i="34" s="1"/>
  <c r="F12" i="34"/>
  <c r="G12" i="34" s="1"/>
  <c r="F13" i="34"/>
  <c r="G13" i="34" s="1"/>
  <c r="F14" i="34"/>
  <c r="G14" i="34" s="1"/>
  <c r="F15" i="34"/>
  <c r="G15" i="34" s="1"/>
  <c r="F16" i="34"/>
  <c r="G16" i="34" s="1"/>
  <c r="F17" i="34"/>
  <c r="G17" i="34" s="1"/>
  <c r="F18" i="34"/>
  <c r="G18" i="34" s="1"/>
  <c r="F19" i="34"/>
  <c r="G19" i="34" s="1"/>
  <c r="F21" i="34"/>
  <c r="G21" i="34" s="1"/>
  <c r="F22" i="34"/>
  <c r="G22" i="34" s="1"/>
  <c r="F23" i="34"/>
  <c r="G23" i="34" s="1"/>
  <c r="F24" i="34"/>
  <c r="G24" i="34" s="1"/>
  <c r="F25" i="34"/>
  <c r="G25" i="34" s="1"/>
  <c r="F26" i="34"/>
  <c r="G26" i="34" s="1"/>
  <c r="F27" i="34"/>
  <c r="G27" i="34" s="1"/>
  <c r="F28" i="34"/>
  <c r="G28" i="34" s="1"/>
  <c r="F29" i="34"/>
  <c r="G29" i="34" s="1"/>
  <c r="F30" i="34"/>
  <c r="G30" i="34" s="1"/>
  <c r="F31" i="34"/>
  <c r="G31" i="34" s="1"/>
  <c r="F32" i="34"/>
  <c r="G32" i="34" s="1"/>
  <c r="F33" i="34"/>
  <c r="G33" i="34" s="1"/>
  <c r="F34" i="34"/>
  <c r="G34" i="34" s="1"/>
  <c r="F35" i="34"/>
  <c r="G35" i="34" s="1"/>
  <c r="F36" i="34"/>
  <c r="G36" i="34" s="1"/>
  <c r="F37" i="34"/>
  <c r="G37" i="34" s="1"/>
  <c r="F38" i="34"/>
  <c r="G38" i="34" s="1"/>
  <c r="F39" i="34"/>
  <c r="G39" i="34" s="1"/>
  <c r="F40" i="34"/>
  <c r="G40" i="34" s="1"/>
  <c r="F41" i="34"/>
  <c r="G41" i="34" s="1"/>
  <c r="F42" i="34"/>
  <c r="G42" i="34" s="1"/>
  <c r="F44" i="34"/>
  <c r="G44" i="34" s="1"/>
  <c r="F45" i="34"/>
  <c r="G45" i="34" s="1"/>
  <c r="F46" i="34"/>
  <c r="G46" i="34" s="1"/>
  <c r="F47" i="34"/>
  <c r="G47" i="34" s="1"/>
  <c r="F48" i="34"/>
  <c r="G48" i="34" s="1"/>
  <c r="F49" i="34"/>
  <c r="G49" i="34" s="1"/>
  <c r="F50" i="34"/>
  <c r="G50" i="34" s="1"/>
  <c r="F51" i="34"/>
  <c r="G51" i="34" s="1"/>
  <c r="F52" i="34"/>
  <c r="G52" i="34" s="1"/>
  <c r="F53" i="34"/>
  <c r="G53" i="34" s="1"/>
  <c r="F54" i="34"/>
  <c r="G54" i="34" s="1"/>
  <c r="F55" i="34"/>
  <c r="G55" i="34" s="1"/>
  <c r="F56" i="34"/>
  <c r="G56" i="34" s="1"/>
  <c r="F57" i="34"/>
  <c r="G57" i="34" s="1"/>
  <c r="F58" i="34"/>
  <c r="G58" i="34" s="1"/>
  <c r="F59" i="34"/>
  <c r="G59" i="34" s="1"/>
  <c r="F60" i="34"/>
  <c r="G60" i="34" s="1"/>
  <c r="F61" i="34"/>
  <c r="G61" i="34" s="1"/>
  <c r="F62" i="34"/>
  <c r="G62" i="34" s="1"/>
  <c r="F63" i="34"/>
  <c r="G63" i="34" s="1"/>
  <c r="F64" i="34"/>
  <c r="G64" i="34" s="1"/>
  <c r="F65" i="34"/>
  <c r="G65" i="34" s="1"/>
  <c r="F66" i="34"/>
  <c r="G66" i="34" s="1"/>
  <c r="F67" i="34"/>
  <c r="G67" i="34" s="1"/>
  <c r="F68" i="34"/>
  <c r="G68" i="34" s="1"/>
  <c r="F69" i="34"/>
  <c r="G69" i="34" s="1"/>
  <c r="F70" i="34"/>
  <c r="G70" i="34" s="1"/>
  <c r="F71" i="34"/>
  <c r="G71" i="34" s="1"/>
  <c r="F72" i="34"/>
  <c r="G72" i="34" s="1"/>
  <c r="F73" i="34"/>
  <c r="G73" i="34" s="1"/>
  <c r="F74" i="34"/>
  <c r="G74" i="34" s="1"/>
  <c r="F75" i="34"/>
  <c r="G75" i="34" s="1"/>
  <c r="F76" i="34"/>
  <c r="G76" i="34" s="1"/>
  <c r="F77" i="34"/>
  <c r="G77" i="34" s="1"/>
  <c r="F78" i="34"/>
  <c r="G78" i="34" s="1"/>
  <c r="F79" i="34"/>
  <c r="G79" i="34" s="1"/>
  <c r="F80" i="34"/>
  <c r="G80" i="34" s="1"/>
  <c r="F81" i="34"/>
  <c r="G81" i="34" s="1"/>
  <c r="F82" i="34"/>
  <c r="G82" i="34" s="1"/>
  <c r="F83" i="34"/>
  <c r="G83" i="34" s="1"/>
  <c r="F84" i="34"/>
  <c r="G84" i="34" s="1"/>
  <c r="F85" i="34"/>
  <c r="G85" i="34" s="1"/>
  <c r="F86" i="34"/>
  <c r="G86" i="34" s="1"/>
  <c r="F87" i="34"/>
  <c r="G87" i="34" s="1"/>
  <c r="F88" i="34"/>
  <c r="G88" i="34" s="1"/>
  <c r="F89" i="34"/>
  <c r="G89" i="34" s="1"/>
  <c r="F90" i="34"/>
  <c r="G90" i="34" s="1"/>
  <c r="F91" i="34"/>
  <c r="G91" i="34" s="1"/>
  <c r="F92" i="34"/>
  <c r="G92" i="34" s="1"/>
  <c r="F93" i="34"/>
  <c r="G93" i="34" s="1"/>
  <c r="F94" i="34"/>
  <c r="G94" i="34" s="1"/>
  <c r="F95" i="34"/>
  <c r="G95" i="34" s="1"/>
  <c r="F96" i="34"/>
  <c r="G96" i="34" s="1"/>
  <c r="F97" i="34"/>
  <c r="G97" i="34" s="1"/>
  <c r="F98" i="34"/>
  <c r="G98" i="34" s="1"/>
  <c r="F99" i="34"/>
  <c r="G99" i="34" s="1"/>
  <c r="F102" i="34"/>
  <c r="G102" i="34" s="1"/>
  <c r="F103" i="34"/>
  <c r="G103" i="34" s="1"/>
  <c r="F104" i="34"/>
  <c r="G104" i="34" s="1"/>
  <c r="F105" i="34"/>
  <c r="G105" i="34" s="1"/>
  <c r="F107" i="34"/>
  <c r="G107" i="34" s="1"/>
  <c r="F108" i="34"/>
  <c r="G108" i="34" s="1"/>
  <c r="F109" i="34"/>
  <c r="G109" i="34" s="1"/>
  <c r="C18" i="13"/>
  <c r="C8" i="13" s="1"/>
  <c r="C14" i="13"/>
  <c r="C13" i="13"/>
  <c r="C21" i="13"/>
  <c r="C11" i="13"/>
  <c r="C6" i="13"/>
  <c r="C4" i="13"/>
  <c r="C3" i="13"/>
  <c r="G22" i="33"/>
  <c r="F22" i="33" s="1"/>
  <c r="E22" i="33"/>
  <c r="G21" i="33"/>
  <c r="F21" i="33" s="1"/>
  <c r="E21" i="33"/>
  <c r="C21" i="33"/>
  <c r="G20" i="33"/>
  <c r="F20" i="33" s="1"/>
  <c r="E20" i="33"/>
  <c r="G19" i="33"/>
  <c r="F19" i="33" s="1"/>
  <c r="E19" i="33"/>
  <c r="G18" i="33"/>
  <c r="F18" i="33" s="1"/>
  <c r="E18" i="33"/>
  <c r="G17" i="33"/>
  <c r="F17" i="33" s="1"/>
  <c r="E17" i="33"/>
  <c r="G16" i="33"/>
  <c r="F16" i="33" s="1"/>
  <c r="E16" i="33"/>
  <c r="G15" i="33"/>
  <c r="F15" i="33" s="1"/>
  <c r="E15" i="33"/>
  <c r="G14" i="33"/>
  <c r="F14" i="33" s="1"/>
  <c r="E14" i="33"/>
  <c r="C14" i="33"/>
  <c r="E13" i="33"/>
  <c r="G12" i="33"/>
  <c r="F12" i="33"/>
  <c r="E12" i="33"/>
  <c r="G11" i="33"/>
  <c r="F11" i="33" s="1"/>
  <c r="E11" i="33"/>
  <c r="C11" i="33"/>
  <c r="C13" i="33" s="1"/>
  <c r="G13" i="33" s="1"/>
  <c r="F13" i="33" s="1"/>
  <c r="G10" i="33"/>
  <c r="F10" i="33" s="1"/>
  <c r="E10" i="33"/>
  <c r="G9" i="33"/>
  <c r="F9" i="33" s="1"/>
  <c r="E9" i="33"/>
  <c r="E8" i="33"/>
  <c r="C8" i="33"/>
  <c r="G8" i="33" s="1"/>
  <c r="F8" i="33" s="1"/>
  <c r="G7" i="33"/>
  <c r="F7" i="33" s="1"/>
  <c r="E7" i="33"/>
  <c r="E6" i="33"/>
  <c r="C6" i="33"/>
  <c r="G6" i="33" s="1"/>
  <c r="F6" i="33" s="1"/>
  <c r="E5" i="33"/>
  <c r="C5" i="33"/>
  <c r="G5" i="33" s="1"/>
  <c r="F5" i="33" s="1"/>
  <c r="E4" i="33"/>
  <c r="C4" i="33"/>
  <c r="G4" i="33" s="1"/>
  <c r="F4" i="33" s="1"/>
  <c r="E3" i="33"/>
  <c r="C3" i="33"/>
  <c r="G3" i="33" s="1"/>
  <c r="F3" i="33" s="1"/>
  <c r="G2" i="33"/>
  <c r="F2" i="33" s="1"/>
  <c r="E2" i="33"/>
  <c r="G14" i="32"/>
  <c r="I14" i="32" s="1"/>
  <c r="H14" i="32" s="1"/>
  <c r="E14" i="32"/>
  <c r="O13" i="32"/>
  <c r="N13" i="32"/>
  <c r="G13" i="32"/>
  <c r="I13" i="32" s="1"/>
  <c r="H13" i="32" s="1"/>
  <c r="E13" i="32"/>
  <c r="O12" i="32"/>
  <c r="N12" i="32"/>
  <c r="G12" i="32"/>
  <c r="I12" i="32" s="1"/>
  <c r="H12" i="32" s="1"/>
  <c r="E12" i="32"/>
  <c r="O11" i="32"/>
  <c r="N11" i="32"/>
  <c r="G11" i="32"/>
  <c r="I11" i="32" s="1"/>
  <c r="H11" i="32" s="1"/>
  <c r="E11" i="32"/>
  <c r="O10" i="32"/>
  <c r="N10" i="32"/>
  <c r="G10" i="32"/>
  <c r="I10" i="32" s="1"/>
  <c r="H10" i="32" s="1"/>
  <c r="E10" i="32"/>
  <c r="O9" i="32"/>
  <c r="N9" i="32"/>
  <c r="G9" i="32"/>
  <c r="I9" i="32" s="1"/>
  <c r="H9" i="32" s="1"/>
  <c r="E9" i="32"/>
  <c r="O8" i="32"/>
  <c r="N8" i="32"/>
  <c r="G8" i="32"/>
  <c r="I8" i="32" s="1"/>
  <c r="H8" i="32" s="1"/>
  <c r="E8" i="32"/>
  <c r="O7" i="32"/>
  <c r="N7" i="32"/>
  <c r="G7" i="32"/>
  <c r="I7" i="32" s="1"/>
  <c r="H7" i="32" s="1"/>
  <c r="E7" i="32"/>
  <c r="O5" i="32"/>
  <c r="N5" i="32"/>
  <c r="G5" i="32"/>
  <c r="I5" i="32" s="1"/>
  <c r="H5" i="32" s="1"/>
  <c r="E5" i="32"/>
  <c r="O4" i="32"/>
  <c r="N4" i="32"/>
  <c r="G4" i="32"/>
  <c r="I4" i="32" s="1"/>
  <c r="H4" i="32" s="1"/>
  <c r="E4" i="32"/>
  <c r="O3" i="32"/>
  <c r="N3" i="32"/>
  <c r="G3" i="32"/>
  <c r="I3" i="32" s="1"/>
  <c r="H3" i="32" s="1"/>
  <c r="E3" i="32"/>
  <c r="O2" i="32"/>
  <c r="N2" i="32"/>
  <c r="G2" i="32"/>
  <c r="I2" i="32" s="1"/>
  <c r="H2" i="32" s="1"/>
  <c r="E2" i="32"/>
  <c r="E27" i="3"/>
  <c r="D3" i="30"/>
  <c r="C37" i="28"/>
  <c r="F2" i="29"/>
  <c r="C17" i="29"/>
  <c r="C15" i="29"/>
  <c r="C14" i="29"/>
  <c r="C6" i="29"/>
  <c r="C4" i="29"/>
  <c r="G4" i="29" s="1"/>
  <c r="F4" i="29" s="1"/>
  <c r="C3" i="29"/>
  <c r="G2" i="28"/>
  <c r="G125" i="31"/>
  <c r="E125" i="31"/>
  <c r="G124" i="31"/>
  <c r="E124" i="31"/>
  <c r="G123" i="31"/>
  <c r="E123" i="31"/>
  <c r="G122" i="31"/>
  <c r="E122" i="31"/>
  <c r="G121" i="31"/>
  <c r="E121" i="31"/>
  <c r="G120" i="31"/>
  <c r="E120" i="31"/>
  <c r="G119" i="31"/>
  <c r="E119" i="31"/>
  <c r="G118" i="31"/>
  <c r="E118" i="31"/>
  <c r="G117" i="31"/>
  <c r="E117" i="31"/>
  <c r="G116" i="31"/>
  <c r="E116" i="31"/>
  <c r="G115" i="31"/>
  <c r="E115" i="31"/>
  <c r="G71" i="31"/>
  <c r="E71" i="31"/>
  <c r="G70" i="31"/>
  <c r="E70" i="31"/>
  <c r="G69" i="31"/>
  <c r="E69" i="31"/>
  <c r="G68" i="31"/>
  <c r="E68" i="31"/>
  <c r="G67" i="31"/>
  <c r="E67" i="31"/>
  <c r="G66" i="31"/>
  <c r="E66" i="31"/>
  <c r="G65" i="31"/>
  <c r="E65" i="31"/>
  <c r="G64" i="31"/>
  <c r="E64" i="31"/>
  <c r="G63" i="31"/>
  <c r="E63" i="31"/>
  <c r="G62" i="31"/>
  <c r="E62" i="31"/>
  <c r="G61" i="31"/>
  <c r="E61" i="31"/>
  <c r="G53" i="31"/>
  <c r="E53" i="31"/>
  <c r="G52" i="31"/>
  <c r="E52" i="31"/>
  <c r="G51" i="31"/>
  <c r="E51" i="31"/>
  <c r="G50" i="31"/>
  <c r="E50" i="31"/>
  <c r="G49" i="31"/>
  <c r="E49" i="31"/>
  <c r="G48" i="31"/>
  <c r="E48" i="31"/>
  <c r="G47" i="31"/>
  <c r="E47" i="31"/>
  <c r="G46" i="31"/>
  <c r="E46" i="31"/>
  <c r="G45" i="31"/>
  <c r="E45" i="31"/>
  <c r="G44" i="31"/>
  <c r="E44" i="31"/>
  <c r="G43" i="31"/>
  <c r="E43" i="31"/>
  <c r="G36" i="31"/>
  <c r="E36" i="31"/>
  <c r="G35" i="31"/>
  <c r="E35" i="31"/>
  <c r="G34" i="31"/>
  <c r="E34" i="31"/>
  <c r="G33" i="31"/>
  <c r="E33" i="31"/>
  <c r="G32" i="31"/>
  <c r="E32" i="31"/>
  <c r="G31" i="31"/>
  <c r="E31" i="31"/>
  <c r="G30" i="31"/>
  <c r="E30" i="31"/>
  <c r="G29" i="31"/>
  <c r="E29" i="31"/>
  <c r="G28" i="31"/>
  <c r="E28" i="31"/>
  <c r="G27" i="31"/>
  <c r="E27" i="31"/>
  <c r="G26" i="31"/>
  <c r="E26" i="31"/>
  <c r="G18" i="31"/>
  <c r="E18" i="31"/>
  <c r="G17" i="31"/>
  <c r="E17" i="31"/>
  <c r="G16" i="31"/>
  <c r="E16" i="31"/>
  <c r="G15" i="31"/>
  <c r="E15" i="31"/>
  <c r="G14" i="31"/>
  <c r="E14" i="31"/>
  <c r="G13" i="31"/>
  <c r="E13" i="31"/>
  <c r="G12" i="31"/>
  <c r="E12" i="31"/>
  <c r="G11" i="31"/>
  <c r="E11" i="31"/>
  <c r="G10" i="31"/>
  <c r="E10" i="31"/>
  <c r="G9" i="31"/>
  <c r="E9" i="31"/>
  <c r="G8" i="31"/>
  <c r="E8" i="31"/>
  <c r="G89" i="31"/>
  <c r="E89" i="31"/>
  <c r="G88" i="31"/>
  <c r="E88" i="31"/>
  <c r="G87" i="31"/>
  <c r="E87" i="31"/>
  <c r="G86" i="31"/>
  <c r="E86" i="31"/>
  <c r="G85" i="31"/>
  <c r="E85" i="31"/>
  <c r="G84" i="31"/>
  <c r="E84" i="31"/>
  <c r="G83" i="31"/>
  <c r="E83" i="31"/>
  <c r="G82" i="31"/>
  <c r="E82" i="31"/>
  <c r="G81" i="31"/>
  <c r="E81" i="31"/>
  <c r="G80" i="31"/>
  <c r="E80" i="31"/>
  <c r="G79" i="31"/>
  <c r="E79" i="31"/>
  <c r="G143" i="31"/>
  <c r="E143" i="31"/>
  <c r="G142" i="31"/>
  <c r="E142" i="31"/>
  <c r="G141" i="31"/>
  <c r="E141" i="31"/>
  <c r="G140" i="31"/>
  <c r="E140" i="31"/>
  <c r="G139" i="31"/>
  <c r="E139" i="31"/>
  <c r="G138" i="31"/>
  <c r="E138" i="31"/>
  <c r="G137" i="31"/>
  <c r="E137" i="31"/>
  <c r="G136" i="31"/>
  <c r="E136" i="31"/>
  <c r="G135" i="31"/>
  <c r="E135" i="31"/>
  <c r="G134" i="31"/>
  <c r="E134" i="31"/>
  <c r="G133" i="31"/>
  <c r="E133" i="31"/>
  <c r="G161" i="31"/>
  <c r="E161" i="31"/>
  <c r="G160" i="31"/>
  <c r="E160" i="31"/>
  <c r="G159" i="31"/>
  <c r="E159" i="31"/>
  <c r="G158" i="31"/>
  <c r="E158" i="31"/>
  <c r="G157" i="31"/>
  <c r="E157" i="31"/>
  <c r="G156" i="31"/>
  <c r="E156" i="31"/>
  <c r="G155" i="31"/>
  <c r="E155" i="31"/>
  <c r="G154" i="31"/>
  <c r="E154" i="31"/>
  <c r="G153" i="31"/>
  <c r="E153" i="31"/>
  <c r="G152" i="31"/>
  <c r="E152" i="31"/>
  <c r="G151" i="31"/>
  <c r="E151" i="31"/>
  <c r="G107" i="31"/>
  <c r="E107" i="31"/>
  <c r="G106" i="31"/>
  <c r="E106" i="31"/>
  <c r="G105" i="31"/>
  <c r="E105" i="31"/>
  <c r="G104" i="31"/>
  <c r="E104" i="31"/>
  <c r="G103" i="31"/>
  <c r="E103" i="31"/>
  <c r="G102" i="31"/>
  <c r="E102" i="31"/>
  <c r="G101" i="31"/>
  <c r="E101" i="31"/>
  <c r="G100" i="31"/>
  <c r="E100" i="31"/>
  <c r="G99" i="31"/>
  <c r="E99" i="31"/>
  <c r="G98" i="31"/>
  <c r="E98" i="31"/>
  <c r="G97" i="31"/>
  <c r="E97" i="31"/>
  <c r="G60" i="31"/>
  <c r="E60" i="31"/>
  <c r="G59" i="31"/>
  <c r="E59" i="31"/>
  <c r="G58" i="31"/>
  <c r="E58" i="31"/>
  <c r="G57" i="31"/>
  <c r="E57" i="31"/>
  <c r="G56" i="31"/>
  <c r="E56" i="31"/>
  <c r="G55" i="31"/>
  <c r="E55" i="31"/>
  <c r="G54" i="31"/>
  <c r="E54" i="31"/>
  <c r="G42" i="31"/>
  <c r="E42" i="31"/>
  <c r="G41" i="31"/>
  <c r="E41" i="31"/>
  <c r="G40" i="31"/>
  <c r="E40" i="31"/>
  <c r="G39" i="31"/>
  <c r="E39" i="31"/>
  <c r="G38" i="31"/>
  <c r="E38" i="31"/>
  <c r="G37" i="31"/>
  <c r="E37" i="31"/>
  <c r="G114" i="31"/>
  <c r="E114" i="31"/>
  <c r="G113" i="31"/>
  <c r="E113" i="31"/>
  <c r="G112" i="31"/>
  <c r="E112" i="31"/>
  <c r="G111" i="31"/>
  <c r="E111" i="31"/>
  <c r="G110" i="31"/>
  <c r="E110" i="31"/>
  <c r="G109" i="31"/>
  <c r="E109" i="31"/>
  <c r="G108" i="31"/>
  <c r="E108" i="31"/>
  <c r="G25" i="31"/>
  <c r="E25" i="31"/>
  <c r="G24" i="31"/>
  <c r="E24" i="31"/>
  <c r="G23" i="31"/>
  <c r="E23" i="31"/>
  <c r="G22" i="31"/>
  <c r="E22" i="31"/>
  <c r="G21" i="31"/>
  <c r="E21" i="31"/>
  <c r="G20" i="31"/>
  <c r="E20" i="31"/>
  <c r="G19" i="31"/>
  <c r="E19" i="31"/>
  <c r="G7" i="31"/>
  <c r="E7" i="31"/>
  <c r="G6" i="31"/>
  <c r="E6" i="31"/>
  <c r="G5" i="31"/>
  <c r="E5" i="31"/>
  <c r="G4" i="31"/>
  <c r="E4" i="31"/>
  <c r="G3" i="31"/>
  <c r="E3" i="31"/>
  <c r="G2" i="31"/>
  <c r="E2" i="31"/>
  <c r="G96" i="31"/>
  <c r="E96" i="31"/>
  <c r="G95" i="31"/>
  <c r="E95" i="31"/>
  <c r="G94" i="31"/>
  <c r="E94" i="31"/>
  <c r="G93" i="31"/>
  <c r="E93" i="31"/>
  <c r="G92" i="31"/>
  <c r="E92" i="31"/>
  <c r="G91" i="31"/>
  <c r="E91" i="31"/>
  <c r="G90" i="31"/>
  <c r="E90" i="31"/>
  <c r="G78" i="31"/>
  <c r="E78" i="31"/>
  <c r="G77" i="31"/>
  <c r="E77" i="31"/>
  <c r="G76" i="31"/>
  <c r="E76" i="31"/>
  <c r="G75" i="31"/>
  <c r="E75" i="31"/>
  <c r="G74" i="31"/>
  <c r="E74" i="31"/>
  <c r="G73" i="31"/>
  <c r="E73" i="31"/>
  <c r="G72" i="31"/>
  <c r="E72" i="31"/>
  <c r="G132" i="31"/>
  <c r="E132" i="31"/>
  <c r="G131" i="31"/>
  <c r="E131" i="31"/>
  <c r="G130" i="31"/>
  <c r="E130" i="31"/>
  <c r="G129" i="31"/>
  <c r="E129" i="31"/>
  <c r="G128" i="31"/>
  <c r="E128" i="31"/>
  <c r="G127" i="31"/>
  <c r="E127" i="31"/>
  <c r="G126" i="31"/>
  <c r="E126" i="31"/>
  <c r="G150" i="31"/>
  <c r="E150" i="31"/>
  <c r="G149" i="31"/>
  <c r="E149" i="31"/>
  <c r="G148" i="31"/>
  <c r="E148" i="31"/>
  <c r="G147" i="31"/>
  <c r="E147" i="31"/>
  <c r="G146" i="31"/>
  <c r="E146" i="31"/>
  <c r="G145" i="31"/>
  <c r="E145" i="31"/>
  <c r="G144" i="31"/>
  <c r="E144" i="31"/>
  <c r="C44" i="30"/>
  <c r="D42" i="30"/>
  <c r="D41" i="30"/>
  <c r="D40" i="30"/>
  <c r="F40" i="30" s="1"/>
  <c r="G40" i="30" s="1"/>
  <c r="D39" i="30"/>
  <c r="F39" i="30" s="1"/>
  <c r="G39" i="30" s="1"/>
  <c r="D38" i="30"/>
  <c r="F38" i="30" s="1"/>
  <c r="G38" i="30" s="1"/>
  <c r="D37" i="30"/>
  <c r="F37" i="30" s="1"/>
  <c r="G37" i="30" s="1"/>
  <c r="D36" i="30"/>
  <c r="F36" i="30" s="1"/>
  <c r="G36" i="30" s="1"/>
  <c r="D35" i="30"/>
  <c r="F35" i="30" s="1"/>
  <c r="G35" i="30" s="1"/>
  <c r="D34" i="30"/>
  <c r="F34" i="30" s="1"/>
  <c r="G34" i="30" s="1"/>
  <c r="D33" i="30"/>
  <c r="D32" i="30"/>
  <c r="D31" i="30"/>
  <c r="D30" i="30"/>
  <c r="D29" i="30"/>
  <c r="D28" i="30"/>
  <c r="D27" i="30"/>
  <c r="D26" i="30"/>
  <c r="F26" i="30" s="1"/>
  <c r="D25" i="30"/>
  <c r="D24" i="30"/>
  <c r="F24" i="30" s="1"/>
  <c r="G24" i="30" s="1"/>
  <c r="D23" i="30"/>
  <c r="D22" i="30"/>
  <c r="D21" i="30"/>
  <c r="D20" i="30"/>
  <c r="D19" i="30"/>
  <c r="F19" i="30" s="1"/>
  <c r="G19" i="30" s="1"/>
  <c r="D18" i="30"/>
  <c r="F18" i="30" s="1"/>
  <c r="G18" i="30" s="1"/>
  <c r="D17" i="30"/>
  <c r="F17" i="30" s="1"/>
  <c r="G17" i="30" s="1"/>
  <c r="D16" i="30"/>
  <c r="F16" i="30" s="1"/>
  <c r="G16" i="30" s="1"/>
  <c r="D15" i="30"/>
  <c r="F15" i="30" s="1"/>
  <c r="G15" i="30" s="1"/>
  <c r="D14" i="30"/>
  <c r="D13" i="30"/>
  <c r="F13" i="30" s="1"/>
  <c r="G13" i="30" s="1"/>
  <c r="D12" i="30"/>
  <c r="D11" i="30"/>
  <c r="D10" i="30"/>
  <c r="D9" i="30"/>
  <c r="F9" i="30" s="1"/>
  <c r="D8" i="30"/>
  <c r="D7" i="30"/>
  <c r="D6" i="30"/>
  <c r="D5" i="30"/>
  <c r="D4" i="30"/>
  <c r="E17" i="29"/>
  <c r="G17" i="29"/>
  <c r="F17" i="29" s="1"/>
  <c r="G16" i="29"/>
  <c r="F16" i="29" s="1"/>
  <c r="E16" i="29"/>
  <c r="E15" i="29"/>
  <c r="G15" i="29"/>
  <c r="F15" i="29" s="1"/>
  <c r="E14" i="29"/>
  <c r="G14" i="29"/>
  <c r="F14" i="29" s="1"/>
  <c r="G13" i="29"/>
  <c r="F13" i="29"/>
  <c r="E13" i="29"/>
  <c r="G12" i="29"/>
  <c r="F12" i="29" s="1"/>
  <c r="E12" i="29"/>
  <c r="G11" i="29"/>
  <c r="F11" i="29" s="1"/>
  <c r="E11" i="29"/>
  <c r="G10" i="29"/>
  <c r="F10" i="29" s="1"/>
  <c r="E10" i="29"/>
  <c r="G9" i="29"/>
  <c r="F9" i="29" s="1"/>
  <c r="E9" i="29"/>
  <c r="E8" i="29"/>
  <c r="G7" i="29"/>
  <c r="F7" i="29" s="1"/>
  <c r="E7" i="29"/>
  <c r="E6" i="29"/>
  <c r="G6" i="29"/>
  <c r="F6" i="29" s="1"/>
  <c r="G5" i="29"/>
  <c r="F5" i="29" s="1"/>
  <c r="E5" i="29"/>
  <c r="E4" i="29"/>
  <c r="E3" i="29"/>
  <c r="G3" i="29"/>
  <c r="F3" i="29" s="1"/>
  <c r="G2" i="29"/>
  <c r="E2" i="29"/>
  <c r="D44" i="28"/>
  <c r="C44" i="28"/>
  <c r="N42" i="28"/>
  <c r="M42" i="28"/>
  <c r="E42" i="28"/>
  <c r="G42" i="28" s="1"/>
  <c r="F42" i="28" s="1"/>
  <c r="N41" i="28"/>
  <c r="M41" i="28"/>
  <c r="G41" i="28"/>
  <c r="F41" i="28" s="1"/>
  <c r="E41" i="28"/>
  <c r="N40" i="28"/>
  <c r="M40" i="28"/>
  <c r="E40" i="28"/>
  <c r="G40" i="28" s="1"/>
  <c r="F40" i="28" s="1"/>
  <c r="N39" i="28"/>
  <c r="M39" i="28"/>
  <c r="E39" i="28"/>
  <c r="G39" i="28" s="1"/>
  <c r="F39" i="28" s="1"/>
  <c r="N38" i="28"/>
  <c r="M38" i="28"/>
  <c r="E38" i="28"/>
  <c r="G38" i="28" s="1"/>
  <c r="F38" i="28" s="1"/>
  <c r="N37" i="28"/>
  <c r="M37" i="28"/>
  <c r="E37" i="28"/>
  <c r="N36" i="28"/>
  <c r="M36" i="28"/>
  <c r="G36" i="28"/>
  <c r="F36" i="28" s="1"/>
  <c r="E36" i="28"/>
  <c r="N35" i="28"/>
  <c r="M35" i="28"/>
  <c r="E35" i="28"/>
  <c r="G35" i="28" s="1"/>
  <c r="F35" i="28" s="1"/>
  <c r="N34" i="28"/>
  <c r="M34" i="28"/>
  <c r="E34" i="28"/>
  <c r="G34" i="28" s="1"/>
  <c r="F34" i="28" s="1"/>
  <c r="N33" i="28"/>
  <c r="M33" i="28"/>
  <c r="E33" i="28"/>
  <c r="G33" i="28" s="1"/>
  <c r="F33" i="28" s="1"/>
  <c r="N32" i="28"/>
  <c r="M32" i="28"/>
  <c r="G32" i="28"/>
  <c r="F32" i="28"/>
  <c r="E32" i="28"/>
  <c r="N31" i="28"/>
  <c r="M31" i="28"/>
  <c r="G31" i="28"/>
  <c r="F31" i="28" s="1"/>
  <c r="E31" i="28"/>
  <c r="N30" i="28"/>
  <c r="M30" i="28"/>
  <c r="E30" i="28"/>
  <c r="G30" i="28" s="1"/>
  <c r="F30" i="28" s="1"/>
  <c r="N29" i="28"/>
  <c r="M29" i="28"/>
  <c r="G29" i="28"/>
  <c r="F29" i="28" s="1"/>
  <c r="E29" i="28"/>
  <c r="N28" i="28"/>
  <c r="M28" i="28"/>
  <c r="E28" i="28"/>
  <c r="G28" i="28" s="1"/>
  <c r="F28" i="28" s="1"/>
  <c r="N27" i="28"/>
  <c r="M27" i="28"/>
  <c r="E27" i="28"/>
  <c r="G27" i="28" s="1"/>
  <c r="F27" i="28" s="1"/>
  <c r="N26" i="28"/>
  <c r="M26" i="28"/>
  <c r="G26" i="28"/>
  <c r="F26" i="28" s="1"/>
  <c r="E26" i="28"/>
  <c r="N25" i="28"/>
  <c r="M25" i="28"/>
  <c r="E25" i="28"/>
  <c r="G25" i="28" s="1"/>
  <c r="F25" i="28" s="1"/>
  <c r="N24" i="28"/>
  <c r="M24" i="28"/>
  <c r="G24" i="28"/>
  <c r="F24" i="28"/>
  <c r="E24" i="28"/>
  <c r="N23" i="28"/>
  <c r="M23" i="28"/>
  <c r="G23" i="28"/>
  <c r="F23" i="28"/>
  <c r="E23" i="28"/>
  <c r="N22" i="28"/>
  <c r="M22" i="28"/>
  <c r="G22" i="28"/>
  <c r="F22" i="28" s="1"/>
  <c r="E22" i="28"/>
  <c r="N21" i="28"/>
  <c r="M21" i="28"/>
  <c r="G21" i="28"/>
  <c r="F21" i="28" s="1"/>
  <c r="E21" i="28"/>
  <c r="N20" i="28"/>
  <c r="M20" i="28"/>
  <c r="G20" i="28"/>
  <c r="F20" i="28" s="1"/>
  <c r="E20" i="28"/>
  <c r="N19" i="28"/>
  <c r="M19" i="28"/>
  <c r="E19" i="28"/>
  <c r="G19" i="28" s="1"/>
  <c r="F19" i="28" s="1"/>
  <c r="N18" i="28"/>
  <c r="M18" i="28"/>
  <c r="E18" i="28"/>
  <c r="G18" i="28" s="1"/>
  <c r="F18" i="28" s="1"/>
  <c r="N17" i="28"/>
  <c r="M17" i="28"/>
  <c r="E17" i="28"/>
  <c r="G17" i="28" s="1"/>
  <c r="F17" i="28" s="1"/>
  <c r="N16" i="28"/>
  <c r="M16" i="28"/>
  <c r="E16" i="28"/>
  <c r="G16" i="28" s="1"/>
  <c r="F16" i="28" s="1"/>
  <c r="N15" i="28"/>
  <c r="M15" i="28"/>
  <c r="E15" i="28"/>
  <c r="G15" i="28" s="1"/>
  <c r="F15" i="28" s="1"/>
  <c r="N14" i="28"/>
  <c r="M14" i="28"/>
  <c r="E14" i="28"/>
  <c r="G14" i="28" s="1"/>
  <c r="F14" i="28" s="1"/>
  <c r="N13" i="28"/>
  <c r="M13" i="28"/>
  <c r="G13" i="28"/>
  <c r="F13" i="28" s="1"/>
  <c r="E13" i="28"/>
  <c r="N12" i="28"/>
  <c r="M12" i="28"/>
  <c r="G12" i="28"/>
  <c r="F12" i="28" s="1"/>
  <c r="E12" i="28"/>
  <c r="N11" i="28"/>
  <c r="M11" i="28"/>
  <c r="G11" i="28"/>
  <c r="F11" i="28" s="1"/>
  <c r="E11" i="28"/>
  <c r="N10" i="28"/>
  <c r="M10" i="28"/>
  <c r="E10" i="28"/>
  <c r="G10" i="28" s="1"/>
  <c r="F10" i="28" s="1"/>
  <c r="N9" i="28"/>
  <c r="M9" i="28"/>
  <c r="E9" i="28"/>
  <c r="G9" i="28" s="1"/>
  <c r="F9" i="28" s="1"/>
  <c r="N8" i="28"/>
  <c r="M8" i="28"/>
  <c r="E8" i="28"/>
  <c r="N7" i="28"/>
  <c r="M7" i="28"/>
  <c r="G7" i="28"/>
  <c r="F7" i="28"/>
  <c r="E7" i="28"/>
  <c r="N6" i="28"/>
  <c r="M6" i="28"/>
  <c r="E6" i="28"/>
  <c r="G6" i="28" s="1"/>
  <c r="F6" i="28" s="1"/>
  <c r="N5" i="28"/>
  <c r="M5" i="28"/>
  <c r="G5" i="28"/>
  <c r="F5" i="28" s="1"/>
  <c r="E5" i="28"/>
  <c r="N4" i="28"/>
  <c r="M4" i="28"/>
  <c r="E4" i="28"/>
  <c r="G4" i="28" s="1"/>
  <c r="F4" i="28" s="1"/>
  <c r="N3" i="28"/>
  <c r="M3" i="28"/>
  <c r="G3" i="28"/>
  <c r="F3" i="28" s="1"/>
  <c r="E3" i="28"/>
  <c r="N2" i="28"/>
  <c r="M2" i="28"/>
  <c r="E2" i="28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G233" i="16"/>
  <c r="G234" i="16"/>
  <c r="G235" i="16"/>
  <c r="G236" i="16"/>
  <c r="G237" i="16"/>
  <c r="G238" i="16"/>
  <c r="G239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16" i="16"/>
  <c r="G215" i="26"/>
  <c r="E215" i="26"/>
  <c r="G214" i="26"/>
  <c r="E214" i="26"/>
  <c r="G213" i="26"/>
  <c r="E213" i="26"/>
  <c r="G212" i="26"/>
  <c r="E212" i="26"/>
  <c r="G211" i="26"/>
  <c r="E211" i="26"/>
  <c r="G210" i="26"/>
  <c r="E210" i="26"/>
  <c r="G209" i="26"/>
  <c r="E209" i="26"/>
  <c r="G208" i="26"/>
  <c r="E208" i="26"/>
  <c r="G207" i="26"/>
  <c r="E207" i="26"/>
  <c r="G206" i="26"/>
  <c r="E206" i="26"/>
  <c r="G205" i="26"/>
  <c r="E205" i="26"/>
  <c r="G204" i="26"/>
  <c r="E204" i="26"/>
  <c r="G203" i="26"/>
  <c r="E203" i="26"/>
  <c r="G202" i="26"/>
  <c r="E202" i="26"/>
  <c r="G201" i="26"/>
  <c r="E201" i="26"/>
  <c r="G200" i="26"/>
  <c r="E200" i="26"/>
  <c r="G199" i="26"/>
  <c r="E199" i="26"/>
  <c r="G198" i="26"/>
  <c r="E198" i="26"/>
  <c r="G197" i="26"/>
  <c r="E197" i="26"/>
  <c r="G196" i="26"/>
  <c r="E196" i="26"/>
  <c r="G195" i="26"/>
  <c r="E195" i="26"/>
  <c r="G194" i="26"/>
  <c r="E194" i="26"/>
  <c r="G193" i="26"/>
  <c r="E193" i="26"/>
  <c r="G192" i="26"/>
  <c r="E192" i="26"/>
  <c r="G191" i="26"/>
  <c r="E191" i="26"/>
  <c r="G190" i="26"/>
  <c r="E190" i="26"/>
  <c r="G189" i="26"/>
  <c r="E189" i="26"/>
  <c r="G188" i="26"/>
  <c r="E188" i="26"/>
  <c r="G187" i="26"/>
  <c r="E187" i="26"/>
  <c r="G186" i="26"/>
  <c r="E186" i="26"/>
  <c r="G185" i="26"/>
  <c r="E185" i="26"/>
  <c r="G184" i="26"/>
  <c r="E184" i="26"/>
  <c r="G183" i="26"/>
  <c r="E183" i="26"/>
  <c r="G182" i="26"/>
  <c r="E182" i="26"/>
  <c r="G181" i="26"/>
  <c r="E181" i="26"/>
  <c r="G180" i="26"/>
  <c r="E180" i="26"/>
  <c r="G179" i="26"/>
  <c r="E179" i="26"/>
  <c r="G178" i="26"/>
  <c r="E178" i="26"/>
  <c r="G177" i="26"/>
  <c r="E177" i="26"/>
  <c r="G176" i="26"/>
  <c r="E176" i="26"/>
  <c r="G175" i="26"/>
  <c r="E175" i="26"/>
  <c r="G174" i="26"/>
  <c r="E174" i="26"/>
  <c r="G173" i="26"/>
  <c r="E173" i="26"/>
  <c r="G172" i="26"/>
  <c r="E172" i="26"/>
  <c r="G171" i="26"/>
  <c r="E171" i="26"/>
  <c r="G170" i="26"/>
  <c r="E170" i="26"/>
  <c r="G169" i="26"/>
  <c r="E169" i="26"/>
  <c r="G168" i="26"/>
  <c r="E168" i="26"/>
  <c r="G167" i="26"/>
  <c r="E167" i="26"/>
  <c r="G166" i="26"/>
  <c r="E166" i="26"/>
  <c r="G165" i="26"/>
  <c r="E165" i="26"/>
  <c r="G164" i="26"/>
  <c r="E164" i="26"/>
  <c r="G163" i="26"/>
  <c r="E163" i="26"/>
  <c r="G162" i="26"/>
  <c r="E162" i="26"/>
  <c r="G161" i="26"/>
  <c r="E161" i="26"/>
  <c r="G160" i="26"/>
  <c r="E160" i="26"/>
  <c r="G159" i="26"/>
  <c r="E159" i="26"/>
  <c r="G158" i="26"/>
  <c r="E158" i="26"/>
  <c r="G157" i="26"/>
  <c r="E157" i="26"/>
  <c r="G156" i="26"/>
  <c r="E156" i="26"/>
  <c r="G155" i="26"/>
  <c r="E155" i="26"/>
  <c r="G154" i="26"/>
  <c r="E154" i="26"/>
  <c r="G153" i="26"/>
  <c r="E153" i="26"/>
  <c r="G152" i="26"/>
  <c r="E152" i="26"/>
  <c r="G151" i="26"/>
  <c r="E151" i="26"/>
  <c r="G150" i="26"/>
  <c r="E150" i="26"/>
  <c r="G149" i="26"/>
  <c r="E149" i="26"/>
  <c r="G148" i="26"/>
  <c r="E148" i="26"/>
  <c r="G147" i="26"/>
  <c r="E147" i="26"/>
  <c r="G146" i="26"/>
  <c r="E146" i="26"/>
  <c r="G145" i="26"/>
  <c r="E145" i="26"/>
  <c r="G144" i="26"/>
  <c r="E144" i="26"/>
  <c r="G143" i="26"/>
  <c r="E143" i="26"/>
  <c r="G142" i="26"/>
  <c r="E142" i="26"/>
  <c r="G141" i="26"/>
  <c r="E141" i="26"/>
  <c r="G140" i="26"/>
  <c r="E140" i="26"/>
  <c r="G139" i="26"/>
  <c r="E139" i="26"/>
  <c r="G138" i="26"/>
  <c r="E138" i="26"/>
  <c r="G137" i="26"/>
  <c r="E137" i="26"/>
  <c r="G136" i="26"/>
  <c r="E136" i="26"/>
  <c r="G135" i="26"/>
  <c r="E135" i="26"/>
  <c r="G134" i="26"/>
  <c r="E134" i="26"/>
  <c r="G133" i="26"/>
  <c r="E133" i="26"/>
  <c r="G132" i="26"/>
  <c r="E132" i="26"/>
  <c r="G131" i="26"/>
  <c r="E131" i="26"/>
  <c r="G130" i="26"/>
  <c r="E130" i="26"/>
  <c r="G129" i="26"/>
  <c r="E129" i="26"/>
  <c r="G128" i="26"/>
  <c r="E128" i="26"/>
  <c r="G127" i="26"/>
  <c r="E127" i="26"/>
  <c r="G126" i="26"/>
  <c r="E126" i="26"/>
  <c r="G125" i="26"/>
  <c r="E125" i="26"/>
  <c r="G124" i="26"/>
  <c r="E124" i="26"/>
  <c r="G123" i="26"/>
  <c r="E123" i="26"/>
  <c r="G122" i="26"/>
  <c r="E122" i="26"/>
  <c r="G121" i="26"/>
  <c r="E121" i="26"/>
  <c r="G120" i="26"/>
  <c r="E120" i="26"/>
  <c r="G119" i="26"/>
  <c r="E119" i="26"/>
  <c r="G118" i="26"/>
  <c r="E118" i="26"/>
  <c r="G117" i="26"/>
  <c r="E117" i="26"/>
  <c r="G116" i="26"/>
  <c r="E116" i="26"/>
  <c r="G115" i="26"/>
  <c r="E115" i="26"/>
  <c r="G114" i="26"/>
  <c r="E114" i="26"/>
  <c r="G113" i="26"/>
  <c r="E113" i="26"/>
  <c r="G112" i="26"/>
  <c r="E112" i="26"/>
  <c r="G111" i="26"/>
  <c r="E111" i="26"/>
  <c r="G110" i="26"/>
  <c r="E110" i="26"/>
  <c r="G109" i="26"/>
  <c r="E109" i="26"/>
  <c r="G108" i="26"/>
  <c r="E108" i="26"/>
  <c r="G107" i="26"/>
  <c r="E107" i="26"/>
  <c r="G106" i="26"/>
  <c r="E106" i="26"/>
  <c r="G105" i="26"/>
  <c r="E105" i="26"/>
  <c r="G104" i="26"/>
  <c r="E104" i="26"/>
  <c r="G103" i="26"/>
  <c r="E103" i="26"/>
  <c r="G102" i="26"/>
  <c r="E102" i="26"/>
  <c r="G101" i="26"/>
  <c r="E101" i="26"/>
  <c r="G100" i="26"/>
  <c r="E100" i="26"/>
  <c r="G99" i="26"/>
  <c r="E99" i="26"/>
  <c r="G98" i="26"/>
  <c r="E98" i="26"/>
  <c r="G97" i="26"/>
  <c r="E97" i="26"/>
  <c r="G96" i="26"/>
  <c r="E96" i="26"/>
  <c r="G95" i="26"/>
  <c r="E95" i="26"/>
  <c r="G94" i="26"/>
  <c r="E94" i="26"/>
  <c r="G93" i="26"/>
  <c r="E93" i="26"/>
  <c r="G92" i="26"/>
  <c r="E92" i="26"/>
  <c r="G91" i="26"/>
  <c r="E91" i="26"/>
  <c r="G90" i="26"/>
  <c r="E90" i="26"/>
  <c r="G89" i="26"/>
  <c r="E89" i="26"/>
  <c r="G88" i="26"/>
  <c r="E88" i="26"/>
  <c r="G87" i="26"/>
  <c r="E87" i="26"/>
  <c r="G86" i="26"/>
  <c r="E86" i="26"/>
  <c r="G85" i="26"/>
  <c r="E85" i="26"/>
  <c r="G84" i="26"/>
  <c r="E84" i="26"/>
  <c r="G83" i="26"/>
  <c r="E83" i="26"/>
  <c r="G82" i="26"/>
  <c r="E82" i="26"/>
  <c r="G81" i="26"/>
  <c r="E81" i="26"/>
  <c r="G80" i="26"/>
  <c r="E80" i="26"/>
  <c r="G79" i="26"/>
  <c r="E79" i="26"/>
  <c r="G78" i="26"/>
  <c r="E78" i="26"/>
  <c r="G77" i="26"/>
  <c r="E77" i="26"/>
  <c r="G76" i="26"/>
  <c r="E76" i="26"/>
  <c r="G75" i="26"/>
  <c r="E75" i="26"/>
  <c r="G74" i="26"/>
  <c r="E74" i="26"/>
  <c r="G73" i="26"/>
  <c r="E73" i="26"/>
  <c r="G72" i="26"/>
  <c r="E72" i="26"/>
  <c r="G71" i="26"/>
  <c r="E71" i="26"/>
  <c r="G70" i="26"/>
  <c r="E70" i="26"/>
  <c r="G69" i="26"/>
  <c r="E69" i="26"/>
  <c r="G68" i="26"/>
  <c r="E68" i="26"/>
  <c r="G67" i="26"/>
  <c r="E67" i="26"/>
  <c r="G66" i="26"/>
  <c r="E66" i="26"/>
  <c r="G65" i="26"/>
  <c r="E65" i="26"/>
  <c r="G64" i="26"/>
  <c r="E64" i="26"/>
  <c r="G63" i="26"/>
  <c r="E63" i="26"/>
  <c r="G62" i="26"/>
  <c r="E62" i="26"/>
  <c r="G61" i="26"/>
  <c r="E61" i="26"/>
  <c r="G60" i="26"/>
  <c r="E60" i="26"/>
  <c r="G59" i="26"/>
  <c r="E59" i="26"/>
  <c r="G58" i="26"/>
  <c r="E58" i="26"/>
  <c r="G57" i="26"/>
  <c r="E57" i="26"/>
  <c r="G56" i="26"/>
  <c r="E56" i="26"/>
  <c r="G55" i="26"/>
  <c r="E55" i="26"/>
  <c r="G54" i="26"/>
  <c r="E54" i="26"/>
  <c r="G53" i="26"/>
  <c r="E53" i="26"/>
  <c r="G52" i="26"/>
  <c r="E52" i="26"/>
  <c r="G51" i="26"/>
  <c r="E51" i="26"/>
  <c r="G50" i="26"/>
  <c r="E50" i="26"/>
  <c r="G49" i="26"/>
  <c r="E49" i="26"/>
  <c r="G48" i="26"/>
  <c r="E48" i="26"/>
  <c r="G47" i="26"/>
  <c r="E47" i="26"/>
  <c r="G46" i="26"/>
  <c r="E46" i="26"/>
  <c r="G45" i="26"/>
  <c r="E45" i="26"/>
  <c r="G44" i="26"/>
  <c r="E44" i="26"/>
  <c r="G43" i="26"/>
  <c r="E43" i="26"/>
  <c r="G42" i="26"/>
  <c r="E42" i="26"/>
  <c r="G41" i="26"/>
  <c r="E41" i="26"/>
  <c r="G40" i="26"/>
  <c r="E40" i="26"/>
  <c r="G39" i="26"/>
  <c r="E39" i="26"/>
  <c r="G38" i="26"/>
  <c r="E38" i="26"/>
  <c r="G37" i="26"/>
  <c r="E37" i="26"/>
  <c r="G36" i="26"/>
  <c r="E36" i="26"/>
  <c r="G35" i="26"/>
  <c r="E35" i="26"/>
  <c r="G34" i="26"/>
  <c r="E34" i="26"/>
  <c r="G33" i="26"/>
  <c r="E33" i="26"/>
  <c r="G32" i="26"/>
  <c r="E32" i="26"/>
  <c r="G31" i="26"/>
  <c r="E31" i="26"/>
  <c r="G30" i="26"/>
  <c r="E30" i="26"/>
  <c r="G29" i="26"/>
  <c r="E29" i="26"/>
  <c r="G28" i="26"/>
  <c r="E28" i="26"/>
  <c r="G27" i="26"/>
  <c r="E27" i="26"/>
  <c r="G26" i="26"/>
  <c r="E26" i="26"/>
  <c r="G25" i="26"/>
  <c r="E25" i="26"/>
  <c r="G24" i="26"/>
  <c r="E24" i="26"/>
  <c r="G23" i="26"/>
  <c r="E23" i="26"/>
  <c r="G22" i="26"/>
  <c r="E22" i="26"/>
  <c r="G21" i="26"/>
  <c r="E21" i="26"/>
  <c r="G20" i="26"/>
  <c r="E20" i="26"/>
  <c r="G19" i="26"/>
  <c r="E19" i="26"/>
  <c r="G18" i="26"/>
  <c r="E18" i="26"/>
  <c r="G17" i="26"/>
  <c r="E17" i="26"/>
  <c r="G16" i="26"/>
  <c r="E16" i="26"/>
  <c r="G15" i="26"/>
  <c r="E15" i="26"/>
  <c r="G14" i="26"/>
  <c r="E14" i="26"/>
  <c r="G13" i="26"/>
  <c r="E13" i="26"/>
  <c r="G12" i="26"/>
  <c r="E12" i="26"/>
  <c r="G11" i="26"/>
  <c r="E11" i="26"/>
  <c r="G10" i="26"/>
  <c r="E10" i="26"/>
  <c r="G9" i="26"/>
  <c r="E9" i="26"/>
  <c r="G8" i="26"/>
  <c r="E8" i="26"/>
  <c r="G7" i="26"/>
  <c r="E7" i="26"/>
  <c r="G6" i="26"/>
  <c r="E6" i="26"/>
  <c r="G5" i="26"/>
  <c r="E5" i="26"/>
  <c r="G4" i="26"/>
  <c r="E4" i="26"/>
  <c r="G3" i="26"/>
  <c r="E3" i="26"/>
  <c r="G2" i="26"/>
  <c r="E2" i="26"/>
  <c r="F116" i="25"/>
  <c r="G116" i="25" s="1"/>
  <c r="F115" i="25"/>
  <c r="G115" i="25" s="1"/>
  <c r="F114" i="25"/>
  <c r="G114" i="25" s="1"/>
  <c r="F113" i="25"/>
  <c r="G113" i="25" s="1"/>
  <c r="F112" i="25"/>
  <c r="G112" i="25" s="1"/>
  <c r="F111" i="25"/>
  <c r="G111" i="25" s="1"/>
  <c r="F110" i="25"/>
  <c r="G110" i="25" s="1"/>
  <c r="F109" i="25"/>
  <c r="G109" i="25" s="1"/>
  <c r="F108" i="25"/>
  <c r="G108" i="25" s="1"/>
  <c r="F107" i="25"/>
  <c r="G107" i="25" s="1"/>
  <c r="F106" i="25"/>
  <c r="G106" i="25" s="1"/>
  <c r="F105" i="25"/>
  <c r="G105" i="25" s="1"/>
  <c r="F104" i="25"/>
  <c r="G104" i="25" s="1"/>
  <c r="F103" i="25"/>
  <c r="G103" i="25" s="1"/>
  <c r="F102" i="25"/>
  <c r="G102" i="25" s="1"/>
  <c r="F101" i="25"/>
  <c r="G101" i="25" s="1"/>
  <c r="F100" i="25"/>
  <c r="G100" i="25" s="1"/>
  <c r="F99" i="25"/>
  <c r="G99" i="25" s="1"/>
  <c r="F98" i="25"/>
  <c r="G98" i="25" s="1"/>
  <c r="F97" i="25"/>
  <c r="G97" i="25" s="1"/>
  <c r="F96" i="25"/>
  <c r="G96" i="25" s="1"/>
  <c r="F95" i="25"/>
  <c r="G95" i="25" s="1"/>
  <c r="F94" i="25"/>
  <c r="G94" i="25" s="1"/>
  <c r="F93" i="25"/>
  <c r="G93" i="25" s="1"/>
  <c r="F92" i="25"/>
  <c r="G92" i="25" s="1"/>
  <c r="F91" i="25"/>
  <c r="G91" i="25" s="1"/>
  <c r="F90" i="25"/>
  <c r="G90" i="25" s="1"/>
  <c r="F89" i="25"/>
  <c r="G89" i="25" s="1"/>
  <c r="F88" i="25"/>
  <c r="G88" i="25" s="1"/>
  <c r="F87" i="25"/>
  <c r="G87" i="25" s="1"/>
  <c r="F86" i="25"/>
  <c r="G86" i="25" s="1"/>
  <c r="F85" i="25"/>
  <c r="G85" i="25" s="1"/>
  <c r="F84" i="25"/>
  <c r="G84" i="25" s="1"/>
  <c r="F83" i="25"/>
  <c r="G83" i="25" s="1"/>
  <c r="F82" i="25"/>
  <c r="G82" i="25" s="1"/>
  <c r="F81" i="25"/>
  <c r="G81" i="25" s="1"/>
  <c r="F80" i="25"/>
  <c r="G80" i="25" s="1"/>
  <c r="F79" i="25"/>
  <c r="G79" i="25" s="1"/>
  <c r="F78" i="25"/>
  <c r="G78" i="25" s="1"/>
  <c r="F77" i="25"/>
  <c r="G77" i="25" s="1"/>
  <c r="F76" i="25"/>
  <c r="G76" i="25" s="1"/>
  <c r="F75" i="25"/>
  <c r="G75" i="25" s="1"/>
  <c r="F74" i="25"/>
  <c r="G74" i="25" s="1"/>
  <c r="F73" i="25"/>
  <c r="G73" i="25" s="1"/>
  <c r="F72" i="25"/>
  <c r="G72" i="25" s="1"/>
  <c r="F71" i="25"/>
  <c r="G71" i="25" s="1"/>
  <c r="F70" i="25"/>
  <c r="G70" i="25" s="1"/>
  <c r="F69" i="25"/>
  <c r="G69" i="25" s="1"/>
  <c r="F68" i="25"/>
  <c r="G68" i="25" s="1"/>
  <c r="F67" i="25"/>
  <c r="G67" i="25" s="1"/>
  <c r="F66" i="25"/>
  <c r="G66" i="25" s="1"/>
  <c r="F65" i="25"/>
  <c r="G65" i="25" s="1"/>
  <c r="F64" i="25"/>
  <c r="G64" i="25" s="1"/>
  <c r="F63" i="25"/>
  <c r="G63" i="25" s="1"/>
  <c r="F62" i="25"/>
  <c r="G62" i="25" s="1"/>
  <c r="F61" i="25"/>
  <c r="G61" i="25" s="1"/>
  <c r="F60" i="25"/>
  <c r="G60" i="25" s="1"/>
  <c r="F59" i="25"/>
  <c r="G59" i="25" s="1"/>
  <c r="F58" i="25"/>
  <c r="G58" i="25" s="1"/>
  <c r="F57" i="25"/>
  <c r="G57" i="25" s="1"/>
  <c r="F56" i="25"/>
  <c r="G56" i="25" s="1"/>
  <c r="F55" i="25"/>
  <c r="G55" i="25" s="1"/>
  <c r="F54" i="25"/>
  <c r="G54" i="25" s="1"/>
  <c r="F53" i="25"/>
  <c r="G53" i="25" s="1"/>
  <c r="F52" i="25"/>
  <c r="G52" i="25" s="1"/>
  <c r="F51" i="25"/>
  <c r="G51" i="25" s="1"/>
  <c r="F50" i="25"/>
  <c r="G50" i="25" s="1"/>
  <c r="F49" i="25"/>
  <c r="G49" i="25" s="1"/>
  <c r="F48" i="25"/>
  <c r="G48" i="25" s="1"/>
  <c r="F47" i="25"/>
  <c r="G47" i="25" s="1"/>
  <c r="F46" i="25"/>
  <c r="G46" i="25" s="1"/>
  <c r="F45" i="25"/>
  <c r="G45" i="25" s="1"/>
  <c r="F44" i="25"/>
  <c r="G44" i="25" s="1"/>
  <c r="F43" i="25"/>
  <c r="G43" i="25" s="1"/>
  <c r="F42" i="25"/>
  <c r="G42" i="25" s="1"/>
  <c r="F41" i="25"/>
  <c r="G41" i="25" s="1"/>
  <c r="F40" i="25"/>
  <c r="G40" i="25" s="1"/>
  <c r="F39" i="25"/>
  <c r="G39" i="25" s="1"/>
  <c r="F38" i="25"/>
  <c r="G38" i="25" s="1"/>
  <c r="F37" i="25"/>
  <c r="G37" i="25" s="1"/>
  <c r="F36" i="25"/>
  <c r="G36" i="25" s="1"/>
  <c r="F35" i="25"/>
  <c r="G35" i="25" s="1"/>
  <c r="F34" i="25"/>
  <c r="G34" i="25" s="1"/>
  <c r="F33" i="25"/>
  <c r="G33" i="25" s="1"/>
  <c r="F32" i="25"/>
  <c r="G32" i="25" s="1"/>
  <c r="F31" i="25"/>
  <c r="G31" i="25" s="1"/>
  <c r="F30" i="25"/>
  <c r="G30" i="25" s="1"/>
  <c r="F29" i="25"/>
  <c r="G29" i="25" s="1"/>
  <c r="F28" i="25"/>
  <c r="G28" i="25" s="1"/>
  <c r="F27" i="25"/>
  <c r="G27" i="25" s="1"/>
  <c r="F26" i="25"/>
  <c r="G26" i="25" s="1"/>
  <c r="F25" i="25"/>
  <c r="G25" i="25" s="1"/>
  <c r="F24" i="25"/>
  <c r="G24" i="25" s="1"/>
  <c r="F23" i="25"/>
  <c r="G23" i="25" s="1"/>
  <c r="F22" i="25"/>
  <c r="G22" i="25" s="1"/>
  <c r="F21" i="25"/>
  <c r="G21" i="25" s="1"/>
  <c r="F20" i="25"/>
  <c r="G20" i="25" s="1"/>
  <c r="F19" i="25"/>
  <c r="G19" i="25" s="1"/>
  <c r="F18" i="25"/>
  <c r="G18" i="25" s="1"/>
  <c r="F17" i="25"/>
  <c r="G17" i="25" s="1"/>
  <c r="F16" i="25"/>
  <c r="G16" i="25" s="1"/>
  <c r="F15" i="25"/>
  <c r="G15" i="25" s="1"/>
  <c r="F14" i="25"/>
  <c r="G14" i="25" s="1"/>
  <c r="F13" i="25"/>
  <c r="G13" i="25" s="1"/>
  <c r="F12" i="25"/>
  <c r="G12" i="25" s="1"/>
  <c r="F11" i="25"/>
  <c r="G11" i="25" s="1"/>
  <c r="F10" i="25"/>
  <c r="G10" i="25" s="1"/>
  <c r="F9" i="25"/>
  <c r="G9" i="25" s="1"/>
  <c r="F8" i="25"/>
  <c r="G8" i="25" s="1"/>
  <c r="F7" i="25"/>
  <c r="G7" i="25" s="1"/>
  <c r="F6" i="25"/>
  <c r="G6" i="25" s="1"/>
  <c r="F5" i="25"/>
  <c r="G5" i="25" s="1"/>
  <c r="F4" i="25"/>
  <c r="G4" i="25" s="1"/>
  <c r="F3" i="25"/>
  <c r="G3" i="25" s="1"/>
  <c r="F2" i="25"/>
  <c r="G2" i="25" s="1"/>
  <c r="J6" i="24"/>
  <c r="C36" i="24" s="1"/>
  <c r="G36" i="24" s="1"/>
  <c r="F36" i="24" s="1"/>
  <c r="E44" i="24"/>
  <c r="N42" i="24"/>
  <c r="M42" i="24"/>
  <c r="N41" i="24"/>
  <c r="M41" i="24"/>
  <c r="G41" i="24"/>
  <c r="F41" i="24"/>
  <c r="N40" i="24"/>
  <c r="M40" i="24"/>
  <c r="N39" i="24"/>
  <c r="M39" i="24"/>
  <c r="N38" i="24"/>
  <c r="M38" i="24"/>
  <c r="N37" i="24"/>
  <c r="M37" i="24"/>
  <c r="C37" i="24"/>
  <c r="G37" i="24" s="1"/>
  <c r="F37" i="24" s="1"/>
  <c r="N36" i="24"/>
  <c r="M36" i="24"/>
  <c r="N35" i="24"/>
  <c r="M35" i="24"/>
  <c r="N34" i="24"/>
  <c r="M34" i="24"/>
  <c r="N33" i="24"/>
  <c r="M33" i="24"/>
  <c r="N32" i="24"/>
  <c r="M32" i="24"/>
  <c r="N31" i="24"/>
  <c r="M31" i="24"/>
  <c r="C31" i="24"/>
  <c r="D44" i="24" s="1"/>
  <c r="N30" i="24"/>
  <c r="M30" i="24"/>
  <c r="N29" i="24"/>
  <c r="M29" i="24"/>
  <c r="N28" i="24"/>
  <c r="M28" i="24"/>
  <c r="N27" i="24"/>
  <c r="M27" i="24"/>
  <c r="N26" i="24"/>
  <c r="M26" i="24"/>
  <c r="N25" i="24"/>
  <c r="M25" i="24"/>
  <c r="N24" i="24"/>
  <c r="M24" i="24"/>
  <c r="N23" i="24"/>
  <c r="M23" i="24"/>
  <c r="N22" i="24"/>
  <c r="M22" i="24"/>
  <c r="N21" i="24"/>
  <c r="M21" i="24"/>
  <c r="C21" i="24"/>
  <c r="G21" i="24" s="1"/>
  <c r="F21" i="24" s="1"/>
  <c r="N20" i="24"/>
  <c r="M20" i="24"/>
  <c r="N19" i="24"/>
  <c r="M19" i="24"/>
  <c r="N18" i="24"/>
  <c r="M18" i="24"/>
  <c r="N17" i="24"/>
  <c r="M17" i="24"/>
  <c r="N16" i="24"/>
  <c r="M16" i="24"/>
  <c r="N15" i="24"/>
  <c r="M15" i="24"/>
  <c r="N14" i="24"/>
  <c r="M14" i="24"/>
  <c r="N13" i="24"/>
  <c r="M13" i="24"/>
  <c r="N12" i="24"/>
  <c r="M12" i="24"/>
  <c r="N11" i="24"/>
  <c r="M11" i="24"/>
  <c r="N10" i="24"/>
  <c r="M10" i="24"/>
  <c r="N9" i="24"/>
  <c r="M9" i="24"/>
  <c r="N8" i="24"/>
  <c r="M8" i="24"/>
  <c r="N7" i="24"/>
  <c r="M7" i="24"/>
  <c r="N6" i="24"/>
  <c r="M6" i="24"/>
  <c r="K6" i="24"/>
  <c r="N5" i="24"/>
  <c r="M5" i="24"/>
  <c r="K5" i="24"/>
  <c r="C42" i="24" s="1"/>
  <c r="G42" i="24" s="1"/>
  <c r="F42" i="24" s="1"/>
  <c r="N4" i="24"/>
  <c r="M4" i="24"/>
  <c r="N3" i="24"/>
  <c r="M3" i="24"/>
  <c r="C3" i="24"/>
  <c r="G3" i="24" s="1"/>
  <c r="F3" i="24" s="1"/>
  <c r="N2" i="24"/>
  <c r="M2" i="24"/>
  <c r="C19" i="23"/>
  <c r="C15" i="23"/>
  <c r="C11" i="23"/>
  <c r="C4" i="23"/>
  <c r="K6" i="23"/>
  <c r="K5" i="23"/>
  <c r="C31" i="23"/>
  <c r="G21" i="23"/>
  <c r="C21" i="23"/>
  <c r="C37" i="23"/>
  <c r="C3" i="23"/>
  <c r="G3" i="23"/>
  <c r="F3" i="23" s="1"/>
  <c r="G11" i="23"/>
  <c r="F11" i="23" s="1"/>
  <c r="G19" i="23"/>
  <c r="F19" i="23" s="1"/>
  <c r="G31" i="23"/>
  <c r="F31" i="23" s="1"/>
  <c r="G37" i="23"/>
  <c r="G41" i="23"/>
  <c r="F41" i="23" s="1"/>
  <c r="D44" i="23"/>
  <c r="N42" i="23"/>
  <c r="M42" i="23"/>
  <c r="N41" i="23"/>
  <c r="M41" i="23"/>
  <c r="N40" i="23"/>
  <c r="M40" i="23"/>
  <c r="N39" i="23"/>
  <c r="M39" i="23"/>
  <c r="N38" i="23"/>
  <c r="M38" i="23"/>
  <c r="N37" i="23"/>
  <c r="M37" i="23"/>
  <c r="F37" i="23"/>
  <c r="N36" i="23"/>
  <c r="M36" i="23"/>
  <c r="N35" i="23"/>
  <c r="M35" i="23"/>
  <c r="N34" i="23"/>
  <c r="M34" i="23"/>
  <c r="N33" i="23"/>
  <c r="M33" i="23"/>
  <c r="N32" i="23"/>
  <c r="M32" i="23"/>
  <c r="N31" i="23"/>
  <c r="M31" i="23"/>
  <c r="N30" i="23"/>
  <c r="M30" i="23"/>
  <c r="N29" i="23"/>
  <c r="M29" i="23"/>
  <c r="N28" i="23"/>
  <c r="M28" i="23"/>
  <c r="N27" i="23"/>
  <c r="M27" i="23"/>
  <c r="N26" i="23"/>
  <c r="M26" i="23"/>
  <c r="N25" i="23"/>
  <c r="M25" i="23"/>
  <c r="N24" i="23"/>
  <c r="M24" i="23"/>
  <c r="N23" i="23"/>
  <c r="M23" i="23"/>
  <c r="N22" i="23"/>
  <c r="M22" i="23"/>
  <c r="N21" i="23"/>
  <c r="M21" i="23"/>
  <c r="F21" i="23"/>
  <c r="N20" i="23"/>
  <c r="M20" i="23"/>
  <c r="N19" i="23"/>
  <c r="M19" i="23"/>
  <c r="N18" i="23"/>
  <c r="M18" i="23"/>
  <c r="N17" i="23"/>
  <c r="M17" i="23"/>
  <c r="N16" i="23"/>
  <c r="M16" i="23"/>
  <c r="N15" i="23"/>
  <c r="M15" i="23"/>
  <c r="N14" i="23"/>
  <c r="M14" i="23"/>
  <c r="N13" i="23"/>
  <c r="M13" i="23"/>
  <c r="N12" i="23"/>
  <c r="M12" i="23"/>
  <c r="N11" i="23"/>
  <c r="M11" i="23"/>
  <c r="N10" i="23"/>
  <c r="M10" i="23"/>
  <c r="N9" i="23"/>
  <c r="M9" i="23"/>
  <c r="N8" i="23"/>
  <c r="M8" i="23"/>
  <c r="N7" i="23"/>
  <c r="M7" i="23"/>
  <c r="N6" i="23"/>
  <c r="M6" i="23"/>
  <c r="N5" i="23"/>
  <c r="M5" i="23"/>
  <c r="N4" i="23"/>
  <c r="M4" i="23"/>
  <c r="N3" i="23"/>
  <c r="M3" i="23"/>
  <c r="N2" i="23"/>
  <c r="M2" i="23"/>
  <c r="E44" i="23"/>
  <c r="C14" i="22"/>
  <c r="G14" i="22" s="1"/>
  <c r="C13" i="22"/>
  <c r="C11" i="22"/>
  <c r="C10" i="22"/>
  <c r="C17" i="22"/>
  <c r="E17" i="22"/>
  <c r="C16" i="22"/>
  <c r="C15" i="22"/>
  <c r="C9" i="22"/>
  <c r="C8" i="22"/>
  <c r="G8" i="22"/>
  <c r="C7" i="22"/>
  <c r="G7" i="22" s="1"/>
  <c r="F7" i="22" s="1"/>
  <c r="C6" i="22"/>
  <c r="G6" i="22"/>
  <c r="F6" i="22" s="1"/>
  <c r="C5" i="22"/>
  <c r="C4" i="22"/>
  <c r="C3" i="22"/>
  <c r="C2" i="22"/>
  <c r="G16" i="22"/>
  <c r="F16" i="22" s="1"/>
  <c r="G15" i="22"/>
  <c r="G13" i="22"/>
  <c r="F13" i="22" s="1"/>
  <c r="G12" i="22"/>
  <c r="F12" i="22" s="1"/>
  <c r="G11" i="22"/>
  <c r="F11" i="22" s="1"/>
  <c r="G10" i="22"/>
  <c r="F10" i="22" s="1"/>
  <c r="G9" i="22"/>
  <c r="G5" i="22"/>
  <c r="F5" i="22" s="1"/>
  <c r="G4" i="22"/>
  <c r="F4" i="22" s="1"/>
  <c r="G3" i="22"/>
  <c r="G2" i="22"/>
  <c r="F2" i="22" s="1"/>
  <c r="F9" i="22"/>
  <c r="F106" i="34" l="1"/>
  <c r="G106" i="34" s="1"/>
  <c r="G26" i="30"/>
  <c r="G9" i="30"/>
  <c r="F3" i="30"/>
  <c r="G3" i="30" s="1"/>
  <c r="E27" i="30"/>
  <c r="F22" i="30" s="1"/>
  <c r="G8" i="28"/>
  <c r="F8" i="28" s="1"/>
  <c r="E44" i="28"/>
  <c r="G37" i="28"/>
  <c r="F37" i="28" s="1"/>
  <c r="C8" i="29"/>
  <c r="G8" i="29" s="1"/>
  <c r="F8" i="29" s="1"/>
  <c r="F2" i="28"/>
  <c r="F33" i="30"/>
  <c r="G33" i="30" s="1"/>
  <c r="F30" i="30"/>
  <c r="G30" i="30" s="1"/>
  <c r="F29" i="30"/>
  <c r="G29" i="30" s="1"/>
  <c r="F28" i="30"/>
  <c r="G28" i="30" s="1"/>
  <c r="F27" i="30"/>
  <c r="G27" i="30" s="1"/>
  <c r="F25" i="30"/>
  <c r="G25" i="30" s="1"/>
  <c r="F20" i="30"/>
  <c r="G20" i="30" s="1"/>
  <c r="F14" i="30"/>
  <c r="G14" i="30" s="1"/>
  <c r="F12" i="30"/>
  <c r="G12" i="30" s="1"/>
  <c r="F11" i="30"/>
  <c r="G11" i="30" s="1"/>
  <c r="F10" i="30"/>
  <c r="G10" i="30" s="1"/>
  <c r="F8" i="30"/>
  <c r="G8" i="30" s="1"/>
  <c r="F7" i="30"/>
  <c r="G7" i="30" s="1"/>
  <c r="F6" i="30"/>
  <c r="G6" i="30" s="1"/>
  <c r="F4" i="30"/>
  <c r="G4" i="30" s="1"/>
  <c r="C40" i="24"/>
  <c r="G40" i="24" s="1"/>
  <c r="F40" i="24" s="1"/>
  <c r="C38" i="24"/>
  <c r="G38" i="24" s="1"/>
  <c r="F38" i="24" s="1"/>
  <c r="C39" i="24"/>
  <c r="G39" i="24" s="1"/>
  <c r="F39" i="24" s="1"/>
  <c r="C2" i="24"/>
  <c r="C5" i="24"/>
  <c r="G5" i="24" s="1"/>
  <c r="F5" i="24" s="1"/>
  <c r="C7" i="24"/>
  <c r="G7" i="24" s="1"/>
  <c r="F7" i="24" s="1"/>
  <c r="G2" i="24"/>
  <c r="F2" i="24" s="1"/>
  <c r="C13" i="24"/>
  <c r="G13" i="24" s="1"/>
  <c r="F13" i="24" s="1"/>
  <c r="C29" i="24"/>
  <c r="G29" i="24" s="1"/>
  <c r="F29" i="24" s="1"/>
  <c r="C10" i="24"/>
  <c r="G10" i="24" s="1"/>
  <c r="F10" i="24" s="1"/>
  <c r="C18" i="24"/>
  <c r="G18" i="24" s="1"/>
  <c r="F18" i="24" s="1"/>
  <c r="C26" i="24"/>
  <c r="G26" i="24" s="1"/>
  <c r="F26" i="24" s="1"/>
  <c r="C34" i="24"/>
  <c r="G34" i="24" s="1"/>
  <c r="F34" i="24" s="1"/>
  <c r="C15" i="24"/>
  <c r="G15" i="24" s="1"/>
  <c r="F15" i="24" s="1"/>
  <c r="C23" i="24"/>
  <c r="G23" i="24" s="1"/>
  <c r="F23" i="24" s="1"/>
  <c r="C4" i="24"/>
  <c r="G4" i="24" s="1"/>
  <c r="F4" i="24" s="1"/>
  <c r="C12" i="24"/>
  <c r="G12" i="24" s="1"/>
  <c r="F12" i="24" s="1"/>
  <c r="C28" i="24"/>
  <c r="G28" i="24" s="1"/>
  <c r="F28" i="24" s="1"/>
  <c r="C9" i="24"/>
  <c r="G9" i="24" s="1"/>
  <c r="F9" i="24" s="1"/>
  <c r="C17" i="24"/>
  <c r="G17" i="24" s="1"/>
  <c r="F17" i="24" s="1"/>
  <c r="C25" i="24"/>
  <c r="G25" i="24" s="1"/>
  <c r="F25" i="24" s="1"/>
  <c r="G31" i="24"/>
  <c r="F31" i="24" s="1"/>
  <c r="C33" i="24"/>
  <c r="G33" i="24" s="1"/>
  <c r="F33" i="24" s="1"/>
  <c r="C6" i="24"/>
  <c r="G6" i="24" s="1"/>
  <c r="F6" i="24" s="1"/>
  <c r="C14" i="24"/>
  <c r="G14" i="24" s="1"/>
  <c r="F14" i="24" s="1"/>
  <c r="C30" i="24"/>
  <c r="G30" i="24" s="1"/>
  <c r="F30" i="24" s="1"/>
  <c r="C11" i="24"/>
  <c r="G11" i="24" s="1"/>
  <c r="F11" i="24" s="1"/>
  <c r="C19" i="24"/>
  <c r="G19" i="24" s="1"/>
  <c r="F19" i="24" s="1"/>
  <c r="C27" i="24"/>
  <c r="G27" i="24" s="1"/>
  <c r="F27" i="24" s="1"/>
  <c r="C35" i="24"/>
  <c r="G35" i="24" s="1"/>
  <c r="F35" i="24" s="1"/>
  <c r="C20" i="24"/>
  <c r="G20" i="24" s="1"/>
  <c r="F20" i="24" s="1"/>
  <c r="C22" i="24"/>
  <c r="G22" i="24" s="1"/>
  <c r="F22" i="24" s="1"/>
  <c r="C8" i="24"/>
  <c r="G8" i="24" s="1"/>
  <c r="F8" i="24" s="1"/>
  <c r="C16" i="24"/>
  <c r="G16" i="24" s="1"/>
  <c r="F16" i="24" s="1"/>
  <c r="C24" i="24"/>
  <c r="G24" i="24" s="1"/>
  <c r="F24" i="24" s="1"/>
  <c r="C32" i="24"/>
  <c r="G32" i="24" s="1"/>
  <c r="F32" i="24" s="1"/>
  <c r="G15" i="23"/>
  <c r="F15" i="23" s="1"/>
  <c r="G17" i="22"/>
  <c r="F17" i="22" s="1"/>
  <c r="F3" i="22"/>
  <c r="F8" i="22"/>
  <c r="F15" i="22"/>
  <c r="F14" i="22"/>
  <c r="G2" i="6"/>
  <c r="G2" i="19"/>
  <c r="F2" i="19" s="1"/>
  <c r="G3" i="19"/>
  <c r="F3" i="19" s="1"/>
  <c r="G10" i="19"/>
  <c r="G12" i="19"/>
  <c r="G15" i="19"/>
  <c r="E4" i="19"/>
  <c r="G2" i="14"/>
  <c r="T18" i="18"/>
  <c r="F3" i="18"/>
  <c r="R18" i="18"/>
  <c r="C21" i="19"/>
  <c r="G21" i="19" s="1"/>
  <c r="F21" i="19" s="1"/>
  <c r="C13" i="19"/>
  <c r="G13" i="19" s="1"/>
  <c r="C9" i="19"/>
  <c r="G9" i="19" s="1"/>
  <c r="C11" i="19"/>
  <c r="G11" i="19" s="1"/>
  <c r="D11" i="19"/>
  <c r="E11" i="19"/>
  <c r="C20" i="19"/>
  <c r="G20" i="19" s="1"/>
  <c r="C19" i="19"/>
  <c r="G19" i="19" s="1"/>
  <c r="C18" i="19"/>
  <c r="G18" i="19" s="1"/>
  <c r="C17" i="19"/>
  <c r="G17" i="19" s="1"/>
  <c r="C16" i="19"/>
  <c r="G16" i="19" s="1"/>
  <c r="F16" i="19" s="1"/>
  <c r="C8" i="19"/>
  <c r="G8" i="19" s="1"/>
  <c r="F8" i="19" s="1"/>
  <c r="C22" i="19"/>
  <c r="G22" i="19" s="1"/>
  <c r="C14" i="19"/>
  <c r="G14" i="19" s="1"/>
  <c r="C7" i="19"/>
  <c r="G7" i="19" s="1"/>
  <c r="C6" i="19"/>
  <c r="G6" i="19" s="1"/>
  <c r="C4" i="19"/>
  <c r="G4" i="19" s="1"/>
  <c r="C5" i="19"/>
  <c r="G5" i="19" s="1"/>
  <c r="C3" i="19"/>
  <c r="E22" i="19"/>
  <c r="E21" i="19"/>
  <c r="E20" i="19"/>
  <c r="E19" i="19"/>
  <c r="E18" i="19"/>
  <c r="E17" i="19"/>
  <c r="E16" i="19"/>
  <c r="E15" i="19"/>
  <c r="F15" i="19" s="1"/>
  <c r="E14" i="19"/>
  <c r="E13" i="19"/>
  <c r="E12" i="19"/>
  <c r="E10" i="19"/>
  <c r="F10" i="19" s="1"/>
  <c r="E9" i="19"/>
  <c r="E8" i="19"/>
  <c r="E7" i="19"/>
  <c r="E6" i="19"/>
  <c r="E5" i="19"/>
  <c r="E3" i="19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F42" i="30" l="1"/>
  <c r="G42" i="30" s="1"/>
  <c r="F41" i="30"/>
  <c r="G41" i="30" s="1"/>
  <c r="F5" i="30"/>
  <c r="F2" i="30"/>
  <c r="G2" i="30" s="1"/>
  <c r="F31" i="30"/>
  <c r="G31" i="30" s="1"/>
  <c r="F32" i="30"/>
  <c r="G32" i="30" s="1"/>
  <c r="F23" i="30"/>
  <c r="G23" i="30" s="1"/>
  <c r="G22" i="30"/>
  <c r="F21" i="30"/>
  <c r="G21" i="30" s="1"/>
  <c r="C44" i="24"/>
  <c r="C45" i="24" s="1"/>
  <c r="F12" i="19"/>
  <c r="F7" i="19"/>
  <c r="F4" i="19"/>
  <c r="F17" i="19"/>
  <c r="F18" i="19"/>
  <c r="F9" i="19"/>
  <c r="F5" i="19"/>
  <c r="F20" i="19"/>
  <c r="F6" i="19"/>
  <c r="F22" i="19"/>
  <c r="F19" i="19"/>
  <c r="K26" i="18"/>
  <c r="H26" i="18" s="1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F11" i="19"/>
  <c r="F13" i="19"/>
  <c r="F14" i="19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8" i="18"/>
  <c r="H16" i="18"/>
  <c r="K21" i="18"/>
  <c r="H21" i="18" s="1"/>
  <c r="H24" i="18"/>
  <c r="H7" i="18"/>
  <c r="H15" i="18"/>
  <c r="H28" i="18"/>
  <c r="H36" i="18"/>
  <c r="H39" i="18"/>
  <c r="K2" i="18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H44" i="18" l="1"/>
  <c r="D28" i="18" s="1"/>
  <c r="J28" i="18" s="1"/>
  <c r="C28" i="21" s="1"/>
  <c r="D28" i="21" s="1"/>
  <c r="H45" i="18"/>
  <c r="C5" i="18" s="1"/>
  <c r="I5" i="18" s="1"/>
  <c r="C5" i="20" s="1"/>
  <c r="D5" i="20" s="1"/>
  <c r="F5" i="20" s="1"/>
  <c r="F2" i="6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E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F2" i="13" s="1"/>
  <c r="E3" i="13"/>
  <c r="G3" i="13"/>
  <c r="F3" i="13" s="1"/>
  <c r="E4" i="13"/>
  <c r="G4" i="13"/>
  <c r="F4" i="13" s="1"/>
  <c r="G5" i="13"/>
  <c r="F5" i="13" s="1"/>
  <c r="E5" i="13"/>
  <c r="E6" i="13"/>
  <c r="G6" i="13"/>
  <c r="F6" i="13" s="1"/>
  <c r="E7" i="13"/>
  <c r="G7" i="13"/>
  <c r="F7" i="13" s="1"/>
  <c r="G8" i="13"/>
  <c r="F8" i="13" s="1"/>
  <c r="E8" i="13"/>
  <c r="E9" i="13"/>
  <c r="G9" i="13"/>
  <c r="F9" i="13" s="1"/>
  <c r="E10" i="13"/>
  <c r="G10" i="13"/>
  <c r="F10" i="13" s="1"/>
  <c r="G11" i="13"/>
  <c r="F11" i="13" s="1"/>
  <c r="E11" i="13"/>
  <c r="E12" i="13"/>
  <c r="G12" i="13"/>
  <c r="F12" i="13" s="1"/>
  <c r="E13" i="13"/>
  <c r="G14" i="13"/>
  <c r="F14" i="13" s="1"/>
  <c r="E14" i="13"/>
  <c r="E15" i="13"/>
  <c r="G15" i="13"/>
  <c r="F15" i="13" s="1"/>
  <c r="E16" i="13"/>
  <c r="G16" i="13"/>
  <c r="F16" i="13" s="1"/>
  <c r="E17" i="13"/>
  <c r="G17" i="13"/>
  <c r="F17" i="13" s="1"/>
  <c r="E18" i="13"/>
  <c r="G18" i="13"/>
  <c r="F18" i="13" s="1"/>
  <c r="E19" i="13"/>
  <c r="G19" i="13"/>
  <c r="F19" i="13" s="1"/>
  <c r="E20" i="13"/>
  <c r="G20" i="13"/>
  <c r="F20" i="13" s="1"/>
  <c r="E21" i="13"/>
  <c r="G21" i="13"/>
  <c r="F21" i="13" s="1"/>
  <c r="E22" i="13"/>
  <c r="G22" i="13"/>
  <c r="F22" i="13" s="1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G28" i="21" l="1"/>
  <c r="F28" i="21"/>
  <c r="G5" i="20"/>
  <c r="D35" i="18"/>
  <c r="J35" i="18" s="1"/>
  <c r="C35" i="21" s="1"/>
  <c r="D35" i="21" s="1"/>
  <c r="C12" i="18"/>
  <c r="I12" i="18" s="1"/>
  <c r="C12" i="20" s="1"/>
  <c r="D12" i="20" s="1"/>
  <c r="D34" i="18"/>
  <c r="J34" i="18" s="1"/>
  <c r="C34" i="21" s="1"/>
  <c r="D34" i="21" s="1"/>
  <c r="D4" i="18"/>
  <c r="J4" i="18" s="1"/>
  <c r="C4" i="21" s="1"/>
  <c r="D4" i="21" s="1"/>
  <c r="D20" i="18"/>
  <c r="J20" i="18" s="1"/>
  <c r="C20" i="21" s="1"/>
  <c r="D20" i="21" s="1"/>
  <c r="D33" i="18"/>
  <c r="J33" i="18" s="1"/>
  <c r="C33" i="21" s="1"/>
  <c r="D33" i="21" s="1"/>
  <c r="D27" i="18"/>
  <c r="J27" i="18" s="1"/>
  <c r="C27" i="21" s="1"/>
  <c r="D27" i="21" s="1"/>
  <c r="D15" i="18"/>
  <c r="J15" i="18" s="1"/>
  <c r="C15" i="21" s="1"/>
  <c r="D15" i="21" s="1"/>
  <c r="D36" i="18"/>
  <c r="J36" i="18" s="1"/>
  <c r="C36" i="21" s="1"/>
  <c r="D36" i="21" s="1"/>
  <c r="D21" i="18"/>
  <c r="J21" i="18" s="1"/>
  <c r="C21" i="21" s="1"/>
  <c r="D21" i="21" s="1"/>
  <c r="D37" i="18"/>
  <c r="J37" i="18" s="1"/>
  <c r="C37" i="21" s="1"/>
  <c r="D37" i="21" s="1"/>
  <c r="D17" i="18"/>
  <c r="J17" i="18" s="1"/>
  <c r="C17" i="21" s="1"/>
  <c r="D17" i="21" s="1"/>
  <c r="D7" i="18"/>
  <c r="J7" i="18" s="1"/>
  <c r="C7" i="21" s="1"/>
  <c r="D7" i="21" s="1"/>
  <c r="D3" i="18"/>
  <c r="J3" i="18" s="1"/>
  <c r="C3" i="21" s="1"/>
  <c r="D3" i="21" s="1"/>
  <c r="D18" i="18"/>
  <c r="J18" i="18" s="1"/>
  <c r="C18" i="21" s="1"/>
  <c r="D18" i="21" s="1"/>
  <c r="D19" i="18"/>
  <c r="J19" i="18" s="1"/>
  <c r="C19" i="21" s="1"/>
  <c r="D19" i="21" s="1"/>
  <c r="D42" i="18"/>
  <c r="J42" i="18" s="1"/>
  <c r="C42" i="21" s="1"/>
  <c r="D42" i="21" s="1"/>
  <c r="D5" i="18"/>
  <c r="J5" i="18" s="1"/>
  <c r="C5" i="21" s="1"/>
  <c r="D5" i="21" s="1"/>
  <c r="D26" i="18"/>
  <c r="J26" i="18" s="1"/>
  <c r="C26" i="21" s="1"/>
  <c r="D26" i="21" s="1"/>
  <c r="D9" i="18"/>
  <c r="J9" i="18" s="1"/>
  <c r="C9" i="21" s="1"/>
  <c r="D9" i="21" s="1"/>
  <c r="D12" i="18"/>
  <c r="J12" i="18" s="1"/>
  <c r="C12" i="21" s="1"/>
  <c r="D12" i="21" s="1"/>
  <c r="D39" i="18"/>
  <c r="J39" i="18" s="1"/>
  <c r="C39" i="21" s="1"/>
  <c r="D39" i="21" s="1"/>
  <c r="D6" i="18"/>
  <c r="J6" i="18" s="1"/>
  <c r="C6" i="21" s="1"/>
  <c r="D6" i="21" s="1"/>
  <c r="D22" i="18"/>
  <c r="J22" i="18" s="1"/>
  <c r="C22" i="21" s="1"/>
  <c r="D22" i="21" s="1"/>
  <c r="D8" i="18"/>
  <c r="J8" i="18" s="1"/>
  <c r="C8" i="21" s="1"/>
  <c r="D8" i="21" s="1"/>
  <c r="D30" i="18"/>
  <c r="J30" i="18" s="1"/>
  <c r="C30" i="21" s="1"/>
  <c r="D30" i="21" s="1"/>
  <c r="D2" i="18"/>
  <c r="J2" i="18" s="1"/>
  <c r="C2" i="21" s="1"/>
  <c r="D2" i="21" s="1"/>
  <c r="C2" i="18"/>
  <c r="I2" i="18" s="1"/>
  <c r="C2" i="20" s="1"/>
  <c r="D2" i="20" s="1"/>
  <c r="D23" i="18"/>
  <c r="J23" i="18" s="1"/>
  <c r="C23" i="21" s="1"/>
  <c r="D23" i="21" s="1"/>
  <c r="D32" i="18"/>
  <c r="J32" i="18" s="1"/>
  <c r="C32" i="21" s="1"/>
  <c r="D32" i="21" s="1"/>
  <c r="D41" i="18"/>
  <c r="J41" i="18" s="1"/>
  <c r="C41" i="21" s="1"/>
  <c r="D41" i="21" s="1"/>
  <c r="D14" i="18"/>
  <c r="J14" i="18" s="1"/>
  <c r="C14" i="21" s="1"/>
  <c r="D14" i="21" s="1"/>
  <c r="D13" i="18"/>
  <c r="J13" i="18" s="1"/>
  <c r="C13" i="21" s="1"/>
  <c r="D13" i="21" s="1"/>
  <c r="D25" i="18"/>
  <c r="J25" i="18" s="1"/>
  <c r="C25" i="21" s="1"/>
  <c r="D25" i="21" s="1"/>
  <c r="D29" i="18"/>
  <c r="J29" i="18" s="1"/>
  <c r="C29" i="21" s="1"/>
  <c r="D29" i="21" s="1"/>
  <c r="D11" i="18"/>
  <c r="J11" i="18" s="1"/>
  <c r="C11" i="21" s="1"/>
  <c r="D11" i="21" s="1"/>
  <c r="D31" i="18"/>
  <c r="J31" i="18" s="1"/>
  <c r="C31" i="21" s="1"/>
  <c r="D31" i="21" s="1"/>
  <c r="F31" i="21" s="1"/>
  <c r="D10" i="18"/>
  <c r="J10" i="18" s="1"/>
  <c r="C10" i="21" s="1"/>
  <c r="D10" i="21" s="1"/>
  <c r="D40" i="18"/>
  <c r="J40" i="18" s="1"/>
  <c r="C40" i="21" s="1"/>
  <c r="D40" i="21" s="1"/>
  <c r="D38" i="18"/>
  <c r="J38" i="18" s="1"/>
  <c r="C38" i="21" s="1"/>
  <c r="D38" i="21" s="1"/>
  <c r="D16" i="18"/>
  <c r="J16" i="18" s="1"/>
  <c r="C16" i="21" s="1"/>
  <c r="D16" i="21" s="1"/>
  <c r="D24" i="18"/>
  <c r="J24" i="18" s="1"/>
  <c r="C24" i="21" s="1"/>
  <c r="D24" i="21" s="1"/>
  <c r="C16" i="18"/>
  <c r="I16" i="18" s="1"/>
  <c r="C16" i="20" s="1"/>
  <c r="D16" i="20" s="1"/>
  <c r="C32" i="18"/>
  <c r="I32" i="18" s="1"/>
  <c r="C32" i="20" s="1"/>
  <c r="D32" i="20" s="1"/>
  <c r="C35" i="18"/>
  <c r="I35" i="18" s="1"/>
  <c r="C35" i="20" s="1"/>
  <c r="D35" i="20" s="1"/>
  <c r="C36" i="18"/>
  <c r="I36" i="18" s="1"/>
  <c r="C36" i="20" s="1"/>
  <c r="D36" i="20" s="1"/>
  <c r="C19" i="18"/>
  <c r="I19" i="18" s="1"/>
  <c r="C19" i="20" s="1"/>
  <c r="D19" i="20" s="1"/>
  <c r="C21" i="18"/>
  <c r="I21" i="18" s="1"/>
  <c r="C21" i="20" s="1"/>
  <c r="D21" i="20" s="1"/>
  <c r="C13" i="18"/>
  <c r="I13" i="18" s="1"/>
  <c r="C13" i="20" s="1"/>
  <c r="D13" i="20" s="1"/>
  <c r="C39" i="18"/>
  <c r="I39" i="18" s="1"/>
  <c r="C39" i="20" s="1"/>
  <c r="D39" i="20" s="1"/>
  <c r="C10" i="18"/>
  <c r="I10" i="18" s="1"/>
  <c r="C10" i="20" s="1"/>
  <c r="D10" i="20" s="1"/>
  <c r="C26" i="18"/>
  <c r="I26" i="18" s="1"/>
  <c r="C26" i="20" s="1"/>
  <c r="D26" i="20" s="1"/>
  <c r="C22" i="18"/>
  <c r="I22" i="18" s="1"/>
  <c r="C22" i="20" s="1"/>
  <c r="D22" i="20" s="1"/>
  <c r="C40" i="18"/>
  <c r="I40" i="18" s="1"/>
  <c r="C40" i="20" s="1"/>
  <c r="D40" i="20" s="1"/>
  <c r="C41" i="18"/>
  <c r="I41" i="18" s="1"/>
  <c r="C41" i="20" s="1"/>
  <c r="D41" i="20" s="1"/>
  <c r="C29" i="18"/>
  <c r="I29" i="18" s="1"/>
  <c r="C29" i="20" s="1"/>
  <c r="D29" i="20" s="1"/>
  <c r="C9" i="18"/>
  <c r="I9" i="18" s="1"/>
  <c r="C9" i="20" s="1"/>
  <c r="D9" i="20" s="1"/>
  <c r="C25" i="18"/>
  <c r="I25" i="18" s="1"/>
  <c r="C25" i="20" s="1"/>
  <c r="D25" i="20" s="1"/>
  <c r="C4" i="18"/>
  <c r="I4" i="18" s="1"/>
  <c r="C4" i="20" s="1"/>
  <c r="D4" i="20" s="1"/>
  <c r="C33" i="18"/>
  <c r="I33" i="18" s="1"/>
  <c r="C33" i="20" s="1"/>
  <c r="D33" i="20" s="1"/>
  <c r="C34" i="18"/>
  <c r="I34" i="18" s="1"/>
  <c r="C34" i="20" s="1"/>
  <c r="D34" i="20" s="1"/>
  <c r="C20" i="18"/>
  <c r="I20" i="18" s="1"/>
  <c r="C20" i="20" s="1"/>
  <c r="D20" i="20" s="1"/>
  <c r="F20" i="20" s="1"/>
  <c r="C24" i="18"/>
  <c r="I24" i="18" s="1"/>
  <c r="C24" i="20" s="1"/>
  <c r="D24" i="20" s="1"/>
  <c r="C30" i="18"/>
  <c r="I30" i="18" s="1"/>
  <c r="C30" i="20" s="1"/>
  <c r="D30" i="20" s="1"/>
  <c r="C23" i="18"/>
  <c r="I23" i="18" s="1"/>
  <c r="C23" i="20" s="1"/>
  <c r="D23" i="20" s="1"/>
  <c r="C7" i="18"/>
  <c r="I7" i="18" s="1"/>
  <c r="C7" i="20" s="1"/>
  <c r="D7" i="20" s="1"/>
  <c r="C3" i="18"/>
  <c r="I3" i="18" s="1"/>
  <c r="C3" i="20" s="1"/>
  <c r="D3" i="20" s="1"/>
  <c r="C18" i="18"/>
  <c r="I18" i="18" s="1"/>
  <c r="C18" i="20" s="1"/>
  <c r="D18" i="20" s="1"/>
  <c r="C14" i="18"/>
  <c r="I14" i="18" s="1"/>
  <c r="C14" i="20" s="1"/>
  <c r="D14" i="20" s="1"/>
  <c r="C42" i="18"/>
  <c r="I42" i="18" s="1"/>
  <c r="C42" i="20" s="1"/>
  <c r="D42" i="20" s="1"/>
  <c r="C11" i="18"/>
  <c r="I11" i="18" s="1"/>
  <c r="C11" i="20" s="1"/>
  <c r="D11" i="20" s="1"/>
  <c r="C38" i="18"/>
  <c r="I38" i="18" s="1"/>
  <c r="C38" i="20" s="1"/>
  <c r="D38" i="20" s="1"/>
  <c r="C6" i="18"/>
  <c r="I6" i="18" s="1"/>
  <c r="C6" i="20" s="1"/>
  <c r="D6" i="20" s="1"/>
  <c r="C8" i="18"/>
  <c r="I8" i="18" s="1"/>
  <c r="C8" i="20" s="1"/>
  <c r="D8" i="20" s="1"/>
  <c r="C27" i="18"/>
  <c r="I27" i="18" s="1"/>
  <c r="C27" i="20" s="1"/>
  <c r="D27" i="20" s="1"/>
  <c r="C17" i="18"/>
  <c r="I17" i="18" s="1"/>
  <c r="C17" i="20" s="1"/>
  <c r="D17" i="20" s="1"/>
  <c r="C15" i="18"/>
  <c r="I15" i="18" s="1"/>
  <c r="C15" i="20" s="1"/>
  <c r="D15" i="20" s="1"/>
  <c r="C28" i="18"/>
  <c r="I28" i="18" s="1"/>
  <c r="C28" i="20" s="1"/>
  <c r="D28" i="20" s="1"/>
  <c r="C31" i="18"/>
  <c r="I31" i="18" s="1"/>
  <c r="C31" i="20" s="1"/>
  <c r="D31" i="20" s="1"/>
  <c r="C37" i="18"/>
  <c r="I37" i="18" s="1"/>
  <c r="C37" i="20" s="1"/>
  <c r="D37" i="20" s="1"/>
  <c r="G17" i="12"/>
  <c r="C13" i="14"/>
  <c r="G13" i="14" s="1"/>
  <c r="G13" i="13"/>
  <c r="F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G23" i="21" l="1"/>
  <c r="F23" i="21"/>
  <c r="F32" i="20"/>
  <c r="G32" i="20"/>
  <c r="G4" i="21"/>
  <c r="F4" i="21"/>
  <c r="F3" i="20"/>
  <c r="G3" i="20"/>
  <c r="F4" i="20"/>
  <c r="G4" i="20"/>
  <c r="F10" i="20"/>
  <c r="G10" i="20"/>
  <c r="F16" i="20"/>
  <c r="G16" i="20"/>
  <c r="F29" i="21"/>
  <c r="G29" i="21"/>
  <c r="G2" i="21"/>
  <c r="E27" i="21"/>
  <c r="G31" i="21" s="1"/>
  <c r="F2" i="21"/>
  <c r="G26" i="21"/>
  <c r="F26" i="21"/>
  <c r="F37" i="21"/>
  <c r="G37" i="21"/>
  <c r="G34" i="21"/>
  <c r="F34" i="21"/>
  <c r="F14" i="20"/>
  <c r="G14" i="20"/>
  <c r="F35" i="20"/>
  <c r="G35" i="20"/>
  <c r="F17" i="20"/>
  <c r="G17" i="20"/>
  <c r="F33" i="20"/>
  <c r="G33" i="20"/>
  <c r="G17" i="21"/>
  <c r="F17" i="21"/>
  <c r="F27" i="20"/>
  <c r="G27" i="20"/>
  <c r="F8" i="20"/>
  <c r="G8" i="20"/>
  <c r="F7" i="20"/>
  <c r="G7" i="20"/>
  <c r="F25" i="20"/>
  <c r="G25" i="20"/>
  <c r="F39" i="20"/>
  <c r="G39" i="20"/>
  <c r="G24" i="21"/>
  <c r="F24" i="21"/>
  <c r="G25" i="21"/>
  <c r="F25" i="21"/>
  <c r="G30" i="21"/>
  <c r="F30" i="21"/>
  <c r="G5" i="21"/>
  <c r="F5" i="21"/>
  <c r="G21" i="21"/>
  <c r="F21" i="21"/>
  <c r="F12" i="20"/>
  <c r="G12" i="20"/>
  <c r="F22" i="20"/>
  <c r="G22" i="20"/>
  <c r="F12" i="21"/>
  <c r="G12" i="21"/>
  <c r="F2" i="20"/>
  <c r="E27" i="20"/>
  <c r="G20" i="20" s="1"/>
  <c r="G2" i="20"/>
  <c r="F23" i="20"/>
  <c r="G23" i="20"/>
  <c r="F13" i="20"/>
  <c r="G13" i="20"/>
  <c r="F16" i="21"/>
  <c r="G16" i="21"/>
  <c r="G13" i="21"/>
  <c r="F13" i="21"/>
  <c r="F8" i="21"/>
  <c r="G8" i="21"/>
  <c r="G42" i="21"/>
  <c r="F42" i="21"/>
  <c r="G36" i="21"/>
  <c r="F36" i="21"/>
  <c r="F35" i="21"/>
  <c r="G35" i="21"/>
  <c r="F15" i="20"/>
  <c r="G15" i="20"/>
  <c r="F20" i="21"/>
  <c r="G20" i="21"/>
  <c r="F26" i="20"/>
  <c r="G26" i="20"/>
  <c r="F6" i="20"/>
  <c r="G6" i="20"/>
  <c r="F38" i="20"/>
  <c r="G38" i="20"/>
  <c r="F30" i="20"/>
  <c r="G30" i="20"/>
  <c r="F29" i="20"/>
  <c r="G29" i="20"/>
  <c r="F21" i="20"/>
  <c r="G21" i="20"/>
  <c r="G38" i="21"/>
  <c r="F38" i="21"/>
  <c r="G14" i="21"/>
  <c r="F14" i="21"/>
  <c r="G22" i="21"/>
  <c r="F22" i="21"/>
  <c r="G19" i="21"/>
  <c r="F19" i="21"/>
  <c r="G15" i="21"/>
  <c r="F15" i="21"/>
  <c r="G7" i="21"/>
  <c r="F7" i="21"/>
  <c r="G9" i="21"/>
  <c r="F9" i="21"/>
  <c r="F37" i="20"/>
  <c r="G37" i="20"/>
  <c r="F31" i="20"/>
  <c r="F11" i="20"/>
  <c r="G11" i="20"/>
  <c r="F24" i="20"/>
  <c r="G24" i="20"/>
  <c r="F41" i="20"/>
  <c r="G41" i="20"/>
  <c r="F19" i="20"/>
  <c r="G19" i="20"/>
  <c r="G40" i="21"/>
  <c r="F40" i="21"/>
  <c r="G41" i="21"/>
  <c r="F41" i="21"/>
  <c r="G6" i="21"/>
  <c r="F6" i="21"/>
  <c r="G18" i="21"/>
  <c r="F18" i="21"/>
  <c r="F27" i="21"/>
  <c r="G27" i="21"/>
  <c r="F34" i="20"/>
  <c r="G34" i="20"/>
  <c r="F18" i="20"/>
  <c r="G18" i="20"/>
  <c r="G11" i="21"/>
  <c r="F11" i="21"/>
  <c r="F9" i="20"/>
  <c r="G9" i="20"/>
  <c r="F28" i="20"/>
  <c r="G28" i="20"/>
  <c r="F42" i="20"/>
  <c r="G42" i="20"/>
  <c r="F40" i="20"/>
  <c r="G40" i="20"/>
  <c r="F36" i="20"/>
  <c r="G36" i="20"/>
  <c r="G10" i="21"/>
  <c r="F10" i="21"/>
  <c r="F32" i="21"/>
  <c r="G32" i="21"/>
  <c r="F39" i="21"/>
  <c r="G39" i="21"/>
  <c r="G3" i="21"/>
  <c r="F3" i="21"/>
  <c r="G33" i="21"/>
  <c r="F33" i="21"/>
  <c r="F109" i="4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F18" i="6" s="1"/>
  <c r="G34" i="6"/>
  <c r="F34" i="6" s="1"/>
  <c r="D42" i="6"/>
  <c r="D41" i="6"/>
  <c r="D40" i="6"/>
  <c r="G40" i="6" s="1"/>
  <c r="F40" i="6" s="1"/>
  <c r="D39" i="6"/>
  <c r="G39" i="6" s="1"/>
  <c r="F39" i="6" s="1"/>
  <c r="D38" i="6"/>
  <c r="G38" i="6" s="1"/>
  <c r="F38" i="6" s="1"/>
  <c r="D37" i="6"/>
  <c r="G37" i="6" s="1"/>
  <c r="F37" i="6" s="1"/>
  <c r="D36" i="6"/>
  <c r="G36" i="6" s="1"/>
  <c r="F36" i="6" s="1"/>
  <c r="D35" i="6"/>
  <c r="G35" i="6" s="1"/>
  <c r="F35" i="6" s="1"/>
  <c r="D34" i="6"/>
  <c r="D33" i="6"/>
  <c r="G33" i="6" s="1"/>
  <c r="F33" i="6" s="1"/>
  <c r="D32" i="6"/>
  <c r="D31" i="6"/>
  <c r="D30" i="6"/>
  <c r="G30" i="6" s="1"/>
  <c r="F30" i="6" s="1"/>
  <c r="D29" i="6"/>
  <c r="G29" i="6" s="1"/>
  <c r="F29" i="6" s="1"/>
  <c r="D28" i="6"/>
  <c r="G28" i="6" s="1"/>
  <c r="F28" i="6" s="1"/>
  <c r="D27" i="6"/>
  <c r="G27" i="6" s="1"/>
  <c r="F27" i="6" s="1"/>
  <c r="D26" i="6"/>
  <c r="G26" i="6" s="1"/>
  <c r="F26" i="6" s="1"/>
  <c r="D25" i="6"/>
  <c r="G25" i="6" s="1"/>
  <c r="F25" i="6" s="1"/>
  <c r="D24" i="6"/>
  <c r="G24" i="6" s="1"/>
  <c r="F24" i="6" s="1"/>
  <c r="D23" i="6"/>
  <c r="D22" i="6"/>
  <c r="D21" i="6"/>
  <c r="D20" i="6"/>
  <c r="G20" i="6" s="1"/>
  <c r="F20" i="6" s="1"/>
  <c r="D19" i="6"/>
  <c r="G19" i="6" s="1"/>
  <c r="F19" i="6" s="1"/>
  <c r="D18" i="6"/>
  <c r="D17" i="6"/>
  <c r="G17" i="6" s="1"/>
  <c r="F17" i="6" s="1"/>
  <c r="D16" i="6"/>
  <c r="G16" i="6" s="1"/>
  <c r="F16" i="6" s="1"/>
  <c r="D15" i="6"/>
  <c r="G15" i="6" s="1"/>
  <c r="F15" i="6" s="1"/>
  <c r="D14" i="6"/>
  <c r="G14" i="6" s="1"/>
  <c r="F14" i="6" s="1"/>
  <c r="D13" i="6"/>
  <c r="G13" i="6" s="1"/>
  <c r="F13" i="6" s="1"/>
  <c r="D12" i="6"/>
  <c r="G12" i="6" s="1"/>
  <c r="F12" i="6" s="1"/>
  <c r="D11" i="6"/>
  <c r="G11" i="6" s="1"/>
  <c r="F11" i="6" s="1"/>
  <c r="D10" i="6"/>
  <c r="G10" i="6" s="1"/>
  <c r="F10" i="6" s="1"/>
  <c r="D9" i="6"/>
  <c r="G9" i="6" s="1"/>
  <c r="F9" i="6" s="1"/>
  <c r="D8" i="6"/>
  <c r="G8" i="6" s="1"/>
  <c r="F8" i="6" s="1"/>
  <c r="D7" i="6"/>
  <c r="G7" i="6" s="1"/>
  <c r="F7" i="6" s="1"/>
  <c r="D6" i="6"/>
  <c r="G6" i="6" s="1"/>
  <c r="F6" i="6" s="1"/>
  <c r="D5" i="6"/>
  <c r="D4" i="6"/>
  <c r="G4" i="6" s="1"/>
  <c r="F4" i="6" s="1"/>
  <c r="D3" i="6"/>
  <c r="G3" i="6" s="1"/>
  <c r="F3" i="6" s="1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D34" i="5"/>
  <c r="E34" i="5" s="1"/>
  <c r="D33" i="5"/>
  <c r="E33" i="5" s="1"/>
  <c r="D30" i="5"/>
  <c r="E30" i="5" s="1"/>
  <c r="D29" i="5"/>
  <c r="E29" i="5" s="1"/>
  <c r="D26" i="5"/>
  <c r="E26" i="5" s="1"/>
  <c r="D27" i="5"/>
  <c r="E27" i="5" s="1"/>
  <c r="D28" i="5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F3" i="3" l="1"/>
  <c r="G3" i="3" s="1"/>
  <c r="F4" i="3"/>
  <c r="G4" i="3" s="1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F15" i="3"/>
  <c r="G15" i="3" s="1"/>
  <c r="F16" i="3"/>
  <c r="G16" i="3"/>
  <c r="F17" i="3"/>
  <c r="G17" i="3" s="1"/>
  <c r="F18" i="3"/>
  <c r="G18" i="3" s="1"/>
  <c r="F19" i="3"/>
  <c r="G19" i="3" s="1"/>
  <c r="F20" i="3"/>
  <c r="G20" i="3" s="1"/>
  <c r="F24" i="3"/>
  <c r="G24" i="3" s="1"/>
  <c r="F25" i="3"/>
  <c r="G25" i="3" s="1"/>
  <c r="F26" i="3"/>
  <c r="G26" i="3"/>
  <c r="F27" i="3"/>
  <c r="G27" i="3" s="1"/>
  <c r="F28" i="3"/>
  <c r="G28" i="3" s="1"/>
  <c r="F29" i="3"/>
  <c r="G29" i="3" s="1"/>
  <c r="F30" i="3"/>
  <c r="G30" i="3"/>
  <c r="F33" i="3"/>
  <c r="G33" i="3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40" i="3"/>
  <c r="G40" i="3"/>
  <c r="G31" i="20"/>
  <c r="E44" i="2"/>
  <c r="G34" i="2"/>
  <c r="E34" i="7"/>
  <c r="G34" i="7" s="1"/>
  <c r="E16" i="7"/>
  <c r="E44" i="7"/>
  <c r="G16" i="7"/>
  <c r="E27" i="6"/>
  <c r="F31" i="3" l="1"/>
  <c r="G31" i="3" s="1"/>
  <c r="F5" i="3"/>
  <c r="F32" i="3"/>
  <c r="G32" i="3" s="1"/>
  <c r="F23" i="3"/>
  <c r="G23" i="3" s="1"/>
  <c r="F42" i="3"/>
  <c r="G42" i="3" s="1"/>
  <c r="F41" i="3"/>
  <c r="G41" i="3" s="1"/>
  <c r="F22" i="3"/>
  <c r="G22" i="3" s="1"/>
  <c r="F21" i="3"/>
  <c r="G21" i="3" s="1"/>
  <c r="F2" i="3"/>
  <c r="G2" i="3" s="1"/>
  <c r="G22" i="6"/>
  <c r="F22" i="6" s="1"/>
  <c r="G42" i="6"/>
  <c r="F42" i="6" s="1"/>
  <c r="G23" i="6"/>
  <c r="F23" i="6" s="1"/>
  <c r="G21" i="6"/>
  <c r="F21" i="6" s="1"/>
  <c r="G31" i="6"/>
  <c r="F31" i="6" s="1"/>
  <c r="G5" i="6"/>
  <c r="G41" i="6"/>
  <c r="F41" i="6" s="1"/>
  <c r="G32" i="6"/>
  <c r="F32" i="6" s="1"/>
  <c r="G13" i="23"/>
  <c r="F13" i="23" s="1"/>
  <c r="C13" i="23"/>
  <c r="C8" i="23"/>
  <c r="G8" i="23" s="1"/>
  <c r="F8" i="23" s="1"/>
  <c r="G14" i="23"/>
  <c r="F14" i="23" s="1"/>
  <c r="C14" i="23"/>
  <c r="C34" i="23"/>
  <c r="G34" i="23" s="1"/>
  <c r="F34" i="23" s="1"/>
  <c r="C36" i="23"/>
  <c r="G36" i="23" s="1"/>
  <c r="F36" i="23" s="1"/>
  <c r="C23" i="23"/>
  <c r="G23" i="23" s="1"/>
  <c r="F23" i="23" s="1"/>
  <c r="C6" i="23"/>
  <c r="G6" i="23" s="1"/>
  <c r="F6" i="23" s="1"/>
  <c r="C20" i="23"/>
  <c r="G20" i="23" s="1"/>
  <c r="F20" i="23" s="1"/>
  <c r="G17" i="23"/>
  <c r="F17" i="23" s="1"/>
  <c r="C17" i="23"/>
  <c r="C16" i="23"/>
  <c r="G16" i="23" s="1"/>
  <c r="F16" i="23" s="1"/>
  <c r="C28" i="23"/>
  <c r="G28" i="23" s="1"/>
  <c r="F28" i="23" s="1"/>
  <c r="C25" i="23"/>
  <c r="G25" i="23" s="1"/>
  <c r="F25" i="23" s="1"/>
  <c r="C18" i="23"/>
  <c r="G18" i="23" s="1"/>
  <c r="F18" i="23" s="1"/>
  <c r="C42" i="23"/>
  <c r="G42" i="23" s="1"/>
  <c r="F42" i="23" s="1"/>
  <c r="G12" i="23"/>
  <c r="F12" i="23" s="1"/>
  <c r="C12" i="23"/>
  <c r="C35" i="23"/>
  <c r="G35" i="23" s="1"/>
  <c r="F35" i="23" s="1"/>
  <c r="C29" i="23"/>
  <c r="G29" i="23"/>
  <c r="F29" i="23" s="1"/>
  <c r="C30" i="23"/>
  <c r="G30" i="23" s="1"/>
  <c r="F30" i="23" s="1"/>
  <c r="C9" i="23"/>
  <c r="G9" i="23" s="1"/>
  <c r="F9" i="23" s="1"/>
  <c r="C24" i="23"/>
  <c r="G24" i="23" s="1"/>
  <c r="F24" i="23" s="1"/>
  <c r="C10" i="23"/>
  <c r="G10" i="23" s="1"/>
  <c r="F10" i="23" s="1"/>
  <c r="C22" i="23"/>
  <c r="G22" i="23"/>
  <c r="F22" i="23"/>
  <c r="G4" i="23"/>
  <c r="F4" i="23" s="1"/>
  <c r="J6" i="23"/>
  <c r="C5" i="23" s="1"/>
  <c r="G5" i="23" s="1"/>
  <c r="F5" i="23" s="1"/>
  <c r="C33" i="23" l="1"/>
  <c r="G33" i="23" s="1"/>
  <c r="F33" i="23" s="1"/>
  <c r="C7" i="23"/>
  <c r="G7" i="23" s="1"/>
  <c r="F7" i="23" s="1"/>
  <c r="C32" i="23"/>
  <c r="G32" i="23" s="1"/>
  <c r="F32" i="23" s="1"/>
  <c r="C38" i="23"/>
  <c r="G38" i="23" s="1"/>
  <c r="F38" i="23" s="1"/>
  <c r="C39" i="23"/>
  <c r="G39" i="23" s="1"/>
  <c r="F39" i="23" s="1"/>
  <c r="C2" i="23"/>
  <c r="C27" i="23"/>
  <c r="G27" i="23" s="1"/>
  <c r="F27" i="23" s="1"/>
  <c r="C26" i="23"/>
  <c r="G26" i="23" s="1"/>
  <c r="F26" i="23" s="1"/>
  <c r="C40" i="23"/>
  <c r="G40" i="23" s="1"/>
  <c r="F40" i="23" s="1"/>
  <c r="C44" i="23" l="1"/>
  <c r="C45" i="23" s="1"/>
  <c r="G2" i="23"/>
  <c r="F2" i="23" s="1"/>
</calcChain>
</file>

<file path=xl/sharedStrings.xml><?xml version="1.0" encoding="utf-8"?>
<sst xmlns="http://schemas.openxmlformats.org/spreadsheetml/2006/main" count="5572" uniqueCount="329">
  <si>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</si>
  <si>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</si>
  <si>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</si>
  <si>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</si>
  <si>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</si>
  <si>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</si>
  <si>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</si>
  <si>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</si>
  <si>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</si>
  <si>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</si>
  <si>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</si>
  <si>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</si>
  <si>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</si>
  <si>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</si>
  <si>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</si>
  <si>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</si>
  <si>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</si>
  <si>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</si>
  <si>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</si>
  <si>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</si>
  <si>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</si>
  <si>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</si>
  <si>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</si>
  <si>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</si>
  <si>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</si>
  <si>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</si>
  <si>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</si>
  <si>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</si>
  <si>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</si>
  <si>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</si>
  <si>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</si>
  <si>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</si>
  <si>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</si>
  <si>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</si>
  <si>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</si>
  <si>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</si>
  <si>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</si>
  <si>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</si>
  <si>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</si>
  <si>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</si>
  <si>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</si>
  <si>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</si>
  <si>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</si>
  <si>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</si>
  <si>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</si>
  <si>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</si>
  <si>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</si>
  <si>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</si>
  <si>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</si>
  <si>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</si>
  <si>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</si>
  <si>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</si>
  <si>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</si>
  <si>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</si>
  <si>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</si>
  <si>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</si>
  <si>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</si>
  <si>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</si>
  <si>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</si>
  <si>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</si>
  <si>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</si>
  <si>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</si>
  <si>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</si>
  <si>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</si>
  <si>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</si>
  <si>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</si>
  <si>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</si>
  <si>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</si>
  <si>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</si>
  <si>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</si>
  <si>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</si>
  <si>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</si>
  <si>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</si>
  <si>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</si>
  <si>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</si>
  <si>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</si>
  <si>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</si>
  <si>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</si>
  <si>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</si>
  <si>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</si>
  <si>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</si>
  <si>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</si>
  <si>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</si>
  <si>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</si>
  <si>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</si>
  <si>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</si>
  <si>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</si>
  <si>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</si>
  <si>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</si>
  <si>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</si>
  <si>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</si>
  <si>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</si>
  <si>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</si>
  <si>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</si>
  <si>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</si>
  <si>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</si>
  <si>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</si>
  <si>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</si>
  <si>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</si>
  <si>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</si>
  <si>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</si>
  <si>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</si>
  <si>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</si>
  <si>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</si>
  <si>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</si>
  <si>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</si>
  <si>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</si>
  <si>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</si>
  <si>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</si>
  <si>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</si>
  <si>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</si>
  <si>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</si>
  <si>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</si>
  <si>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</si>
  <si>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</si>
  <si>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</si>
  <si>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</si>
  <si>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</si>
  <si>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</si>
  <si>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</si>
  <si>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</si>
  <si>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</si>
  <si>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</si>
  <si>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</si>
  <si>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</si>
  <si>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</si>
  <si>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</si>
  <si>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</si>
  <si>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</si>
  <si>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</si>
  <si>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</si>
  <si>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</si>
  <si>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</si>
  <si>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</si>
  <si>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</si>
  <si>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</si>
  <si>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</si>
  <si>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</si>
  <si>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</si>
  <si>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</si>
  <si>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</si>
  <si>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</si>
  <si>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</si>
  <si>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</si>
  <si>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</si>
  <si>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</si>
  <si>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</si>
  <si>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</si>
  <si>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</si>
  <si>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</si>
  <si>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</si>
  <si>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</si>
  <si>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</si>
  <si>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</si>
  <si>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</si>
  <si>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</si>
  <si>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</si>
  <si>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</si>
  <si>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</si>
  <si>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</si>
  <si>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</si>
  <si>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</si>
  <si>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</si>
  <si>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</si>
  <si>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</si>
  <si>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</si>
  <si>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</si>
  <si>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</si>
  <si>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</si>
  <si>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</si>
  <si>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</si>
  <si>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</si>
  <si>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</si>
  <si>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</si>
  <si>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</si>
  <si>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</si>
  <si>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</si>
  <si>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</si>
  <si>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</si>
  <si>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</si>
  <si>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</si>
  <si>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</si>
  <si>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</si>
  <si>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</si>
  <si>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</si>
  <si>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</si>
  <si>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</si>
  <si>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</si>
  <si>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</si>
  <si>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</si>
  <si>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</si>
  <si>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</si>
  <si>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</si>
  <si>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</si>
  <si>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</si>
  <si>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</si>
  <si>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</si>
  <si>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</si>
  <si>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</si>
  <si>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</si>
  <si>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</si>
  <si>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</si>
  <si>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</si>
  <si>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</si>
  <si>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</si>
  <si>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</si>
  <si>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</si>
  <si>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</si>
  <si>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</si>
  <si>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</si>
  <si>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</si>
  <si>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</si>
  <si>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</si>
  <si>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</si>
  <si>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</si>
  <si>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</si>
  <si>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</si>
  <si>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</si>
  <si>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</si>
  <si>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</si>
  <si>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</si>
  <si>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</si>
  <si>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</si>
  <si>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</si>
  <si>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</si>
  <si>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</si>
  <si>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</si>
  <si>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</si>
  <si>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</si>
  <si>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</si>
  <si>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</si>
  <si>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</si>
  <si>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</si>
  <si>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</si>
  <si>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</si>
  <si>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</si>
  <si>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</si>
  <si>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</si>
  <si>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</si>
  <si>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</si>
  <si>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</si>
  <si>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</si>
  <si>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</si>
  <si>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</si>
  <si>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</si>
  <si>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</si>
  <si>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</si>
  <si>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</si>
  <si>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</si>
  <si>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</si>
  <si>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</si>
  <si>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</si>
  <si>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</si>
  <si>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</si>
  <si>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</si>
  <si>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</si>
  <si>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</si>
  <si>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</si>
  <si>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</si>
  <si>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</si>
  <si>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</si>
  <si>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</si>
  <si>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</si>
  <si>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</si>
  <si>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</si>
  <si>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</si>
  <si>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</si>
  <si>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</si>
  <si>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</si>
  <si>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</si>
  <si>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</si>
  <si>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</si>
  <si>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</si>
  <si>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</si>
  <si>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</si>
  <si>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</si>
  <si>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</si>
  <si>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</si>
  <si>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</si>
  <si>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</si>
  <si>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</si>
  <si>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</si>
  <si>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</si>
  <si>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</si>
  <si>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</si>
  <si>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</si>
  <si>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</si>
  <si>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</si>
  <si>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</si>
  <si>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</si>
  <si>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</si>
  <si>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</si>
  <si>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</si>
  <si>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</si>
  <si>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</si>
  <si>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</si>
  <si>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</si>
  <si>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</si>
  <si>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</si>
  <si>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</si>
  <si>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Mrd m3 [2035] AP</t>
  </si>
  <si>
    <t>GWh [2035] AP</t>
  </si>
  <si>
    <t>GWh [2035] SP</t>
  </si>
  <si>
    <t>Mrd m3 [2035] SP</t>
  </si>
  <si>
    <t>Mil m3 [2024]</t>
  </si>
  <si>
    <t>Mil m3 EU [2024]</t>
  </si>
  <si>
    <t>Stated Policy</t>
  </si>
  <si>
    <t>non EU</t>
  </si>
  <si>
    <t>NO_LNG</t>
  </si>
  <si>
    <t>Alexandria</t>
  </si>
  <si>
    <t>NO from Hammerfest</t>
  </si>
  <si>
    <t>https://www.iea.org/countries/Morocco/natural-gas</t>
  </si>
  <si>
    <t>used https://unit-converter.gasunie.nl/ for conversion of 3141 TJ to 0,09 Mrd m3</t>
  </si>
  <si>
    <t>https://www.ins.tn/sites/default/files-ftp3/files/publication/pdf/BMS%20Janvier%202020_0.pdf</t>
  </si>
  <si>
    <t>summed all the individual monthly values for Natural Gas production in page 19</t>
  </si>
  <si>
    <t>Population 2019 [Tsd]</t>
  </si>
  <si>
    <t>sum of values in "6.2 GAZ NATUREL - Consommation", used conversion factor of 1 mil tonnes of oil equivalent (TOE in english, TEP in french) equals 1 milliard cubic meters of naturgal gas (from Energy Insititute's Statistical Review of World Energy)</t>
  </si>
  <si>
    <t>Assumption, same as MA to ES, based on later years</t>
  </si>
  <si>
    <t>based on later years as it is lower than in the capacity map</t>
  </si>
  <si>
    <t>Assumption, same as TN to IT, based on later years</t>
  </si>
  <si>
    <t>same as later years</t>
  </si>
  <si>
    <t>based on later years</t>
  </si>
  <si>
    <t>pre war, open for transit</t>
  </si>
  <si>
    <t>Blue Stream only, GEM (source)</t>
  </si>
  <si>
    <t>pre war, GEM (source)</t>
  </si>
  <si>
    <t>reduced by additional capacity in 2020, GEM (Source)</t>
  </si>
  <si>
    <t>pre war capacity</t>
  </si>
  <si>
    <t>based on GEM (Source)</t>
  </si>
  <si>
    <t>Mrd m3 EU [2020]2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</si>
</sst>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  <family val="2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  <family val="2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2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0" fontId="0" fillId="0" borderId="2" xfId="0" applyBorder="1"/>
    <xf numFmtId="0" fontId="2" fillId="0" borderId="0" xfId="41"/>
    <xf numFmtId="0" fontId="0" fillId="0" borderId="0" xfId="0" applyAlignment="1">
      <alignment horizontal="right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</cellXfs>
  <cellStyles count="42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" xfId="41" builtinId="8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34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376DE1D-BA13-624D-9E04-C3BE0CFD703D}" name="Table224" displayName="Table224" ref="A1:G42" totalsRowShown="0">
  <autoFilter ref="A1:G42" xr:uid="{9376DE1D-BA13-624D-9E04-C3BE0CFD703D}"/>
  <sortState xmlns:xlrd2="http://schemas.microsoft.com/office/spreadsheetml/2017/richdata2" ref="A2:C40">
    <sortCondition ref="B1:B40"/>
  </sortState>
  <tableColumns count="7">
    <tableColumn id="1" xr3:uid="{4EA90B67-C1EA-3F49-80BD-F698B4BB1753}" name="Country"/>
    <tableColumn id="2" xr3:uid="{DE488C4E-BA4D-1C47-919F-17B200DC8E8E}" name="Long_name"/>
    <tableColumn id="3" xr3:uid="{40424F55-FF29-C846-9670-45BDC1946AF7}" name="Mrd m3 [2020]" dataDxfId="133"/>
    <tableColumn id="5" xr3:uid="{CE68E676-D995-F544-BEB7-55E7188768DB}" name="Mil m3 EU [2020]" dataDxfId="132"/>
    <tableColumn id="6" xr3:uid="{9428BA11-0FA4-4E43-B422-05EB8A043647}" name="Mrd m3 EU [2020]2" dataDxfId="131">
      <calculatedColumnFormula>Table224[[#This Row],[Mil m3 EU '[2020']]]/1000</calculatedColumnFormula>
    </tableColumn>
    <tableColumn id="7" xr3:uid="{444B9436-1239-F240-B4BF-1A913EC4CFF6}" name="GWh [2020]" dataDxfId="130">
      <calculatedColumnFormula>Table224[[#This Row],[TWh '[2020']]]*1000</calculatedColumnFormula>
    </tableColumn>
    <tableColumn id="4" xr3:uid="{5EF9A97F-15E9-B540-80E9-F7A73E08637D}" name="TWh [2020]" dataDxfId="129">
      <calculatedColumnFormula>IF(Table224[[#This Row],[Mil m3 EU '[2020']]]&gt;0,Table224[[#This Row],[Mrd m3 EU '[2020']2]],Table224[[#This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048BCD9-5248-F845-A865-B0D8AE3995E8}" name="Table725" displayName="Table725" ref="A1:G17" totalsRowShown="0" headerRowDxfId="128" headerRowBorderDxfId="127" tableBorderDxfId="126">
  <autoFilter ref="A1:G17" xr:uid="{E6071428-9756-478B-B239-1474A97B9EF4}"/>
  <tableColumns count="7">
    <tableColumn id="1" xr3:uid="{A255C403-77A0-0149-952F-A878846F39C1}" name="Country"/>
    <tableColumn id="2" xr3:uid="{923C0F82-BEBC-E940-A917-C4E2F7D4734E}" name="Long_name"/>
    <tableColumn id="3" xr3:uid="{FFD27A1A-A51B-1C48-8D57-2446CC1CEFBF}" name="Mrd m3 [2020]"/>
    <tableColumn id="4" xr3:uid="{78BA9F62-196E-484F-9DEC-52A98B938429}" name="Mil m3 [2020]"/>
    <tableColumn id="5" xr3:uid="{1E9161F2-5CB8-5841-990F-B983C48048E4}" name="Mrd m3 [2020]2" dataDxfId="125">
      <calculatedColumnFormula>Table725[[#This Row],[Mil m3 '[2020']]]/1000</calculatedColumnFormula>
    </tableColumn>
    <tableColumn id="7" xr3:uid="{81E6D352-CF73-E24E-8012-656B58D4230F}" name="GWh [2020]" dataDxfId="124">
      <calculatedColumnFormula>Table725[[#This Row],[TWh '[2020']]]*1000</calculatedColumnFormula>
    </tableColumn>
    <tableColumn id="6" xr3:uid="{8E2D017E-D664-6848-A8DA-CC37D1BE073D}" name="TWh [2020]" dataDxfId="123">
      <calculatedColumnFormula>IF(Table725[[#This Row],[Mil m3 '[2020']]]&gt;0,Table725[[#This Row],[Mrd m3 '[2020']2]],Table725[[#This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22"/>
    <tableColumn id="5" xr3:uid="{4278F9D8-E46F-44B9-A622-727B8E2C8EF1}" name="Mil m3 EU [2020]" dataDxfId="121"/>
    <tableColumn id="6" xr3:uid="{F2BDB73C-713D-4BC7-B762-048AA072F297}" name="Mrd m3 EU [2020]" dataDxfId="120">
      <calculatedColumnFormula>Table2[[#This Row],[Mil m3 EU '[2020']]]/1000</calculatedColumnFormula>
    </tableColumn>
    <tableColumn id="7" xr3:uid="{337F5DC2-FD6B-445B-A2F7-5464B34B589E}" name="GWh [2020]" dataDxfId="119">
      <calculatedColumnFormula>Table2[[#This Row],[TWh '[2020']2]]*1000</calculatedColumnFormula>
    </tableColumn>
    <tableColumn id="4" xr3:uid="{5BB2DA97-8C23-44BC-9268-BDBE2BCDBBC8}" name="TWh [2020]2" dataDxfId="11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117" headerRowBorderDxfId="116" tableBorderDxfId="115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114">
      <calculatedColumnFormula>Table7[[#This Row],[Mil m3 '[2020']]]/1000</calculatedColumnFormula>
    </tableColumn>
    <tableColumn id="7" xr3:uid="{4A1E0E2A-2ECC-45EB-9D63-EC01B197BAA8}" name="GWh [2020]" dataDxfId="113">
      <calculatedColumnFormula>Table7[[#This Row],[TWh '[2020']2]]*1000</calculatedColumnFormula>
    </tableColumn>
    <tableColumn id="6" xr3:uid="{ECFA587C-DE79-4510-9945-328AB8DBC35F}" name="TWh [2020]2" dataDxfId="112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111"/>
    <tableColumn id="5" xr3:uid="{42F1A333-D727-4655-B618-A9AB5617745F}" name="Mil m3 EU [2020]" dataDxfId="110"/>
    <tableColumn id="6" xr3:uid="{326B3A9A-70B2-4D34-8E01-54CBBD0565E6}" name="Mrd m3 EU [2020]" dataDxfId="109">
      <calculatedColumnFormula>Table26[[#This Row],[Mil m3 EU '[2020']]]/1000</calculatedColumnFormula>
    </tableColumn>
    <tableColumn id="7" xr3:uid="{7EF7045A-D72E-40AA-A523-1A389D57AAF5}" name="GWh [2020]" dataDxfId="108">
      <calculatedColumnFormula>Table26[[#This Row],[TWh '[2020']]]*1000</calculatedColumnFormula>
    </tableColumn>
    <tableColumn id="4" xr3:uid="{DC1916A1-B3CC-4586-AE6D-12CF46A9C0F0}" name="TWh [2020]" dataDxfId="107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106" headerRowBorderDxfId="105" tableBorderDxfId="104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103">
      <calculatedColumnFormula>Table79[[#This Row],[Mil m3 '[2020']]]/1000</calculatedColumnFormula>
    </tableColumn>
    <tableColumn id="7" xr3:uid="{A1AF1224-2FA6-47E0-9ECD-AB8B46DF628B}" name="GWh [2020]" dataDxfId="102">
      <calculatedColumnFormula>Table79[[#This Row],[TWh '[2020']]]*1000</calculatedColumnFormula>
    </tableColumn>
    <tableColumn id="6" xr3:uid="{0CF67BB6-4E02-4893-BB83-4858F32AB909}" name="TWh [2020]" dataDxfId="101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D9E5571-1845-4A9F-9E7C-B667F6A8C670}" name="Table2620" displayName="Table2620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372275E9-F8BA-48D2-ACA0-A4A1A54CB9AA}" name="Country"/>
    <tableColumn id="2" xr3:uid="{82057241-5F95-4876-AE25-27D76578972D}" name="Long_name"/>
    <tableColumn id="3" xr3:uid="{87A0EF48-52CD-4413-BE4C-7A6E497EBCAC}" name="Mrd m3 [2035] SP" dataDxfId="100"/>
    <tableColumn id="5" xr3:uid="{6BE9D8BC-17DF-46B0-904B-E214536BC73C}" name="Mil m3 EU [2024]" dataDxfId="99"/>
    <tableColumn id="6" xr3:uid="{88443DA7-833C-4668-ABC7-6640612488C4}" name="Mrd m3 EU [2020]" dataDxfId="98"/>
    <tableColumn id="7" xr3:uid="{64FD0380-738D-4F61-AAEA-FA6952811E43}" name="GWh [2020]" dataDxfId="97">
      <calculatedColumnFormula>Table2620[[#This Row],[TWh '[2020']]]*1000</calculatedColumnFormula>
    </tableColumn>
    <tableColumn id="4" xr3:uid="{920F5378-329F-48CE-AB35-E8FBBE6E4295}" name="TWh [2020]" dataDxfId="96">
      <calculatedColumnFormula>(Table2620[[#This Row],[Mrd m3 '[2035'] SP]])*9.77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735A1A2-A9D6-4626-8E5A-A0290FCFFE36}" name="Table262021" displayName="Table262021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483DC4F-74A0-4FD7-965D-2CF2BE907B9E}" name="Country"/>
    <tableColumn id="2" xr3:uid="{79BB7EB0-D282-4AEF-A564-63421732A219}" name="Long_name"/>
    <tableColumn id="3" xr3:uid="{FF87377E-E2DA-4047-84FC-189C87065CD1}" name="Mrd m3 [2035] SP" dataDxfId="95"/>
    <tableColumn id="5" xr3:uid="{31D61434-4BE8-4DF8-919D-0B08C9C85FF9}" name="Mil m3 EU [2024]" dataDxfId="94"/>
    <tableColumn id="6" xr3:uid="{791C1399-23F6-4DDC-8608-02DCF3203E4D}" name="Mrd m3 EU [2020]" dataDxfId="93"/>
    <tableColumn id="7" xr3:uid="{C7B33927-885B-433C-9C92-1A5BB72E75AE}" name="GWh [2020]" dataDxfId="92">
      <calculatedColumnFormula>Table262021[[#This Row],[TWh '[2020']]]*1000</calculatedColumnFormula>
    </tableColumn>
    <tableColumn id="4" xr3:uid="{5CDEC814-A327-4D11-A6C7-3DEC6EA2D16D}" name="TWh [2020]" dataDxfId="91">
      <calculatedColumnFormula>(Table262021[[#This Row],[Mrd m3 '[2035'] SP]])*9.77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B215816-2FDA-4829-AC16-2EE92DD94CC3}" name="Table7919" displayName="Table7919" ref="A1:G17" totalsRowShown="0" headerRowDxfId="90" headerRowBorderDxfId="89" tableBorderDxfId="88">
  <autoFilter ref="A1:G17" xr:uid="{FA14358E-0A26-44DE-ADCA-3F13E2A3D0D9}"/>
  <tableColumns count="7">
    <tableColumn id="1" xr3:uid="{B2335C45-F098-43ED-B93A-E5FB5EF8509D}" name="Country"/>
    <tableColumn id="2" xr3:uid="{154B3C8E-B922-470F-AE16-75ED247FB778}" name="Long_name"/>
    <tableColumn id="3" xr3:uid="{2680A50A-41AA-4265-9E71-910C95E8A40D}" name="Mrd m3 [2020]"/>
    <tableColumn id="4" xr3:uid="{6E87E63F-505E-420A-A1BB-88EED1DA4433}" name="Mil m3 [2024]"/>
    <tableColumn id="5" xr3:uid="{A4F80785-5D31-4DEB-8C9A-B8678AC91976}" name="Mrd m3 [2020]2" dataDxfId="87"/>
    <tableColumn id="7" xr3:uid="{5E4FB509-2E7C-4F35-ABA3-27B44D26F2A0}" name="GWh [2020]" dataDxfId="86">
      <calculatedColumnFormula>Table7919[[#This Row],[TWh '[2020']]]*1000</calculatedColumnFormula>
    </tableColumn>
    <tableColumn id="6" xr3:uid="{404CEA6B-9B54-4634-86D8-4FC47FBC55CD}" name="TWh [2020]" dataDxfId="85">
      <calculatedColumnFormula>(Table7919[[#This Row],[Mrd m3 '[2020']]])*9.77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149CC43-E2DC-BD4F-9E97-E75A04040B5C}" name="Table126" displayName="Table126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4489F77B-7E3D-6B40-999F-0A5CFAAD43D0}" name="Country"/>
    <tableColumn id="2" xr3:uid="{ED6C7C95-39E5-C744-B5E7-2363DA50B5F7}" name="Long_name"/>
    <tableColumn id="3" xr3:uid="{480BAFC6-8BED-3B47-93A3-FFC4E41F5BDF}" name="Mrd m3 [2020]" dataDxfId="84"/>
    <tableColumn id="4" xr3:uid="{5500BCB9-3E14-4C44-A98A-BF3DBD011C25}" name="TWh [2020]" dataDxfId="83">
      <calculatedColumnFormula>Table126[[#This Row],[Mrd m3 '[2020']]]*9.77*-1</calculatedColumnFormula>
    </tableColumn>
    <tableColumn id="5" xr3:uid="{88D78A88-5D7E-CD41-AD80-CBB8F276CCA0}" name="Population 2019 [Tsd]"/>
    <tableColumn id="6" xr3:uid="{895AA06E-8015-F44E-8A03-C29DA4E1A648}" name="TWh by share" dataDxfId="82">
      <calculatedColumnFormula>IF(Table126[[#This Row],[TWh '[2020']]]=0,$D$27*(E2/$E$27),0)</calculatedColumnFormula>
    </tableColumn>
    <tableColumn id="7" xr3:uid="{474AC10A-97FA-2941-AAF0-7C38AC898810}" name="GWh [2020]" dataDxfId="81">
      <calculatedColumnFormula>MIN(Table126[[#This Row],[TWh '[2020']]],Table126[[#This Row],[TWh by share]])*1000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80"/>
    <tableColumn id="4" xr3:uid="{1618AAC4-0782-47C3-91CE-2FEB95FBDD58}" name="TWh [2020]" dataDxfId="79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78">
      <calculatedColumnFormula>IF(Table1[[#This Row],[TWh '[2020']]]=0,$D$27*(E2/$E$27),0)</calculatedColumnFormula>
    </tableColumn>
    <tableColumn id="7" xr3:uid="{53C148C2-CAF7-47BC-9950-964805B82325}" name="GWh [2020]" dataDxfId="77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76"/>
    <tableColumn id="4" xr3:uid="{60E83C2D-D521-4D6A-800D-160C3176DFC7}" name="TWh [2023]" dataDxfId="75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74">
      <calculatedColumnFormula>MIN(Table15[[#This Row],[TWh '[2023']]],Table15[[#This Row],[TWh by share]])*1000</calculatedColumnFormula>
    </tableColumn>
    <tableColumn id="6" xr3:uid="{EA1A4D0E-E13A-491B-8024-93E1A98AD8DD}" name="TWh by share" dataDxfId="7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 SP" dataDxfId="72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71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70"/>
    <tableColumn id="4" xr3:uid="{CFF2A961-5340-417B-A68C-5AA0571EECB8}" name="TWh [2023]" dataDxfId="69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68">
      <calculatedColumnFormula>MIN(Table1515[[#This Row],[TWh '[2023']]],Table1515[[#This Row],[TWh by share]])*1000</calculatedColumnFormula>
    </tableColumn>
    <tableColumn id="10" xr3:uid="{C231D16E-346D-4A6C-BDE3-02DCD7F98838}" name="GWh [2035] SP" dataDxfId="67">
      <calculatedColumnFormula>Table1515[[#This Row],[Mrd m3 '[2035'] SP]]*9.77*-1000</calculatedColumnFormula>
    </tableColumn>
    <tableColumn id="12" xr3:uid="{B7100D75-BF53-4B84-BEA5-5B8213EA443B}" name="GWh [2035] AP" dataDxfId="66">
      <calculatedColumnFormula>Table1515[[#This Row],[Mrd m3 '[2035'] AP]]*9.77*-1000</calculatedColumnFormula>
    </tableColumn>
    <tableColumn id="6" xr3:uid="{38428858-BB77-4254-A9E7-787AC7919612}" name="TWh by share" dataDxfId="65">
      <calculatedColumnFormula>IF(Table1515[[#This Row],[TWh '[2023']]]=0,$F$27*(G2/$G$27),0)</calculatedColumnFormula>
    </tableColumn>
    <tableColumn id="9" xr3:uid="{062339C5-9866-4A10-AB51-65D785DCAE56}" name="EU" dataDxfId="6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08528CF-29A5-43E5-A727-2B7CE8FC12B4}" name="Table1517" displayName="Table1517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CA354A90-14CD-497C-B488-7AEC84647A3E}" name="Country"/>
    <tableColumn id="2" xr3:uid="{8DE20B36-5C6F-46B2-80C9-98806D0DE7C8}" name="Long_name"/>
    <tableColumn id="3" xr3:uid="{F7413FD2-EBE6-4DD0-9ECA-4E33D07269BA}" name="GWh [2035] SP" dataDxfId="63">
      <calculatedColumnFormula>Table1515[[#This Row],[GWh '[2035'] SP]]</calculatedColumnFormula>
    </tableColumn>
    <tableColumn id="4" xr3:uid="{B0F52B8B-7854-4A88-A627-18C628B9FFAB}" name="TWh [2023]" dataDxfId="62">
      <calculatedColumnFormula>Table1517[[#This Row],[GWh '[2035'] SP]]/1000</calculatedColumnFormula>
    </tableColumn>
    <tableColumn id="5" xr3:uid="{F2B47B18-6912-445C-AA80-0884F2982CF7}" name="Population 2020 [Tsd]"/>
    <tableColumn id="7" xr3:uid="{479DE42A-4BF3-4462-BF4B-2B4124E58CD6}" name="GWh [2020]" dataDxfId="61">
      <calculatedColumnFormula>Table1517[[#This Row],[TWh '[2023']]]*1000</calculatedColumnFormula>
    </tableColumn>
    <tableColumn id="6" xr3:uid="{3EC6FD5C-175B-4AEC-9875-DCE8BEBC18DA}" name="TWh by share" dataDxfId="60">
      <calculatedColumnFormula>IF(Table1517[[#This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8BCB4D-A741-4972-B206-458AA294EC20}" name="Table151718" displayName="Table151718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525F5FD4-F46E-4308-AA80-F6754BF33842}" name="Country"/>
    <tableColumn id="2" xr3:uid="{EE4F2458-B9D9-4284-9A97-E1F2DBBADABD}" name="Long_name"/>
    <tableColumn id="3" xr3:uid="{4BCACEF1-2365-46F5-80EF-FF82C7864181}" name="GWh [2035] SP" dataDxfId="59">
      <calculatedColumnFormula>Table1515[[#This Row],[GWh '[2035'] AP]]</calculatedColumnFormula>
    </tableColumn>
    <tableColumn id="4" xr3:uid="{242F6F74-7D77-4BEA-9D4C-482848363307}" name="TWh [2023]" dataDxfId="58">
      <calculatedColumnFormula>Table151718[[#This Row],[GWh '[2035'] SP]]/1000</calculatedColumnFormula>
    </tableColumn>
    <tableColumn id="5" xr3:uid="{351CAF98-30C7-4411-A6AE-C7305BC7E6B7}" name="Population 2020 [Tsd]"/>
    <tableColumn id="7" xr3:uid="{B08E4D2A-92D2-4C87-BFBE-D74D0C85B64C}" name="GWh [2020]" dataDxfId="57">
      <calculatedColumnFormula>Table151718[[#This Row],[TWh '[2023']]]*1000</calculatedColumnFormula>
    </tableColumn>
    <tableColumn id="6" xr3:uid="{F133F4B6-959B-4931-9BF3-538BD68B0E51}" name="TWh by share" dataDxfId="56">
      <calculatedColumnFormula>IF(Table151718[[#This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55" headerRowBorderDxfId="54" tableBorderDxfId="53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52">
      <calculatedColumnFormula>Table7910[[#This Row],[Mil m3 '[2020']]]/1000</calculatedColumnFormula>
    </tableColumn>
    <tableColumn id="7" xr3:uid="{95C698CF-3EBE-40E8-840D-A6C3E41CFB2C}" name="GWh [2020]" dataDxfId="51">
      <calculatedColumnFormula>Table7910[[#This Row],[TWh '[2020']]]*1000</calculatedColumnFormula>
    </tableColumn>
    <tableColumn id="6" xr3:uid="{44160680-3C35-4A7A-9677-B7F78304684A}" name="TWh [2020]" dataDxfId="50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A734C83-A3FC-1B48-B23D-DCF1ABCAC446}" name="Table791028" displayName="Table791028" ref="A1:G22" totalsRowShown="0" headerRowDxfId="49" headerRowBorderDxfId="48" tableBorderDxfId="47">
  <autoFilter ref="A1:G22" xr:uid="{2521D055-B007-41DB-BE6E-1CB7426AD04E}"/>
  <tableColumns count="7">
    <tableColumn id="1" xr3:uid="{96F9D675-7256-9548-A428-311E909136A4}" name="Country"/>
    <tableColumn id="2" xr3:uid="{124C11A7-4DFC-5948-A199-975ABC0AEF7A}" name="Long_name"/>
    <tableColumn id="3" xr3:uid="{0914DDA8-8934-4F4A-8B46-640C3B973A1D}" name="Mrd m3 [2020]"/>
    <tableColumn id="4" xr3:uid="{EF70BB4A-CEE2-2449-AC67-0D0F88B3ED5D}" name="Mil m3 [2020]"/>
    <tableColumn id="5" xr3:uid="{7FA62D69-F373-DD4F-B89C-E6869397A85D}" name="Mrd m3 [2020]2" dataDxfId="46">
      <calculatedColumnFormula>Table791028[[#This Row],[Mil m3 '[2020']]]/1000</calculatedColumnFormula>
    </tableColumn>
    <tableColumn id="7" xr3:uid="{12CA027F-55E7-0848-B901-45DB1F90674E}" name="GWh [2020]" dataDxfId="45">
      <calculatedColumnFormula>Table791028[[#This Row],[TWh '[2020']]]*1000</calculatedColumnFormula>
    </tableColumn>
    <tableColumn id="6" xr3:uid="{AD4B7D3C-301E-CF4D-9ECD-2BA1C009652D}" name="TWh [2020]" dataDxfId="44">
      <calculatedColumnFormula>IF(Table791028[[#This Row],[Mil m3 '[2020']]]&gt;0,Table791028[[#This Row],[Mrd m3 '[2020']2]],Table791028[[#This Row],[Mrd m3 '[2020']]])*9.77*(-1)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43" headerRowBorderDxfId="42" tableBorderDxfId="41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40">
      <calculatedColumnFormula>Table791011[[#This Row],[Mil m3 '[2020']]]/1000</calculatedColumnFormula>
    </tableColumn>
    <tableColumn id="7" xr3:uid="{800E9158-5DB0-43C4-A644-BF3466322E9E}" name="GWh [2020]" dataDxfId="39">
      <calculatedColumnFormula>Table791011[[#This Row],[TWh '[2020']]]*1000</calculatedColumnFormula>
    </tableColumn>
    <tableColumn id="6" xr3:uid="{28EBAF35-966D-44B9-8859-9AC70136DAAC}" name="TWh [2020]" dataDxfId="3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2" totalsRowShown="0" headerRowDxfId="37" headerRowBorderDxfId="36" tableBorderDxfId="35">
  <autoFilter ref="A1:G22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35]"/>
    <tableColumn id="4" xr3:uid="{056327DC-03D3-42F1-9E67-77A2986E3E1D}" name="values 2024"/>
    <tableColumn id="5" xr3:uid="{045572F5-912C-4B6C-8BCA-CCE183AD4A4E}" name="Mrd m3 [2020]2" dataDxfId="34">
      <calculatedColumnFormula>Table79101116[[#This Row],[values 2024]]/1000</calculatedColumnFormula>
    </tableColumn>
    <tableColumn id="7" xr3:uid="{DA064D9E-1168-4CB6-B3AA-E50FAC653181}" name="GWh [2020]" dataDxfId="33">
      <calculatedColumnFormula>Table79101116[[#This Row],[TWh '[2020']]]*1000</calculatedColumnFormula>
    </tableColumn>
    <tableColumn id="6" xr3:uid="{EAF9FC8E-89CB-4295-BD8E-F84762361F50}" name="TWh [2020]" dataDxfId="32">
      <calculatedColumnFormula>Table79101116[[#This Row],[Mrd m3 '[2035']]]*9.77*(-1)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C9A6AD8-E06C-D046-A2A1-CB7B6439CC71}" name="Table329" displayName="Table329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9343813-41E4-A641-8070-D67ABD64BE0A}" name="From"/>
    <tableColumn id="2" xr3:uid="{ACE05D0C-4E30-D74A-92C2-F973C8BB52B6}" name="To"/>
    <tableColumn id="3" xr3:uid="{8ED81F2C-2D22-F744-B283-1E89EB88A242}" name="GWh/d [capacity map]"/>
    <tableColumn id="6" xr3:uid="{5195E297-94C2-0645-B87C-EC1A27BB9F99}" name="GWh/d [gasdashboard]" dataDxfId="31"/>
    <tableColumn id="7" xr3:uid="{BA9104A7-0F21-764E-9BBD-AC74D83C7439}" name="GWh/d [transparency map]" dataDxfId="30"/>
    <tableColumn id="4" xr3:uid="{9FFECE37-B748-7342-A5CB-C4979434A80F}" name="GWh/a" dataDxfId="29">
      <calculatedColumnFormula>MIN(Table329[[#This Row],[GWh/d '[capacity map']]:[GWh/d '[transparency map']]])*365</calculatedColumnFormula>
    </tableColumn>
    <tableColumn id="5" xr3:uid="{6E249BB4-5D70-7943-B2C0-4E614A3FBCDE}" name="TWh/a">
      <calculatedColumnFormula>F2/1000</calculatedColumnFormula>
    </tableColumn>
    <tableColumn id="8" xr3:uid="{0A79DAF6-3668-8441-8B38-3A54FCA22866}" name="Commen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28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27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D9CE3872-8265-4657-B167-1984CE10B520}" name="Table3722" displayName="Table3722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14D43A3-A9DC-4AF6-965B-02FF00C7431E}" name="From"/>
    <tableColumn id="2" xr3:uid="{6AA17822-F0EF-4AF6-BF1B-0984D2C5A7BB}" name="To"/>
    <tableColumn id="3" xr3:uid="{3961CA94-120C-4D7F-838A-2782DE770307}" name="GWh/d [capacity map]"/>
    <tableColumn id="6" xr3:uid="{BC96C019-BAD0-42F2-A4E0-6FC2B5CF7E7E}" name="GWh/d [gasdashboard]"/>
    <tableColumn id="7" xr3:uid="{BA51C83F-53CF-4697-8BF0-04CFAA5A3ABA}" name="GWh/d [transparency map]"/>
    <tableColumn id="4" xr3:uid="{0AF8716B-5260-42CA-B823-A9869A7B5780}" name="GWh/a" dataDxfId="26">
      <calculatedColumnFormula>MIN(Table3722[[#This Row],[GWh/d '[capacity map']]:[GWh/d '[transparency map']]])*365</calculatedColumnFormula>
    </tableColumn>
    <tableColumn id="5" xr3:uid="{94A09920-447D-4D05-850B-5DCBDB5251A4}" name="TWh/a">
      <calculatedColumnFormula>F2/1000</calculatedColumnFormula>
    </tableColumn>
    <tableColumn id="8" xr3:uid="{E47439CF-3EF2-4B89-A407-D2F9DD35CCBF}" name="Commen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25">
      <calculatedColumnFormula>C2*9.77*1000</calculatedColumnFormula>
    </tableColumn>
    <tableColumn id="5" xr3:uid="{01416B1F-02D4-4015-854F-1DF81E1DF7B6}" name="TWh/a" dataDxfId="24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B378895-57ED-AD4E-8811-E43BB6AA90EE}" name="LNG_global27" displayName="LNG_global27" ref="A1:I161" totalsRowShown="0" headerRowDxfId="23" headerRowBorderDxfId="22" tableBorderDxfId="21" totalsRowBorderDxfId="20">
  <autoFilter ref="A1:I161" xr:uid="{CA4061AA-5D26-4056-B170-4E1336D4AD38}"/>
  <sortState xmlns:xlrd2="http://schemas.microsoft.com/office/spreadsheetml/2017/richdata2" ref="A2:I161">
    <sortCondition ref="A1:A161"/>
  </sortState>
  <tableColumns count="9">
    <tableColumn id="1" xr3:uid="{EAD47311-2421-F946-A66E-74B2C1272520}" name="From"/>
    <tableColumn id="2" xr3:uid="{1CD8F772-325E-E841-899F-1237695BE277}" name="To"/>
    <tableColumn id="3" xr3:uid="{C1748780-628A-C446-9900-037E99D940B0}" name="GWh/d [capacity]"/>
    <tableColumn id="6" xr3:uid="{80A2A133-8D2D-6745-9AB0-7E839433BC7B}" name="GWh/a">
      <calculatedColumnFormula>MIN(Table37[[#This Row],[GWh/d '[capacity map']]:[GWh/d '[transparency map']]])*365</calculatedColumnFormula>
    </tableColumn>
    <tableColumn id="7" xr3:uid="{EDF1F5BF-5480-D847-9241-B6DD17D201A7}" name="TWh/a">
      <calculatedColumnFormula>D2/1000</calculatedColumnFormula>
    </tableColumn>
    <tableColumn id="5" xr3:uid="{B8560B18-F458-1D48-8E57-992A195CF954}" name="Distance [miles]"/>
    <tableColumn id="4" xr3:uid="{67FC28D9-1637-1F44-A6D5-007D6902FAF9}" name="Distance [km]" dataDxfId="19">
      <calculatedColumnFormula>LNG_global27[[#This Row],[Distance '[miles']]]*1.60934449789256</calculatedColumnFormula>
    </tableColumn>
    <tableColumn id="9" xr3:uid="{15BD6826-0224-DB4A-BFC1-6F6D7F582F74}" name="Suez or Panama" dataDxfId="18"/>
    <tableColumn id="8" xr3:uid="{814F8409-DF49-C04A-A92B-5D72A857789A}" name="Comment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7" headerRowBorderDxfId="16" tableBorderDxfId="15" totalsRowBorderDxfId="14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3">
      <calculatedColumnFormula>LNG_global[[#This Row],[Distance '[miles']]]*1.60934449789256</calculatedColumnFormula>
    </tableColumn>
    <tableColumn id="9" xr3:uid="{DD9D70F1-D00A-43D9-9F09-037C2573E34A}" name="Suez or Panama" dataDxfId="12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39" totalsRowShown="0" headerRowDxfId="11" headerRowBorderDxfId="10" tableBorderDxfId="9" totalsRowBorderDxfId="8">
  <autoFilter ref="A1:I239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7">
      <calculatedColumnFormula>LNG_global14[[#This Row],[Distance '[miles']]]*1.60934449789256</calculatedColumnFormula>
    </tableColumn>
    <tableColumn id="9" xr3:uid="{601054B1-1B08-47CB-880D-0D80ED1BD0EA}" name="Suez or Panama" dataDxfId="6"/>
    <tableColumn id="8" xr3:uid="{F8768BD8-8B11-4BD9-B074-AD5ADFFDF447}" name="Commen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B6F6EBF-837E-4C6E-87B9-22B5E7C1A32C}" name="LNG_global1423" displayName="LNG_global1423" ref="A1:I215" totalsRowShown="0" headerRowDxfId="5" headerRowBorderDxfId="4" tableBorderDxfId="3" totalsRowBorderDxfId="2">
  <autoFilter ref="A1:I215" xr:uid="{CA4061AA-5D26-4056-B170-4E1336D4AD38}"/>
  <tableColumns count="9">
    <tableColumn id="1" xr3:uid="{EAA26E2C-1949-4C4F-8D8C-2606BC6C5C27}" name="From"/>
    <tableColumn id="2" xr3:uid="{CB976402-BB40-40D7-BC93-46187489E18C}" name="To"/>
    <tableColumn id="3" xr3:uid="{BF76E879-1C69-42FE-B31C-DD385D1FF81E}" name="GWh/d [capacity]"/>
    <tableColumn id="6" xr3:uid="{597B7E35-8A8C-4D23-8D7B-F00569FF241A}" name="GWh/a">
      <calculatedColumnFormula>MIN(Table37[[#This Row],[GWh/d '[capacity map']]:[GWh/d '[transparency map']]])*365</calculatedColumnFormula>
    </tableColumn>
    <tableColumn id="7" xr3:uid="{DB1C249A-A794-4F9E-893E-7EDAD4018285}" name="TWh/a">
      <calculatedColumnFormula>D2/1000</calculatedColumnFormula>
    </tableColumn>
    <tableColumn id="5" xr3:uid="{2A3DF244-4FAE-4993-9DEA-495BB43BB92E}" name="Distance [miles]"/>
    <tableColumn id="4" xr3:uid="{BC8012D2-BA58-4D3F-BAC0-AF085B2E1A4C}" name="Distance [km]" dataDxfId="1">
      <calculatedColumnFormula>LNG_global1423[[#This Row],[Distance '[miles']]]*1.60934449789256</calculatedColumnFormula>
    </tableColumn>
    <tableColumn id="9" xr3:uid="{01A3A191-9692-4C2C-A7B3-0D2196CA510D}" name="Suez or Panama" dataDxfId="0"/>
    <tableColumn id="8" xr3:uid="{8F94EED9-C1D5-4756-ACF3-482717384D23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.tn/sites/default/files-ftp3/files/publication/pdf/BMS%20Janvier%202020_0.pdf" TargetMode="External"/><Relationship Id="rId2" Type="http://schemas.openxmlformats.org/officeDocument/2006/relationships/hyperlink" Target="https://ec.europa.eu/eurostat/databrowser/view/nrg_cb_gasm__custom_10421303/default/table?lang=en" TargetMode="External"/><Relationship Id="rId1" Type="http://schemas.openxmlformats.org/officeDocument/2006/relationships/hyperlink" Target="https://www.energyinst.org/statistical-review" TargetMode="External"/><Relationship Id="rId4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www.iea.org/countries/Morocco/natural-gas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ec.europa.eu/eurostat/statistics-explained/index.php?title=European_Neighbourhood_Policy_-_East_-_population_statistics" TargetMode="External"/><Relationship Id="rId2" Type="http://schemas.openxmlformats.org/officeDocument/2006/relationships/hyperlink" Target="https://ec.europa.eu/eurostat/documents/2995521/11081093/3-10072020-AP-EN.pdf/d2f799bf-4412-05cc-a357-7b49b93615f1" TargetMode="External"/><Relationship Id="rId1" Type="http://schemas.openxmlformats.org/officeDocument/2006/relationships/hyperlink" Target="https://ec.europa.eu/eurostat/statistics-explained/index.php?title=File:WBT23_Population,_2011-2022_(thousands).png" TargetMode="External"/><Relationship Id="rId4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hyperlink" Target="https://www.gecf.org/_resources/files/events/release-of-the-gecf-annual-statistical-bulletin-2023/gecf-asb-2023.pdf" TargetMode="External"/><Relationship Id="rId1" Type="http://schemas.openxmlformats.org/officeDocument/2006/relationships/hyperlink" Target="https://www.ins.tn/sites/default/files-ftp3/files/publication/pdf/BMS%20Janvier%202020_0.pdf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hyperlink" Target="https://www.ins.tn/sites/default/files-ftp3/files/publication/pdf/bms%20Aout%202024.pdf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gasdashboard.entsog.eu/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8C2B-1FF1-134F-9293-670021B40696}">
  <dimension ref="A1:O14"/>
  <sheetViews>
    <sheetView workbookViewId="0">
      <selection activeCell="F1" sqref="F1"/>
    </sheetView>
  </sheetViews>
  <sheetFormatPr defaultColWidth="9" defaultRowHeight="14.5"/>
  <cols>
    <col min="1" max="1" width="10.36328125" bestFit="1" customWidth="1"/>
    <col min="2" max="2" width="3.36328125" bestFit="1" customWidth="1"/>
    <col min="3" max="3" width="23.1796875" bestFit="1" customWidth="1"/>
    <col min="4" max="4" width="12.453125" bestFit="1" customWidth="1"/>
    <col min="5" max="5" width="10.6328125" bestFit="1" customWidth="1"/>
    <col min="6" max="6" width="29.6328125" bestFit="1" customWidth="1"/>
    <col min="7" max="7" width="9.1796875" bestFit="1" customWidth="1"/>
    <col min="8" max="8" width="7.1796875" bestFit="1" customWidth="1"/>
    <col min="9" max="9" width="14.81640625" bestFit="1" customWidth="1"/>
    <col min="11" max="11" width="3.36328125" bestFit="1" customWidth="1"/>
    <col min="12" max="12" width="5.1796875" bestFit="1" customWidth="1"/>
    <col min="14" max="14" width="7.36328125" bestFit="1" customWidth="1"/>
    <col min="15" max="15" width="3.36328125" bestFit="1" customWidth="1"/>
  </cols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 s="19">
        <v>11.4</v>
      </c>
      <c r="D2" s="19">
        <v>5.0999999999999996</v>
      </c>
      <c r="E2" s="1">
        <f>D2/C2</f>
        <v>0.44736842105263153</v>
      </c>
      <c r="F2" s="18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 s="19">
        <v>33</v>
      </c>
      <c r="D3" s="19">
        <v>19.600000000000001</v>
      </c>
      <c r="E3" s="1">
        <f t="shared" ref="E3:E14" si="0">D3/C3</f>
        <v>0.59393939393939399</v>
      </c>
      <c r="F3" s="18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 s="19">
        <v>7</v>
      </c>
      <c r="D4" s="19">
        <v>2.5</v>
      </c>
      <c r="E4" s="1">
        <f t="shared" si="0"/>
        <v>0.35714285714285715</v>
      </c>
      <c r="F4" s="18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 s="19">
        <v>15.95</v>
      </c>
      <c r="D5" s="19">
        <v>12.1</v>
      </c>
      <c r="E5" s="1">
        <f t="shared" si="0"/>
        <v>0.75862068965517238</v>
      </c>
      <c r="F5" s="18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 s="19">
        <v>0</v>
      </c>
      <c r="D6" s="19">
        <v>0.4</v>
      </c>
      <c r="E6" s="1" t="e">
        <f t="shared" si="0"/>
        <v>#DIV/0!</v>
      </c>
      <c r="F6" s="18">
        <v>2.6</v>
      </c>
      <c r="G6">
        <f t="shared" si="1"/>
        <v>0</v>
      </c>
      <c r="H6">
        <f t="shared" si="2"/>
        <v>0</v>
      </c>
      <c r="I6">
        <f t="shared" si="3"/>
        <v>0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 s="19">
        <v>3.75</v>
      </c>
      <c r="D7" s="19">
        <v>1.6</v>
      </c>
      <c r="E7" s="1">
        <f t="shared" si="0"/>
        <v>0.42666666666666669</v>
      </c>
      <c r="F7" s="18">
        <v>4</v>
      </c>
      <c r="G7">
        <f t="shared" si="1"/>
        <v>3.75</v>
      </c>
      <c r="H7">
        <f t="shared" si="2"/>
        <v>36637.499999999993</v>
      </c>
      <c r="I7">
        <f t="shared" si="3"/>
        <v>36.637499999999996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 s="19">
        <v>12</v>
      </c>
      <c r="D8" s="19">
        <v>8.1999999999999993</v>
      </c>
      <c r="E8" s="1">
        <f t="shared" si="0"/>
        <v>0.68333333333333324</v>
      </c>
      <c r="F8" s="1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 s="19">
        <v>6.2</v>
      </c>
      <c r="D9" s="19">
        <v>4.0999999999999996</v>
      </c>
      <c r="E9" s="1">
        <f t="shared" si="0"/>
        <v>0.66129032258064513</v>
      </c>
      <c r="F9" s="18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 s="19">
        <v>7.6</v>
      </c>
      <c r="D10" s="19">
        <v>6.1</v>
      </c>
      <c r="E10" s="1">
        <f t="shared" si="0"/>
        <v>0.80263157894736836</v>
      </c>
      <c r="F10" s="18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 s="19">
        <v>60.1</v>
      </c>
      <c r="D11" s="19">
        <v>20.9</v>
      </c>
      <c r="E11" s="1">
        <f t="shared" si="0"/>
        <v>0.3477537437603993</v>
      </c>
      <c r="F11" s="18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 s="19">
        <v>43.6</v>
      </c>
      <c r="D12" s="19">
        <v>14.8</v>
      </c>
      <c r="E12" s="1">
        <f t="shared" si="0"/>
        <v>0.33944954128440369</v>
      </c>
      <c r="F12" s="18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 s="19">
        <v>48.1</v>
      </c>
      <c r="D13" s="19">
        <v>18.600000000000001</v>
      </c>
      <c r="E13" s="1">
        <f t="shared" si="0"/>
        <v>0.38669438669438672</v>
      </c>
      <c r="F13" s="18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 s="19">
        <v>0.7</v>
      </c>
      <c r="D14" s="18"/>
      <c r="E14" s="1">
        <f t="shared" si="0"/>
        <v>0</v>
      </c>
      <c r="F14" s="18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C8" sqref="C8"/>
    </sheetView>
  </sheetViews>
  <sheetFormatPr defaultColWidth="9" defaultRowHeight="14.5"/>
  <cols>
    <col min="1" max="1" width="10.36328125" bestFit="1" customWidth="1"/>
    <col min="2" max="2" width="3.36328125" bestFit="1" customWidth="1"/>
    <col min="3" max="3" width="23.1796875" bestFit="1" customWidth="1"/>
    <col min="4" max="4" width="12.453125" bestFit="1" customWidth="1"/>
    <col min="5" max="5" width="10.6328125" bestFit="1" customWidth="1"/>
    <col min="6" max="6" width="29.6328125" bestFit="1" customWidth="1"/>
    <col min="7" max="7" width="9.1796875" bestFit="1" customWidth="1"/>
    <col min="8" max="8" width="7.1796875" bestFit="1" customWidth="1"/>
    <col min="9" max="9" width="14.81640625" bestFit="1" customWidth="1"/>
    <col min="11" max="11" width="3.36328125" bestFit="1" customWidth="1"/>
    <col min="12" max="12" width="5.1796875" bestFit="1" customWidth="1"/>
    <col min="14" max="14" width="7.36328125" bestFit="1" customWidth="1"/>
    <col min="15" max="15" width="3.36328125" bestFit="1" customWidth="1"/>
  </cols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>
        <v>3.75</v>
      </c>
      <c r="D7">
        <v>1.6</v>
      </c>
      <c r="E7" s="1">
        <f t="shared" si="0"/>
        <v>0.42666666666666669</v>
      </c>
      <c r="F7">
        <v>4</v>
      </c>
      <c r="G7">
        <f t="shared" si="1"/>
        <v>3.75</v>
      </c>
      <c r="H7">
        <f t="shared" si="2"/>
        <v>36637.499999999993</v>
      </c>
      <c r="I7">
        <f t="shared" si="3"/>
        <v>36.637499999999996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workbookViewId="0">
      <selection activeCell="E1" sqref="E1"/>
    </sheetView>
  </sheetViews>
  <sheetFormatPr defaultColWidth="8.81640625" defaultRowHeight="14.5"/>
  <cols>
    <col min="1" max="1" width="17" customWidth="1"/>
  </cols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D1" sqref="D1"/>
    </sheetView>
  </sheetViews>
  <sheetFormatPr defaultColWidth="8.81640625"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AF83-269A-1D47-AFDF-C7DFEDBCA8F1}">
  <dimension ref="A1:N49"/>
  <sheetViews>
    <sheetView workbookViewId="0">
      <selection activeCell="G2" sqref="G2"/>
    </sheetView>
  </sheetViews>
  <sheetFormatPr defaultColWidth="8.81640625" defaultRowHeight="14.5"/>
  <cols>
    <col min="1" max="1" width="9.453125" customWidth="1"/>
    <col min="2" max="2" width="19.1796875" customWidth="1"/>
    <col min="3" max="3" width="15" customWidth="1"/>
    <col min="4" max="4" width="17.1796875" customWidth="1"/>
    <col min="5" max="6" width="17.81640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328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80</v>
      </c>
      <c r="E2" s="2">
        <f>Table224[[#This Row],[Mil m3 EU '[2020']]]/1000</f>
        <v>0.08</v>
      </c>
      <c r="F2" s="2">
        <f>Table224[[#This Row],[TWh '[2020']]]*1000</f>
        <v>781.59999999999991</v>
      </c>
      <c r="G2" s="3">
        <f>IF(Table224[[#This Row],[Mil m3 EU '[2020']]]&gt;0,Table224[[#This Row],[Mrd m3 EU '[2020']2]],Table224[[#This Row],[Mrd m3 '[2020']]])*9.77</f>
        <v>0.78159999999999996</v>
      </c>
      <c r="H2" s="2"/>
      <c r="J2" t="s">
        <v>101</v>
      </c>
      <c r="M2" t="str">
        <f t="shared" ref="M2:M42" si="0">_xlfn.CONCAT(A2,$J$2)</f>
        <v>AL_Prod</v>
      </c>
      <c r="N2" t="str">
        <f>Table224[[#This Row],[Country]]</f>
        <v>AL</v>
      </c>
    </row>
    <row r="3" spans="1:14">
      <c r="A3" t="s">
        <v>49</v>
      </c>
      <c r="B3" t="s">
        <v>78</v>
      </c>
      <c r="C3" s="2">
        <v>86.952250000000006</v>
      </c>
      <c r="D3" s="2"/>
      <c r="E3" s="2">
        <f>Table224[[#This Row],[Mil m3 EU '[2020']]]/1000</f>
        <v>0</v>
      </c>
      <c r="F3" s="2">
        <f>Table224[[#This Row],[TWh '[2020']]]*1000</f>
        <v>849523.48250000004</v>
      </c>
      <c r="G3" s="3">
        <f>IF(Table224[[#This Row],[Mil m3 EU '[2020']]]&gt;0,Table224[[#This Row],[Mrd m3 EU '[2020']2]],Table224[[#This Row],[Mrd m3 '[2020']]])*9.77</f>
        <v>849.5234825</v>
      </c>
      <c r="H3" s="2"/>
      <c r="M3" t="str">
        <f t="shared" si="0"/>
        <v>DZ_Prod</v>
      </c>
      <c r="N3" t="str">
        <f>Table224[[#This Row],[Country]]</f>
        <v>DZ</v>
      </c>
    </row>
    <row r="4" spans="1:14">
      <c r="A4" t="s">
        <v>20</v>
      </c>
      <c r="B4" t="s">
        <v>57</v>
      </c>
      <c r="C4" s="2"/>
      <c r="D4" s="2">
        <v>957</v>
      </c>
      <c r="E4" s="2">
        <f>Table224[[#This Row],[Mil m3 EU '[2020']]]/1000</f>
        <v>0.95699999999999996</v>
      </c>
      <c r="F4" s="2">
        <f>Table224[[#This Row],[TWh '[2020']]]*1000</f>
        <v>9349.8899999999976</v>
      </c>
      <c r="G4" s="3">
        <f>IF(Table224[[#This Row],[Mil m3 EU '[2020']]]&gt;0,Table224[[#This Row],[Mrd m3 EU '[2020']2]],Table224[[#This Row],[Mrd m3 '[2020']]])*9.77</f>
        <v>9.3498899999999985</v>
      </c>
      <c r="H4" s="2"/>
      <c r="M4" t="str">
        <f t="shared" si="0"/>
        <v>AT_Prod</v>
      </c>
      <c r="N4" t="str">
        <f>Table224[[#This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Table224[[#This Row],[Mil m3 EU '[2020']]]/1000</f>
        <v>0</v>
      </c>
      <c r="F5" s="2">
        <f>Table224[[#This Row],[TWh '[2020']]]*1000</f>
        <v>0</v>
      </c>
      <c r="G5" s="3">
        <f>IF(Table224[[#This Row],[Mil m3 EU '[2020']]]&gt;0,Table224[[#This Row],[Mrd m3 EU '[2020']2]],Table224[[#This Row],[Mrd m3 '[2020']]])*9.77</f>
        <v>0</v>
      </c>
      <c r="H5" s="2"/>
      <c r="M5" t="str">
        <f t="shared" si="0"/>
        <v>BY_Prod</v>
      </c>
      <c r="N5" t="str">
        <f>Table224[[#This Row],[Country]]</f>
        <v>BY</v>
      </c>
    </row>
    <row r="6" spans="1:14">
      <c r="A6" t="s">
        <v>17</v>
      </c>
      <c r="B6" t="s">
        <v>0</v>
      </c>
      <c r="C6" s="2"/>
      <c r="D6" s="2">
        <v>3.91</v>
      </c>
      <c r="E6" s="2">
        <f>Table224[[#This Row],[Mil m3 EU '[2020']]]/1000</f>
        <v>3.9100000000000003E-3</v>
      </c>
      <c r="F6" s="2">
        <f>Table224[[#This Row],[TWh '[2020']]]*1000</f>
        <v>38.200700000000005</v>
      </c>
      <c r="G6" s="3">
        <f>IF(Table224[[#This Row],[Mil m3 EU '[2020']]]&gt;0,Table224[[#This Row],[Mrd m3 EU '[2020']2]],Table224[[#This Row],[Mrd m3 '[2020']]])*9.77</f>
        <v>3.8200700000000004E-2</v>
      </c>
      <c r="H6" s="2"/>
      <c r="M6" t="str">
        <f t="shared" si="0"/>
        <v>BE_Prod</v>
      </c>
      <c r="N6" t="str">
        <f>Table224[[#This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Table224[[#This Row],[Mil m3 EU '[2020']]]/1000</f>
        <v>0</v>
      </c>
      <c r="F7" s="2">
        <f>Table224[[#This Row],[TWh '[2020']]]*1000</f>
        <v>0</v>
      </c>
      <c r="G7" s="3">
        <f>IF(Table224[[#This Row],[Mil m3 EU '[2020']]]&gt;0,Table224[[#This Row],[Mrd m3 EU '[2020']2]],Table224[[#This Row],[Mrd m3 '[2020']]])*9.77</f>
        <v>0</v>
      </c>
      <c r="H7" s="2"/>
      <c r="M7" t="str">
        <f t="shared" si="0"/>
        <v>BA_Prod</v>
      </c>
      <c r="N7" t="str">
        <f>Table224[[#This Row],[Country]]</f>
        <v>BA</v>
      </c>
    </row>
    <row r="8" spans="1:14">
      <c r="A8" t="s">
        <v>32</v>
      </c>
      <c r="B8" t="s">
        <v>64</v>
      </c>
      <c r="C8" s="2"/>
      <c r="D8" s="2">
        <v>28</v>
      </c>
      <c r="E8" s="2">
        <f>Table224[[#This Row],[Mil m3 EU '[2020']]]/1000</f>
        <v>2.8000000000000001E-2</v>
      </c>
      <c r="F8" s="2">
        <f>Table224[[#This Row],[TWh '[2020']]]*1000</f>
        <v>273.55999999999995</v>
      </c>
      <c r="G8" s="3">
        <f>IF(Table224[[#This Row],[Mil m3 EU '[2020']]]&gt;0,Table224[[#This Row],[Mrd m3 EU '[2020']2]],Table224[[#This Row],[Mrd m3 '[2020']]])*9.77</f>
        <v>0.27355999999999997</v>
      </c>
      <c r="H8" s="2"/>
      <c r="M8" t="str">
        <f t="shared" si="0"/>
        <v>BG_Prod</v>
      </c>
      <c r="N8" t="str">
        <f>Table224[[#This Row],[Country]]</f>
        <v>BG</v>
      </c>
    </row>
    <row r="9" spans="1:14">
      <c r="A9" t="s">
        <v>24</v>
      </c>
      <c r="B9" t="s">
        <v>5</v>
      </c>
      <c r="C9" s="2"/>
      <c r="D9" s="2">
        <v>1069</v>
      </c>
      <c r="E9" s="2">
        <f>Table224[[#This Row],[Mil m3 EU '[2020']]]/1000</f>
        <v>1.069</v>
      </c>
      <c r="F9" s="2">
        <f>Table224[[#This Row],[TWh '[2020']]]*1000</f>
        <v>10444.129999999999</v>
      </c>
      <c r="G9" s="3">
        <f>IF(Table224[[#This Row],[Mil m3 EU '[2020']]]&gt;0,Table224[[#This Row],[Mrd m3 EU '[2020']2]],Table224[[#This Row],[Mrd m3 '[2020']]])*9.77</f>
        <v>10.444129999999999</v>
      </c>
      <c r="H9" s="2"/>
      <c r="M9" t="str">
        <f t="shared" si="0"/>
        <v>HR_Prod</v>
      </c>
      <c r="N9" t="str">
        <f>Table224[[#This Row],[Country]]</f>
        <v>HR</v>
      </c>
    </row>
    <row r="10" spans="1:14">
      <c r="A10" t="s">
        <v>28</v>
      </c>
      <c r="B10" t="s">
        <v>61</v>
      </c>
      <c r="C10" s="2"/>
      <c r="D10" s="2">
        <v>209</v>
      </c>
      <c r="E10" s="2">
        <f>Table224[[#This Row],[Mil m3 EU '[2020']]]/1000</f>
        <v>0.20899999999999999</v>
      </c>
      <c r="F10" s="2">
        <f>Table224[[#This Row],[TWh '[2020']]]*1000</f>
        <v>2041.9299999999998</v>
      </c>
      <c r="G10" s="3">
        <f>IF(Table224[[#This Row],[Mil m3 EU '[2020']]]&gt;0,Table224[[#This Row],[Mrd m3 EU '[2020']2]],Table224[[#This Row],[Mrd m3 '[2020']]])*9.77</f>
        <v>2.0419299999999998</v>
      </c>
      <c r="H10" s="2"/>
      <c r="M10" t="str">
        <f t="shared" si="0"/>
        <v>CZ_Prod</v>
      </c>
      <c r="N10" t="str">
        <f>Table224[[#This Row],[Country]]</f>
        <v>CZ</v>
      </c>
    </row>
    <row r="11" spans="1:14">
      <c r="A11" t="s">
        <v>26</v>
      </c>
      <c r="B11" t="s">
        <v>60</v>
      </c>
      <c r="C11" s="2">
        <v>3.2025567791827783</v>
      </c>
      <c r="D11" s="2">
        <v>3133</v>
      </c>
      <c r="E11" s="2">
        <f>Table224[[#This Row],[Mil m3 EU '[2020']]]/1000</f>
        <v>3.133</v>
      </c>
      <c r="F11" s="2">
        <f>Table224[[#This Row],[TWh '[2020']]]*1000</f>
        <v>30609.41</v>
      </c>
      <c r="G11" s="3">
        <f>IF(Table224[[#This Row],[Mil m3 EU '[2020']]]&gt;0,Table224[[#This Row],[Mrd m3 EU '[2020']2]],Table224[[#This Row],[Mrd m3 '[2020']]])*9.77</f>
        <v>30.60941</v>
      </c>
      <c r="H11" s="2"/>
      <c r="M11" t="str">
        <f t="shared" si="0"/>
        <v>DK_Prod</v>
      </c>
      <c r="N11" t="str">
        <f>Table224[[#This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Table224[[#This Row],[Mil m3 EU '[2020']]]/1000</f>
        <v>0</v>
      </c>
      <c r="F12" s="2">
        <f>Table224[[#This Row],[TWh '[2020']]]*1000</f>
        <v>0</v>
      </c>
      <c r="G12" s="3">
        <f>IF(Table224[[#This Row],[Mil m3 EU '[2020']]]&gt;0,Table224[[#This Row],[Mrd m3 EU '[2020']2]],Table224[[#This Row],[Mrd m3 '[2020']]])*9.77</f>
        <v>0</v>
      </c>
      <c r="H12" s="2"/>
      <c r="M12" t="str">
        <f t="shared" si="0"/>
        <v>EE_Prod</v>
      </c>
      <c r="N12" t="str">
        <f>Table224[[#This Row],[Country]]</f>
        <v>EE</v>
      </c>
    </row>
    <row r="13" spans="1:14">
      <c r="A13" t="s">
        <v>54</v>
      </c>
      <c r="B13" t="s">
        <v>85</v>
      </c>
      <c r="C13" s="2"/>
      <c r="D13" s="2">
        <v>0</v>
      </c>
      <c r="E13" s="2">
        <f>Table224[[#This Row],[Mil m3 EU '[2020']]]/1000</f>
        <v>0</v>
      </c>
      <c r="F13" s="2">
        <f>Table224[[#This Row],[TWh '[2020']]]*1000</f>
        <v>0</v>
      </c>
      <c r="G13" s="3">
        <f>IF(Table224[[#This Row],[Mil m3 EU '[2020']]]&gt;0,Table224[[#This Row],[Mrd m3 EU '[2020']2]],Table224[[#This Row],[Mrd m3 '[2020']]])*9.77</f>
        <v>0</v>
      </c>
      <c r="H13" s="2"/>
      <c r="M13" t="str">
        <f t="shared" si="0"/>
        <v>FI_Prod</v>
      </c>
      <c r="N13" t="str">
        <f>Table224[[#This Row],[Country]]</f>
        <v>FI</v>
      </c>
    </row>
    <row r="14" spans="1:14">
      <c r="A14" t="s">
        <v>25</v>
      </c>
      <c r="B14" t="s">
        <v>2</v>
      </c>
      <c r="C14" s="2"/>
      <c r="D14" s="2">
        <v>124</v>
      </c>
      <c r="E14" s="2">
        <f>Table224[[#This Row],[Mil m3 EU '[2020']]]/1000</f>
        <v>0.124</v>
      </c>
      <c r="F14" s="2">
        <f>Table224[[#This Row],[TWh '[2020']]]*1000</f>
        <v>1211.4799999999998</v>
      </c>
      <c r="G14" s="3">
        <f>IF(Table224[[#This Row],[Mil m3 EU '[2020']]]&gt;0,Table224[[#This Row],[Mrd m3 EU '[2020']2]],Table224[[#This Row],[Mrd m3 '[2020']]])*9.77</f>
        <v>1.2114799999999999</v>
      </c>
      <c r="H14" s="2"/>
      <c r="M14" t="str">
        <f t="shared" si="0"/>
        <v>FR_Prod</v>
      </c>
      <c r="N14" t="str">
        <f>Table224[[#This Row],[Country]]</f>
        <v>FR</v>
      </c>
    </row>
    <row r="15" spans="1:14">
      <c r="A15" t="s">
        <v>19</v>
      </c>
      <c r="B15" t="s">
        <v>56</v>
      </c>
      <c r="C15" s="2">
        <v>5.3307593640000004</v>
      </c>
      <c r="D15" s="2">
        <v>5741</v>
      </c>
      <c r="E15" s="2">
        <f>Table224[[#This Row],[Mil m3 EU '[2020']]]/1000</f>
        <v>5.7409999999999997</v>
      </c>
      <c r="F15" s="2">
        <f>Table224[[#This Row],[TWh '[2020']]]*1000</f>
        <v>56089.569999999992</v>
      </c>
      <c r="G15" s="3">
        <f>IF(Table224[[#This Row],[Mil m3 EU '[2020']]]&gt;0,Table224[[#This Row],[Mrd m3 EU '[2020']2]],Table224[[#This Row],[Mrd m3 '[2020']]])*9.77</f>
        <v>56.089569999999995</v>
      </c>
      <c r="H15" s="2"/>
      <c r="M15" t="str">
        <f t="shared" si="0"/>
        <v>DE_Prod</v>
      </c>
      <c r="N15" t="str">
        <f>Table224[[#This Row],[Country]]</f>
        <v>DE</v>
      </c>
    </row>
    <row r="16" spans="1:14">
      <c r="A16" t="s">
        <v>264</v>
      </c>
      <c r="B16" t="s">
        <v>3</v>
      </c>
      <c r="C16" s="2"/>
      <c r="D16" s="2">
        <v>12</v>
      </c>
      <c r="E16" s="2">
        <f>Table224[[#This Row],[Mil m3 EU '[2020']]]/1000</f>
        <v>1.2E-2</v>
      </c>
      <c r="F16" s="2">
        <f>Table224[[#This Row],[TWh '[2020']]]*1000</f>
        <v>117.24</v>
      </c>
      <c r="G16" s="3">
        <f>IF(Table224[[#This Row],[Mil m3 EU '[2020']]]&gt;0,Table224[[#This Row],[Mrd m3 EU '[2020']2]],Table224[[#This Row],[Mrd m3 '[2020']]])*9.77</f>
        <v>0.11724</v>
      </c>
      <c r="H16" s="2"/>
      <c r="M16" t="str">
        <f t="shared" si="0"/>
        <v>EL_Prod</v>
      </c>
      <c r="N16" t="str">
        <f>Table224[[#This Row],[Country]]</f>
        <v>EL</v>
      </c>
    </row>
    <row r="17" spans="1:14">
      <c r="A17" t="s">
        <v>30</v>
      </c>
      <c r="B17" t="s">
        <v>63</v>
      </c>
      <c r="C17" s="2"/>
      <c r="D17" s="2">
        <v>1705</v>
      </c>
      <c r="E17" s="2">
        <f>Table224[[#This Row],[Mil m3 EU '[2020']]]/1000</f>
        <v>1.7050000000000001</v>
      </c>
      <c r="F17" s="2">
        <f>Table224[[#This Row],[TWh '[2020']]]*1000</f>
        <v>16657.849999999999</v>
      </c>
      <c r="G17" s="3">
        <f>IF(Table224[[#This Row],[Mil m3 EU '[2020']]]&gt;0,Table224[[#This Row],[Mrd m3 EU '[2020']2]],Table224[[#This Row],[Mrd m3 '[2020']]])*9.77</f>
        <v>16.65785</v>
      </c>
      <c r="H17" s="2"/>
      <c r="M17" t="str">
        <f t="shared" si="0"/>
        <v>HU_Prod</v>
      </c>
      <c r="N17" t="str">
        <f>Table224[[#This Row],[Country]]</f>
        <v>HU</v>
      </c>
    </row>
    <row r="18" spans="1:14">
      <c r="A18" t="s">
        <v>43</v>
      </c>
      <c r="B18" t="s">
        <v>135</v>
      </c>
      <c r="C18" s="2"/>
      <c r="D18" s="2">
        <v>2628</v>
      </c>
      <c r="E18" s="2">
        <f>Table224[[#This Row],[Mil m3 EU '[2020']]]/1000</f>
        <v>2.6280000000000001</v>
      </c>
      <c r="F18" s="2">
        <f>Table224[[#This Row],[TWh '[2020']]]*1000</f>
        <v>25675.56</v>
      </c>
      <c r="G18" s="3">
        <f>IF(Table224[[#This Row],[Mil m3 EU '[2020']]]&gt;0,Table224[[#This Row],[Mrd m3 EU '[2020']2]],Table224[[#This Row],[Mrd m3 '[2020']]])*9.77</f>
        <v>25.675560000000001</v>
      </c>
      <c r="H18" s="2"/>
      <c r="M18" t="str">
        <f t="shared" si="0"/>
        <v>IE_Prod</v>
      </c>
      <c r="N18" t="str">
        <f>Table224[[#This Row],[Country]]</f>
        <v>IE</v>
      </c>
    </row>
    <row r="19" spans="1:14">
      <c r="A19" t="s">
        <v>21</v>
      </c>
      <c r="B19" t="s">
        <v>4</v>
      </c>
      <c r="C19" s="2">
        <v>4.6212474381868178</v>
      </c>
      <c r="D19" s="2">
        <v>4851</v>
      </c>
      <c r="E19" s="2">
        <f>Table224[[#This Row],[Mil m3 EU '[2020']]]/1000</f>
        <v>4.851</v>
      </c>
      <c r="F19" s="2">
        <f>Table224[[#This Row],[TWh '[2020']]]*1000</f>
        <v>47394.27</v>
      </c>
      <c r="G19" s="3">
        <f>IF(Table224[[#This Row],[Mil m3 EU '[2020']]]&gt;0,Table224[[#This Row],[Mrd m3 EU '[2020']2]],Table224[[#This Row],[Mrd m3 '[2020']]])*9.77</f>
        <v>47.394269999999999</v>
      </c>
      <c r="H19" s="2"/>
      <c r="M19" t="str">
        <f t="shared" si="0"/>
        <v>IT_Prod</v>
      </c>
      <c r="N19" t="str">
        <f>Table224[[#This Row],[Country]]</f>
        <v>IT</v>
      </c>
    </row>
    <row r="20" spans="1:14">
      <c r="A20" t="s">
        <v>35</v>
      </c>
      <c r="B20" t="s">
        <v>65</v>
      </c>
      <c r="C20" s="2"/>
      <c r="D20" s="2">
        <v>0</v>
      </c>
      <c r="E20" s="2">
        <f>Table224[[#This Row],[Mil m3 EU '[2020']]]/1000</f>
        <v>0</v>
      </c>
      <c r="F20" s="2">
        <f>Table224[[#This Row],[TWh '[2020']]]*1000</f>
        <v>0</v>
      </c>
      <c r="G20" s="3">
        <f>IF(Table224[[#This Row],[Mil m3 EU '[2020']]]&gt;0,Table224[[#This Row],[Mrd m3 EU '[2020']2]],Table224[[#This Row],[Mrd m3 '[2020']]])*9.77</f>
        <v>0</v>
      </c>
      <c r="H20" s="2"/>
      <c r="M20" t="str">
        <f t="shared" si="0"/>
        <v>LV_Prod</v>
      </c>
      <c r="N20" t="str">
        <f>Table224[[#This Row],[Country]]</f>
        <v>LV</v>
      </c>
    </row>
    <row r="21" spans="1:14">
      <c r="A21" t="s">
        <v>51</v>
      </c>
      <c r="B21" t="s">
        <v>80</v>
      </c>
      <c r="C21" s="2">
        <v>16.047520041868452</v>
      </c>
      <c r="D21" s="2"/>
      <c r="E21" s="2">
        <f>Table224[[#This Row],[Mil m3 EU '[2020']]]/1000</f>
        <v>0</v>
      </c>
      <c r="F21" s="2">
        <f>Table224[[#This Row],[TWh '[2020']]]*1000</f>
        <v>156784.27080905475</v>
      </c>
      <c r="G21" s="3">
        <f>IF(Table224[[#This Row],[Mil m3 EU '[2020']]]&gt;0,Table224[[#This Row],[Mrd m3 EU '[2020']2]],Table224[[#This Row],[Mrd m3 '[2020']]])*9.77</f>
        <v>156.78427080905476</v>
      </c>
      <c r="H21" s="2"/>
      <c r="M21" t="str">
        <f t="shared" si="0"/>
        <v>LY_Prod</v>
      </c>
      <c r="N21" t="str">
        <f>Table224[[#This Row],[Country]]</f>
        <v>LY</v>
      </c>
    </row>
    <row r="22" spans="1:14">
      <c r="A22" t="s">
        <v>34</v>
      </c>
      <c r="B22" t="s">
        <v>6</v>
      </c>
      <c r="C22" s="2"/>
      <c r="D22" s="2">
        <v>0</v>
      </c>
      <c r="E22" s="2">
        <f>Table224[[#This Row],[Mil m3 EU '[2020']]]/1000</f>
        <v>0</v>
      </c>
      <c r="F22" s="2">
        <f>Table224[[#This Row],[TWh '[2020']]]*1000</f>
        <v>0</v>
      </c>
      <c r="G22" s="3">
        <f>IF(Table224[[#This Row],[Mil m3 EU '[2020']]]&gt;0,Table224[[#This Row],[Mrd m3 EU '[2020']2]],Table224[[#This Row],[Mrd m3 '[2020']]])*9.77</f>
        <v>0</v>
      </c>
      <c r="H22" s="2"/>
      <c r="M22" t="str">
        <f t="shared" si="0"/>
        <v>LT_Prod</v>
      </c>
      <c r="N22" t="str">
        <f>Table224[[#This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Table224[[#This Row],[Mil m3 EU '[2020']]]/1000</f>
        <v>0</v>
      </c>
      <c r="F23" s="2">
        <f>Table224[[#This Row],[TWh '[2020']]]*1000</f>
        <v>0</v>
      </c>
      <c r="G23" s="3">
        <f>IF(Table224[[#This Row],[Mil m3 EU '[2020']]]&gt;0,Table224[[#This Row],[Mrd m3 EU '[2020']2]],Table224[[#This Row],[Mrd m3 '[2020']]])*9.77</f>
        <v>0</v>
      </c>
      <c r="H23" s="2"/>
      <c r="M23" t="str">
        <f t="shared" si="0"/>
        <v>LU_Prod</v>
      </c>
      <c r="N23" t="str">
        <f>Table224[[#This Row],[Country]]</f>
        <v>LU</v>
      </c>
    </row>
    <row r="24" spans="1:14">
      <c r="A24" t="s">
        <v>39</v>
      </c>
      <c r="B24" t="s">
        <v>68</v>
      </c>
      <c r="C24" s="2"/>
      <c r="D24" s="2">
        <v>0</v>
      </c>
      <c r="E24" s="2">
        <f>Table224[[#This Row],[Mil m3 EU '[2020']]]/1000</f>
        <v>0</v>
      </c>
      <c r="F24" s="2">
        <f>Table224[[#This Row],[TWh '[2020']]]*1000</f>
        <v>0</v>
      </c>
      <c r="G24" s="3">
        <f>IF(Table224[[#This Row],[Mil m3 EU '[2020']]]&gt;0,Table224[[#This Row],[Mrd m3 EU '[2020']2]],Table224[[#This Row],[Mrd m3 '[2020']]])*9.77</f>
        <v>0</v>
      </c>
      <c r="H24" s="2"/>
      <c r="M24" t="str">
        <f t="shared" si="0"/>
        <v>MD_Prod</v>
      </c>
      <c r="N24" t="str">
        <f>Table224[[#This Row],[Country]]</f>
        <v>MD</v>
      </c>
    </row>
    <row r="25" spans="1:14">
      <c r="A25" t="s">
        <v>18</v>
      </c>
      <c r="B25" t="s">
        <v>7</v>
      </c>
      <c r="C25" s="2">
        <v>27.744444444444447</v>
      </c>
      <c r="D25" s="2">
        <v>33289.936000000009</v>
      </c>
      <c r="E25" s="2">
        <f>Table224[[#This Row],[Mil m3 EU '[2020']]]/1000</f>
        <v>33.289936000000012</v>
      </c>
      <c r="F25" s="2">
        <f>Table224[[#This Row],[TWh '[2020']]]*1000</f>
        <v>325242.67472000007</v>
      </c>
      <c r="G25" s="3">
        <f>IF(Table224[[#This Row],[Mil m3 EU '[2020']]]&gt;0,Table224[[#This Row],[Mrd m3 EU '[2020']2]],Table224[[#This Row],[Mrd m3 '[2020']]])*9.77</f>
        <v>325.24267472000008</v>
      </c>
      <c r="H25" s="2"/>
      <c r="M25" t="str">
        <f t="shared" si="0"/>
        <v>NL_Prod</v>
      </c>
      <c r="N25" t="str">
        <f>Table224[[#This Row],[Country]]</f>
        <v>NL</v>
      </c>
    </row>
    <row r="26" spans="1:14">
      <c r="A26" t="s">
        <v>45</v>
      </c>
      <c r="B26" t="s">
        <v>76</v>
      </c>
      <c r="C26" s="2"/>
      <c r="D26" s="2">
        <v>0</v>
      </c>
      <c r="E26" s="2">
        <f>Table224[[#This Row],[Mil m3 EU '[2020']]]/1000</f>
        <v>0</v>
      </c>
      <c r="F26" s="2">
        <f>Table224[[#This Row],[TWh '[2020']]]*1000</f>
        <v>0</v>
      </c>
      <c r="G26" s="3">
        <f>IF(Table224[[#This Row],[Mil m3 EU '[2020']]]&gt;0,Table224[[#This Row],[Mrd m3 EU '[2020']2]],Table224[[#This Row],[Mrd m3 '[2020']]])*9.77</f>
        <v>0</v>
      </c>
      <c r="H26" s="2"/>
      <c r="M26" t="str">
        <f t="shared" si="0"/>
        <v>MK_Prod</v>
      </c>
      <c r="N26" t="str">
        <f>Table224[[#This Row],[Country]]</f>
        <v>MK</v>
      </c>
    </row>
    <row r="27" spans="1:14">
      <c r="A27" t="s">
        <v>48</v>
      </c>
      <c r="B27" t="s">
        <v>71</v>
      </c>
      <c r="C27" s="2">
        <v>114.423546837</v>
      </c>
      <c r="D27" s="2">
        <v>119050</v>
      </c>
      <c r="E27" s="2">
        <f>Table224[[#This Row],[Mil m3 EU '[2020']]]/1000</f>
        <v>119.05</v>
      </c>
      <c r="F27" s="2">
        <f>Table224[[#This Row],[TWh '[2020']]]*1000</f>
        <v>1163118.4999999998</v>
      </c>
      <c r="G27" s="3">
        <f>IF(Table224[[#This Row],[Mil m3 EU '[2020']]]&gt;0,Table224[[#This Row],[Mrd m3 EU '[2020']2]],Table224[[#This Row],[Mrd m3 '[2020']]])*9.77</f>
        <v>1163.1184999999998</v>
      </c>
      <c r="H27" s="2"/>
      <c r="M27" t="str">
        <f t="shared" si="0"/>
        <v>NO_Prod</v>
      </c>
      <c r="N27" t="str">
        <f>Table224[[#This Row],[Country]]</f>
        <v>NO</v>
      </c>
    </row>
    <row r="28" spans="1:14">
      <c r="A28" t="s">
        <v>27</v>
      </c>
      <c r="B28" t="s">
        <v>8</v>
      </c>
      <c r="C28" s="2">
        <v>3.9851944444444447</v>
      </c>
      <c r="D28" s="2">
        <v>5669</v>
      </c>
      <c r="E28" s="2">
        <f>Table224[[#This Row],[Mil m3 EU '[2020']]]/1000</f>
        <v>5.6689999999999996</v>
      </c>
      <c r="F28" s="2">
        <f>Table224[[#This Row],[TWh '[2020']]]*1000</f>
        <v>55386.13</v>
      </c>
      <c r="G28" s="3">
        <f>IF(Table224[[#This Row],[Mil m3 EU '[2020']]]&gt;0,Table224[[#This Row],[Mrd m3 EU '[2020']2]],Table224[[#This Row],[Mrd m3 '[2020']]])*9.77</f>
        <v>55.386129999999994</v>
      </c>
      <c r="H28" s="2"/>
      <c r="M28" t="str">
        <f t="shared" si="0"/>
        <v>PL_Prod</v>
      </c>
      <c r="N28" t="str">
        <f>Table224[[#This Row],[Country]]</f>
        <v>PL</v>
      </c>
    </row>
    <row r="29" spans="1:14">
      <c r="A29" t="s">
        <v>37</v>
      </c>
      <c r="B29" t="s">
        <v>1</v>
      </c>
      <c r="C29" s="2"/>
      <c r="D29" s="2">
        <v>0</v>
      </c>
      <c r="E29" s="2">
        <f>Table224[[#This Row],[Mil m3 EU '[2020']]]/1000</f>
        <v>0</v>
      </c>
      <c r="F29" s="2">
        <f>Table224[[#This Row],[TWh '[2020']]]*1000</f>
        <v>0</v>
      </c>
      <c r="G29" s="3">
        <f>IF(Table224[[#This Row],[Mil m3 EU '[2020']]]&gt;0,Table224[[#This Row],[Mrd m3 EU '[2020']2]],Table224[[#This Row],[Mrd m3 '[2020']]])*9.77</f>
        <v>0</v>
      </c>
      <c r="H29" s="2"/>
      <c r="M29" t="str">
        <f t="shared" si="0"/>
        <v>PT_Prod</v>
      </c>
      <c r="N29" t="str">
        <f>Table224[[#This Row],[Country]]</f>
        <v>PT</v>
      </c>
    </row>
    <row r="30" spans="1:14">
      <c r="A30" t="s">
        <v>33</v>
      </c>
      <c r="B30" t="s">
        <v>86</v>
      </c>
      <c r="C30" s="2">
        <v>9.6225866388888868</v>
      </c>
      <c r="D30" s="2">
        <v>9990</v>
      </c>
      <c r="E30" s="2">
        <f>Table224[[#This Row],[Mil m3 EU '[2020']]]/1000</f>
        <v>9.99</v>
      </c>
      <c r="F30" s="2">
        <f>Table224[[#This Row],[TWh '[2020']]]*1000</f>
        <v>97602.3</v>
      </c>
      <c r="G30" s="3">
        <f>IF(Table224[[#This Row],[Mil m3 EU '[2020']]]&gt;0,Table224[[#This Row],[Mrd m3 EU '[2020']2]],Table224[[#This Row],[Mrd m3 '[2020']]])*9.77</f>
        <v>97.6023</v>
      </c>
      <c r="H30" s="2"/>
      <c r="M30" t="str">
        <f t="shared" si="0"/>
        <v>RO_Prod</v>
      </c>
      <c r="N30" t="str">
        <f>Table224[[#This Row],[Country]]</f>
        <v>RO</v>
      </c>
    </row>
    <row r="31" spans="1:14">
      <c r="A31" t="s">
        <v>40</v>
      </c>
      <c r="B31" t="s">
        <v>69</v>
      </c>
      <c r="C31" s="2">
        <v>679.02686845132757</v>
      </c>
      <c r="D31" s="2"/>
      <c r="E31" s="2">
        <f>Table224[[#This Row],[Mil m3 EU '[2020']]]/1000</f>
        <v>0</v>
      </c>
      <c r="F31" s="2">
        <f>Table224[[#This Row],[TWh '[2020']]]*1000</f>
        <v>6634092.5047694696</v>
      </c>
      <c r="G31" s="3">
        <f>IF(Table224[[#This Row],[Mil m3 EU '[2020']]]&gt;0,Table224[[#This Row],[Mrd m3 EU '[2020']2]],Table224[[#This Row],[Mrd m3 '[2020']]])*9.77</f>
        <v>6634.09250476947</v>
      </c>
      <c r="H31" s="2"/>
      <c r="M31" t="str">
        <f t="shared" si="0"/>
        <v>RU_Prod</v>
      </c>
      <c r="N31" t="str">
        <f>Table224[[#This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Table224[[#This Row],[Mil m3 EU '[2020']]]/1000</f>
        <v>0</v>
      </c>
      <c r="F32" s="2">
        <f>Table224[[#This Row],[TWh '[2020']]]*1000</f>
        <v>0</v>
      </c>
      <c r="G32" s="3">
        <f>IF(Table224[[#This Row],[Mil m3 EU '[2020']]]&gt;0,Table224[[#This Row],[Mrd m3 EU '[2020']2]],Table224[[#This Row],[Mrd m3 '[2020']]])*9.77</f>
        <v>0</v>
      </c>
      <c r="H32" s="2"/>
      <c r="M32" t="str">
        <f t="shared" si="0"/>
        <v>SM_Prod</v>
      </c>
      <c r="N32" t="str">
        <f>Table224[[#This Row],[Country]]</f>
        <v>SM</v>
      </c>
    </row>
    <row r="33" spans="1:14">
      <c r="A33" t="s">
        <v>31</v>
      </c>
      <c r="B33" t="s">
        <v>72</v>
      </c>
      <c r="C33" s="2"/>
      <c r="D33" s="2">
        <v>440</v>
      </c>
      <c r="E33" s="2">
        <f>Table224[[#This Row],[Mil m3 EU '[2020']]]/1000</f>
        <v>0.44</v>
      </c>
      <c r="F33" s="2">
        <f>Table224[[#This Row],[TWh '[2020']]]*1000</f>
        <v>4298.8</v>
      </c>
      <c r="G33" s="3">
        <f>IF(Table224[[#This Row],[Mil m3 EU '[2020']]]&gt;0,Table224[[#This Row],[Mrd m3 EU '[2020']2]],Table224[[#This Row],[Mrd m3 '[2020']]])*9.77</f>
        <v>4.2988</v>
      </c>
      <c r="H33" s="2"/>
      <c r="M33" t="str">
        <f t="shared" si="0"/>
        <v>RS_Prod</v>
      </c>
      <c r="N33" t="str">
        <f>Table224[[#This Row],[Country]]</f>
        <v>RS</v>
      </c>
    </row>
    <row r="34" spans="1:14">
      <c r="A34" t="s">
        <v>29</v>
      </c>
      <c r="B34" t="s">
        <v>62</v>
      </c>
      <c r="C34" s="2"/>
      <c r="D34" s="2">
        <v>74</v>
      </c>
      <c r="E34" s="2">
        <f>Table224[[#This Row],[Mil m3 EU '[2020']]]/1000</f>
        <v>7.3999999999999996E-2</v>
      </c>
      <c r="F34" s="2">
        <f>Table224[[#This Row],[TWh '[2020']]]*1000</f>
        <v>722.9799999999999</v>
      </c>
      <c r="G34" s="3">
        <f>IF(Table224[[#This Row],[Mil m3 EU '[2020']]]&gt;0,Table224[[#This Row],[Mrd m3 EU '[2020']2]],Table224[[#This Row],[Mrd m3 '[2020']]])*9.77</f>
        <v>0.72297999999999996</v>
      </c>
      <c r="H34" s="2"/>
      <c r="M34" t="str">
        <f t="shared" si="0"/>
        <v>SK_Prod</v>
      </c>
      <c r="N34" t="str">
        <f>Table224[[#This Row],[Country]]</f>
        <v>SK</v>
      </c>
    </row>
    <row r="35" spans="1:14">
      <c r="A35" t="s">
        <v>23</v>
      </c>
      <c r="B35" t="s">
        <v>59</v>
      </c>
      <c r="C35" s="2"/>
      <c r="D35" s="2">
        <v>11</v>
      </c>
      <c r="E35" s="2">
        <f>Table224[[#This Row],[Mil m3 EU '[2020']]]/1000</f>
        <v>1.0999999999999999E-2</v>
      </c>
      <c r="F35" s="2">
        <f>Table224[[#This Row],[TWh '[2020']]]*1000</f>
        <v>107.46999999999998</v>
      </c>
      <c r="G35" s="3">
        <f>IF(Table224[[#This Row],[Mil m3 EU '[2020']]]&gt;0,Table224[[#This Row],[Mrd m3 EU '[2020']2]],Table224[[#This Row],[Mrd m3 '[2020']]])*9.77</f>
        <v>0.10746999999999998</v>
      </c>
      <c r="H35" s="2"/>
      <c r="M35" t="str">
        <f t="shared" si="0"/>
        <v>SI_Prod</v>
      </c>
      <c r="N35" t="str">
        <f>Table224[[#This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Table224[[#This Row],[Mil m3 EU '[2020']]]/1000</f>
        <v>0</v>
      </c>
      <c r="F36" s="2">
        <f>Table224[[#This Row],[TWh '[2020']]]*1000</f>
        <v>0</v>
      </c>
      <c r="G36" s="3">
        <f>IF(Table224[[#This Row],[Mil m3 EU '[2020']]]&gt;0,Table224[[#This Row],[Mrd m3 EU '[2020']2]],Table224[[#This Row],[Mrd m3 '[2020']]])*9.77</f>
        <v>0</v>
      </c>
      <c r="H36" s="2"/>
      <c r="M36" t="str">
        <f t="shared" si="0"/>
        <v>CH_Prod</v>
      </c>
      <c r="N36" t="str">
        <f>Table224[[#This Row],[Country]]</f>
        <v>CH</v>
      </c>
    </row>
    <row r="37" spans="1:14">
      <c r="A37" t="s">
        <v>50</v>
      </c>
      <c r="B37" t="s">
        <v>79</v>
      </c>
      <c r="C37" s="2">
        <f>(158.7+138.7+162.3+145.1+161.4+151.8+155.7+154.9+151.8+147.4+117.4+149.3)/1000</f>
        <v>1.7945000000000002</v>
      </c>
      <c r="D37" s="2"/>
      <c r="E37" s="2">
        <f>Table224[[#This Row],[Mil m3 EU '[2020']]]/1000</f>
        <v>0</v>
      </c>
      <c r="F37" s="2">
        <f>Table224[[#This Row],[TWh '[2020']]]*1000</f>
        <v>17532.265000000003</v>
      </c>
      <c r="G37" s="3">
        <f>IF(Table224[[#This Row],[Mil m3 EU '[2020']]]&gt;0,Table224[[#This Row],[Mrd m3 EU '[2020']2]],Table224[[#This Row],[Mrd m3 '[2020']]])*9.77</f>
        <v>17.532265000000002</v>
      </c>
      <c r="H37" s="2"/>
      <c r="M37" t="str">
        <f t="shared" si="0"/>
        <v>TN_Prod</v>
      </c>
      <c r="N37" t="str">
        <f>Table224[[#This Row],[Country]]</f>
        <v>TN</v>
      </c>
    </row>
    <row r="38" spans="1:14">
      <c r="A38" t="s">
        <v>46</v>
      </c>
      <c r="B38" t="s">
        <v>10</v>
      </c>
      <c r="C38" s="2"/>
      <c r="D38" s="2">
        <v>470</v>
      </c>
      <c r="E38" s="2">
        <f>Table224[[#This Row],[Mil m3 EU '[2020']]]/1000</f>
        <v>0.47</v>
      </c>
      <c r="F38" s="2">
        <f>Table224[[#This Row],[TWh '[2020']]]*1000</f>
        <v>4591.8999999999996</v>
      </c>
      <c r="G38" s="3">
        <f>IF(Table224[[#This Row],[Mil m3 EU '[2020']]]&gt;0,Table224[[#This Row],[Mrd m3 EU '[2020']2]],Table224[[#This Row],[Mrd m3 '[2020']]])*9.77</f>
        <v>4.5918999999999999</v>
      </c>
      <c r="H38" s="2"/>
      <c r="M38" t="str">
        <f t="shared" si="0"/>
        <v>TR_Prod</v>
      </c>
      <c r="N38" t="str">
        <f>Table224[[#This Row],[Country]]</f>
        <v>TR</v>
      </c>
    </row>
    <row r="39" spans="1:14">
      <c r="A39" t="s">
        <v>11</v>
      </c>
      <c r="B39" t="s">
        <v>11</v>
      </c>
      <c r="C39" s="2">
        <v>39.2909121</v>
      </c>
      <c r="D39" s="2">
        <v>39910.779000000002</v>
      </c>
      <c r="E39" s="2">
        <f>Table224[[#This Row],[Mil m3 EU '[2020']]]/1000</f>
        <v>39.910779000000005</v>
      </c>
      <c r="F39" s="2">
        <f>Table224[[#This Row],[TWh '[2020']]]*1000</f>
        <v>389928.31083000003</v>
      </c>
      <c r="G39" s="3">
        <f>IF(Table224[[#This Row],[Mil m3 EU '[2020']]]&gt;0,Table224[[#This Row],[Mrd m3 EU '[2020']2]],Table224[[#This Row],[Mrd m3 '[2020']]])*9.77</f>
        <v>389.92831083000004</v>
      </c>
      <c r="H39" s="2"/>
      <c r="M39" t="str">
        <f t="shared" si="0"/>
        <v>UK_Prod</v>
      </c>
      <c r="N39" t="str">
        <f>Table224[[#This Row],[Country]]</f>
        <v>UK</v>
      </c>
    </row>
    <row r="40" spans="1:14">
      <c r="A40" t="s">
        <v>38</v>
      </c>
      <c r="B40" t="s">
        <v>67</v>
      </c>
      <c r="C40" s="2">
        <v>19.401425762045228</v>
      </c>
      <c r="D40" s="2">
        <v>0</v>
      </c>
      <c r="E40" s="2">
        <f>Table224[[#This Row],[Mil m3 EU '[2020']]]/1000</f>
        <v>0</v>
      </c>
      <c r="F40" s="2">
        <f>Table224[[#This Row],[TWh '[2020']]]*1000</f>
        <v>189551.92969518187</v>
      </c>
      <c r="G40" s="3">
        <f>IF(Table224[[#This Row],[Mil m3 EU '[2020']]]&gt;0,Table224[[#This Row],[Mrd m3 EU '[2020']2]],Table224[[#This Row],[Mrd m3 '[2020']]])*9.77</f>
        <v>189.55192969518188</v>
      </c>
      <c r="H40" s="2"/>
      <c r="M40" t="str">
        <f t="shared" si="0"/>
        <v>UA_Prod</v>
      </c>
      <c r="N40" t="str">
        <f>Table224[[#This Row],[Country]]</f>
        <v>UA</v>
      </c>
    </row>
    <row r="41" spans="1:14">
      <c r="A41" t="s">
        <v>87</v>
      </c>
      <c r="B41" t="s">
        <v>88</v>
      </c>
      <c r="C41" s="2">
        <v>7.4053369901372292</v>
      </c>
      <c r="D41" s="2"/>
      <c r="E41" s="2">
        <f>Table224[[#This Row],[Mil m3 EU '[2020']]]/1000</f>
        <v>0</v>
      </c>
      <c r="F41" s="2">
        <f>Table224[[#This Row],[TWh '[2020']]]*1000</f>
        <v>72350.142393640723</v>
      </c>
      <c r="G41" s="3">
        <f>IF(Table224[[#This Row],[Mil m3 EU '[2020']]]&gt;0,Table224[[#This Row],[Mrd m3 EU '[2020']2]],Table224[[#This Row],[Mrd m3 '[2020']]])*9.77</f>
        <v>72.350142393640724</v>
      </c>
      <c r="H41" s="2"/>
      <c r="M41" t="str">
        <f t="shared" si="0"/>
        <v>OE_Prod</v>
      </c>
      <c r="N41" t="str">
        <f>Table224[[#This Row],[Country]]</f>
        <v>OE</v>
      </c>
    </row>
    <row r="42" spans="1:14">
      <c r="A42" t="s">
        <v>36</v>
      </c>
      <c r="B42" t="s">
        <v>9</v>
      </c>
      <c r="C42" s="2"/>
      <c r="D42" s="2">
        <v>133</v>
      </c>
      <c r="E42" s="2">
        <f>Table224[[#This Row],[Mil m3 EU '[2020']]]/1000</f>
        <v>0.13300000000000001</v>
      </c>
      <c r="F42" s="2">
        <f>Table224[[#This Row],[TWh '[2020']]]*1000</f>
        <v>1299.4099999999999</v>
      </c>
      <c r="G42" s="3">
        <f>IF(Table224[[#This Row],[Mil m3 EU '[2020']]]&gt;0,Table224[[#This Row],[Mrd m3 EU '[2020']2]],Table224[[#This Row],[Mrd m3 '[2020']]])*9.77</f>
        <v>1.29941</v>
      </c>
      <c r="M42" t="str">
        <f t="shared" si="0"/>
        <v>ES_Prod</v>
      </c>
      <c r="N42" t="str">
        <f>Table224[[#This Row],[Country]]</f>
        <v>ES</v>
      </c>
    </row>
    <row r="44" spans="1:14">
      <c r="C44" s="2">
        <f>SUM(Table224[Mrd m3 '[2020']])</f>
        <v>1018.8491492915259</v>
      </c>
      <c r="D44" s="2">
        <f>SUM(Table224[Mil m3 EU '[2020']])/1000+C31+C37+C21+C3</f>
        <v>1013.399763493196</v>
      </c>
      <c r="E44">
        <f>SUMIF(Table224[Mil m3 EU '[2020']],"&gt;0",Table224[Mrd m3 EU '[2020']2])</f>
        <v>229.57862500000007</v>
      </c>
    </row>
    <row r="45" spans="1:14">
      <c r="E45" s="2"/>
      <c r="F45" s="2"/>
    </row>
    <row r="47" spans="1:14">
      <c r="A47" s="16" t="s">
        <v>132</v>
      </c>
    </row>
    <row r="48" spans="1:14">
      <c r="A48" t="s">
        <v>79</v>
      </c>
      <c r="B48" s="16" t="s">
        <v>313</v>
      </c>
      <c r="C48" t="s">
        <v>314</v>
      </c>
    </row>
    <row r="49" spans="1:2">
      <c r="A49" t="s">
        <v>122</v>
      </c>
      <c r="B49" s="16" t="s">
        <v>120</v>
      </c>
    </row>
  </sheetData>
  <hyperlinks>
    <hyperlink ref="A47" r:id="rId1" xr:uid="{32007F15-B192-0D42-B344-3AA389A59F61}"/>
    <hyperlink ref="B49" r:id="rId2" xr:uid="{B0812829-D72E-E14C-BF97-B8B7FE2B01E9}"/>
    <hyperlink ref="B48" r:id="rId3" xr:uid="{57B1C08F-EB93-B946-91BE-EBFDEE7995E2}"/>
  </hyperlink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C7116-86CF-804B-AA62-E2603977810D}">
  <dimension ref="A1:G21"/>
  <sheetViews>
    <sheetView workbookViewId="0">
      <selection activeCell="F1" sqref="F1"/>
    </sheetView>
  </sheetViews>
  <sheetFormatPr defaultColWidth="8.81640625" defaultRowHeight="14.5"/>
  <cols>
    <col min="1" max="1" width="9.453125" customWidth="1"/>
    <col min="2" max="2" width="19.1796875" customWidth="1"/>
    <col min="3" max="3" width="15" customWidth="1"/>
    <col min="4" max="4" width="17.1796875" customWidth="1"/>
    <col min="5" max="6" width="17.81640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928.11108403402409</v>
      </c>
      <c r="D2" s="7"/>
      <c r="E2" s="7">
        <f>Table725[[#This Row],[Mil m3 '[2020']]]/1000</f>
        <v>0</v>
      </c>
      <c r="F2" s="14">
        <f>Table725[[#This Row],[TWh '[2020']]]*1000</f>
        <v>9067645.2910124157</v>
      </c>
      <c r="G2" s="3">
        <f>IF(Table725[[#This Row],[Mil m3 '[2020']]]&gt;0,Table725[[#This Row],[Mrd m3 '[2020']2]],Table725[[#This Row],[Mrd m3 '[2020']]])*9.77</f>
        <v>9067.6452910124153</v>
      </c>
    </row>
    <row r="3" spans="1:7">
      <c r="A3" t="s">
        <v>196</v>
      </c>
      <c r="B3" t="s">
        <v>160</v>
      </c>
      <c r="C3">
        <f>169.62695 +36.7109442815886</f>
        <v>206.3378942815886</v>
      </c>
      <c r="E3" s="2">
        <f>Table725[[#This Row],[Mil m3 '[2020']]]/1000</f>
        <v>0</v>
      </c>
      <c r="F3" s="2">
        <f>Table725[[#This Row],[TWh '[2020']]]*1000</f>
        <v>2015921.2271311206</v>
      </c>
      <c r="G3" s="3">
        <f>IF(Table725[[#This Row],[Mil m3 '[2020']]]&gt;0,Table725[[#This Row],[Mrd m3 '[2020']2]],Table725[[#This Row],[Mrd m3 '[2020']]])*9.77</f>
        <v>2015.9212271311205</v>
      </c>
    </row>
    <row r="4" spans="1:7">
      <c r="A4" t="s">
        <v>150</v>
      </c>
      <c r="B4" t="s">
        <v>161</v>
      </c>
      <c r="C4">
        <f>171.960600876257-34.560890496463</f>
        <v>137.39971037979399</v>
      </c>
      <c r="E4" s="2">
        <f>Table725[[#This Row],[Mil m3 '[2020']]]/1000</f>
        <v>0</v>
      </c>
      <c r="F4" s="2">
        <f>Table725[[#This Row],[TWh '[2020']]]*1000</f>
        <v>1342395.1704105872</v>
      </c>
      <c r="G4" s="3">
        <f>IF(Table725[[#This Row],[Mil m3 '[2020']]]&gt;0,Table725[[#This Row],[Mrd m3 '[2020']2]],Table725[[#This Row],[Mrd m3 '[2020']]])*9.77</f>
        <v>1342.3951704105873</v>
      </c>
    </row>
    <row r="5" spans="1:7">
      <c r="A5" t="s">
        <v>151</v>
      </c>
      <c r="B5" t="s">
        <v>162</v>
      </c>
      <c r="C5">
        <v>34.560890496463003</v>
      </c>
      <c r="E5" s="2">
        <f>Table725[[#This Row],[Mil m3 '[2020']]]/1000</f>
        <v>0</v>
      </c>
      <c r="F5" s="2">
        <f>Table725[[#This Row],[TWh '[2020']]]*1000</f>
        <v>337659.90015044354</v>
      </c>
      <c r="G5" s="3">
        <f>IF(Table725[[#This Row],[Mil m3 '[2020']]]&gt;0,Table725[[#This Row],[Mrd m3 '[2020']2]],Table725[[#This Row],[Mrd m3 '[2020']]])*9.77</f>
        <v>337.65990015044355</v>
      </c>
    </row>
    <row r="6" spans="1:7">
      <c r="A6" t="s">
        <v>152</v>
      </c>
      <c r="B6" t="s">
        <v>163</v>
      </c>
      <c r="C6">
        <f>661.111955973092-177.152465500793</f>
        <v>483.95949047229897</v>
      </c>
      <c r="E6" s="2">
        <f>Table725[[#This Row],[Mil m3 '[2020']]]/1000</f>
        <v>0</v>
      </c>
      <c r="F6" s="2">
        <f>Table725[[#This Row],[TWh '[2020']]]*1000</f>
        <v>4728284.2219143603</v>
      </c>
      <c r="G6" s="3">
        <f>IF(Table725[[#This Row],[Mil m3 '[2020']]]&gt;0,Table725[[#This Row],[Mrd m3 '[2020']2]],Table725[[#This Row],[Mrd m3 '[2020']]])*9.77</f>
        <v>4728.2842219143604</v>
      </c>
    </row>
    <row r="7" spans="1:7">
      <c r="A7" t="s">
        <v>153</v>
      </c>
      <c r="B7" t="s">
        <v>174</v>
      </c>
      <c r="C7">
        <v>177.152465500793</v>
      </c>
      <c r="E7" s="2">
        <f>Table725[[#This Row],[Mil m3 '[2020']]]/1000</f>
        <v>0</v>
      </c>
      <c r="F7" s="2">
        <f>Table725[[#This Row],[TWh '[2020']]]*1000</f>
        <v>1730779.5879427476</v>
      </c>
      <c r="G7" s="3">
        <f>IF(Table725[[#This Row],[Mil m3 '[2020']]]&gt;0,Table725[[#This Row],[Mrd m3 '[2020']2]],Table725[[#This Row],[Mrd m3 '[2020']]])*9.77</f>
        <v>1730.7795879427476</v>
      </c>
    </row>
    <row r="8" spans="1:7">
      <c r="A8" t="s">
        <v>154</v>
      </c>
      <c r="B8" t="s">
        <v>164</v>
      </c>
      <c r="C8" s="2">
        <f>245.574127275406-nodes_gas_prod_europe_2019!C21-nodes_gas_prod_europe_2019!C3-nodes_gas_prod_europe_2019!C37-C16</f>
        <v>75.841108283342265</v>
      </c>
      <c r="E8" s="2">
        <f>Table725[[#This Row],[Mil m3 '[2020']]]/1000</f>
        <v>0</v>
      </c>
      <c r="F8" s="2">
        <f>Table725[[#This Row],[TWh '[2020']]]*1000</f>
        <v>740967.62792825396</v>
      </c>
      <c r="G8" s="3">
        <f>IF(Table725[[#This Row],[Mil m3 '[2020']]]&gt;0,Table725[[#This Row],[Mrd m3 '[2020']2]],Table725[[#This Row],[Mrd m3 '[2020']]])*9.77</f>
        <v>740.96762792825393</v>
      </c>
    </row>
    <row r="9" spans="1:7">
      <c r="A9" t="s">
        <v>96</v>
      </c>
      <c r="B9" t="s">
        <v>175</v>
      </c>
      <c r="C9" s="2">
        <v>0.09</v>
      </c>
      <c r="E9" s="2">
        <f>Table725[[#This Row],[Mil m3 '[2020']]]/1000</f>
        <v>0</v>
      </c>
      <c r="F9" s="2">
        <f>Table725[[#This Row],[TWh '[2020']]]*1000</f>
        <v>879.3</v>
      </c>
      <c r="G9" s="3">
        <f>IF(Table725[[#This Row],[Mil m3 '[2020']]]&gt;0,Table725[[#This Row],[Mrd m3 '[2020']2]],Table725[[#This Row],[Mrd m3 '[2020']]])*9.77</f>
        <v>0.87929999999999997</v>
      </c>
    </row>
    <row r="10" spans="1:7">
      <c r="A10" t="s">
        <v>155</v>
      </c>
      <c r="B10" t="s">
        <v>165</v>
      </c>
      <c r="C10">
        <v>146.10238801538463</v>
      </c>
      <c r="E10" s="2">
        <f>Table725[[#This Row],[Mil m3 '[2020']]]/1000</f>
        <v>0</v>
      </c>
      <c r="F10" s="2">
        <f>Table725[[#This Row],[TWh '[2020']]]*1000</f>
        <v>1427420.3309103078</v>
      </c>
      <c r="G10" s="3">
        <f>IF(Table725[[#This Row],[Mil m3 '[2020']]]&gt;0,Table725[[#This Row],[Mrd m3 '[2020']2]],Table725[[#This Row],[Mrd m3 '[2020']]])*9.77</f>
        <v>1427.4203309103077</v>
      </c>
    </row>
    <row r="11" spans="1:7">
      <c r="A11" t="s">
        <v>156</v>
      </c>
      <c r="B11" t="s">
        <v>166</v>
      </c>
      <c r="C11">
        <v>176.74144542772859</v>
      </c>
      <c r="E11" s="2">
        <f>Table725[[#This Row],[Mil m3 '[2020']]]/1000</f>
        <v>0</v>
      </c>
      <c r="F11" s="2">
        <f>Table725[[#This Row],[TWh '[2020']]]*1000</f>
        <v>1726763.9218289081</v>
      </c>
      <c r="G11" s="3">
        <f>IF(Table725[[#This Row],[Mil m3 '[2020']]]&gt;0,Table725[[#This Row],[Mrd m3 '[2020']2]],Table725[[#This Row],[Mrd m3 '[2020']]])*9.77</f>
        <v>1726.7639218289082</v>
      </c>
    </row>
    <row r="12" spans="1:7">
      <c r="A12" t="s">
        <v>157</v>
      </c>
      <c r="B12" t="s">
        <v>167</v>
      </c>
      <c r="C12">
        <v>0</v>
      </c>
      <c r="E12" s="2">
        <f>Table725[[#This Row],[Mil m3 '[2020']]]/1000</f>
        <v>0</v>
      </c>
      <c r="F12" s="2">
        <f>Table725[[#This Row],[TWh '[2020']]]*1000</f>
        <v>0</v>
      </c>
      <c r="G12" s="3">
        <f>IF(Table725[[#This Row],[Mil m3 '[2020']]]&gt;0,Table725[[#This Row],[Mrd m3 '[2020']2]],Table725[[#This Row],[Mrd m3 '[2020']]])*9.77</f>
        <v>0</v>
      </c>
    </row>
    <row r="13" spans="1:7">
      <c r="A13" t="s">
        <v>158</v>
      </c>
      <c r="B13" t="s">
        <v>168</v>
      </c>
      <c r="C13">
        <v>26.905523886957724</v>
      </c>
      <c r="E13" s="2">
        <f>Table725[[#This Row],[Mil m3 '[2020']]]/1000</f>
        <v>0</v>
      </c>
      <c r="F13" s="2">
        <f>Table725[[#This Row],[TWh '[2020']]]*1000</f>
        <v>262866.96837557695</v>
      </c>
      <c r="G13" s="3">
        <f>IF(Table725[[#This Row],[Mil m3 '[2020']]]&gt;0,Table725[[#This Row],[Mrd m3 '[2020']2]],Table725[[#This Row],[Mrd m3 '[2020']]])*9.77</f>
        <v>262.86696837557696</v>
      </c>
    </row>
    <row r="14" spans="1:7">
      <c r="A14" t="s">
        <v>159</v>
      </c>
      <c r="B14" t="s">
        <v>169</v>
      </c>
      <c r="C14">
        <f>658.522694765209-C13-C11-C10-C12-C17</f>
        <v>163.70905060210293</v>
      </c>
      <c r="E14" s="2">
        <f>Table725[[#This Row],[Mil m3 '[2020']]]/1000</f>
        <v>0</v>
      </c>
      <c r="F14" s="2">
        <f>Table725[[#This Row],[TWh '[2020']]]*1000</f>
        <v>1599437.4243825455</v>
      </c>
      <c r="G14" s="3">
        <f>IF(Table725[[#This Row],[Mil m3 '[2020']]]&gt;0,Table725[[#This Row],[Mrd m3 '[2020']2]],Table725[[#This Row],[Mrd m3 '[2020']]])*9.77</f>
        <v>1599.4374243825455</v>
      </c>
    </row>
    <row r="15" spans="1:7">
      <c r="A15" t="s">
        <v>172</v>
      </c>
      <c r="B15" t="s">
        <v>173</v>
      </c>
      <c r="C15">
        <f>857.399233806581-638.446656032448</f>
        <v>218.95257777413303</v>
      </c>
      <c r="E15" s="2">
        <f>Table725[[#This Row],[Mil m3 '[2020']]]/1000</f>
        <v>0</v>
      </c>
      <c r="F15" s="2">
        <f>Table725[[#This Row],[TWh '[2020']]]*1000</f>
        <v>2139166.6848532795</v>
      </c>
      <c r="G15" s="3">
        <f>IF(Table725[[#This Row],[Mil m3 '[2020']]]&gt;0,Table725[[#This Row],[Mrd m3 '[2020']2]],Table725[[#This Row],[Mrd m3 '[2020']]])*9.77</f>
        <v>2139.1666848532795</v>
      </c>
    </row>
    <row r="16" spans="1:7">
      <c r="A16" t="s">
        <v>177</v>
      </c>
      <c r="B16" t="s">
        <v>178</v>
      </c>
      <c r="C16">
        <v>64.938748950195304</v>
      </c>
      <c r="E16" s="2">
        <f>Table725[[#This Row],[Mil m3 '[2020']]]/1000</f>
        <v>0</v>
      </c>
      <c r="F16" s="2">
        <f>Table725[[#This Row],[TWh '[2020']]]*1000</f>
        <v>634451.57724340807</v>
      </c>
      <c r="G16" s="3">
        <f>IF(Table725[[#This Row],[Mil m3 '[2020']]]&gt;0,Table725[[#This Row],[Mrd m3 '[2020']2]],Table725[[#This Row],[Mrd m3 '[2020']]])*9.77</f>
        <v>634.45157724340811</v>
      </c>
    </row>
    <row r="17" spans="1:7">
      <c r="A17" t="s">
        <v>192</v>
      </c>
      <c r="B17" t="s">
        <v>195</v>
      </c>
      <c r="C17">
        <f>67.5834358303913+77.4808510026438</f>
        <v>145.06428683303511</v>
      </c>
      <c r="E17" s="2">
        <f>Table725[[#This Row],[Mil m3 '[2020']]]/1000</f>
        <v>0</v>
      </c>
      <c r="F17" s="2">
        <f>Table725[[#This Row],[TWh '[2020']]]*1000</f>
        <v>1417278.0823587528</v>
      </c>
      <c r="G17" s="3">
        <f>IF(Table725[[#This Row],[Mil m3 '[2020']]]&gt;0,Table725[[#This Row],[Mrd m3 '[2020']2]],Table725[[#This Row],[Mrd m3 '[2020']]])*9.77</f>
        <v>1417.278082358753</v>
      </c>
    </row>
    <row r="20" spans="1:7">
      <c r="A20" t="s">
        <v>132</v>
      </c>
    </row>
    <row r="21" spans="1:7">
      <c r="A21" s="16" t="s">
        <v>311</v>
      </c>
      <c r="B21" t="s">
        <v>273</v>
      </c>
      <c r="C21" t="s">
        <v>312</v>
      </c>
    </row>
  </sheetData>
  <hyperlinks>
    <hyperlink ref="A21" r:id="rId1" xr:uid="{AF7E1171-2CF8-7747-BCEE-4E5C4ABBD12A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workbookViewId="0">
      <selection activeCell="G2" sqref="G2"/>
    </sheetView>
  </sheetViews>
  <sheetFormatPr defaultColWidth="8.81640625" defaultRowHeight="14.5"/>
  <cols>
    <col min="1" max="1" width="9.453125" customWidth="1"/>
    <col min="2" max="2" width="19.1796875" customWidth="1"/>
    <col min="3" max="3" width="15" customWidth="1"/>
    <col min="4" max="4" width="17.1796875" customWidth="1"/>
    <col min="5" max="6" width="17.81640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ColWidth="8.81640625" defaultRowHeight="14.5"/>
  <cols>
    <col min="1" max="1" width="9.453125" customWidth="1"/>
    <col min="2" max="2" width="19.1796875" customWidth="1"/>
    <col min="3" max="3" width="15" customWidth="1"/>
    <col min="4" max="4" width="17.1796875" customWidth="1"/>
    <col min="5" max="6" width="17.81640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workbookViewId="0">
      <selection activeCell="G2" sqref="G2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C15" sqref="C15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45B38-002A-48AE-A33D-051F4A624C81}">
  <dimension ref="A1:N49"/>
  <sheetViews>
    <sheetView workbookViewId="0">
      <selection activeCell="G2" sqref="G2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1" max="11" width="9.1796875" bestFit="1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3">
        <f>$J$6*(D2/$K$6)</f>
        <v>4.7470068416712932E-2</v>
      </c>
      <c r="D2" s="2">
        <v>527.10126999999989</v>
      </c>
      <c r="E2" s="2"/>
      <c r="F2" s="2">
        <f>Table2620[[#This Row],[TWh '[2020']]]*1000</f>
        <v>463.78256843128537</v>
      </c>
      <c r="G2" s="3">
        <f>(Table2620[[#This Row],[Mrd m3 '[2035'] SP]])*9.77</f>
        <v>0.46378256843128535</v>
      </c>
      <c r="H2" s="2"/>
      <c r="J2" t="s">
        <v>101</v>
      </c>
      <c r="M2" t="str">
        <f t="shared" ref="M2:M42" si="0">_xlfn.CONCAT(A2,$J$2)</f>
        <v>AL_Prod</v>
      </c>
      <c r="N2" t="str">
        <f>Table2620[[#This Row],[Country]]</f>
        <v>AL</v>
      </c>
    </row>
    <row r="3" spans="1:14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Table2620[[#This Row],[TWh '[2020']]]*1000</f>
        <v>1165547.0626743955</v>
      </c>
      <c r="G3" s="3">
        <f>(Table2620[[#This Row],[Mrd m3 '[2035'] SP]])*9.77</f>
        <v>1165.5470626743954</v>
      </c>
      <c r="H3" s="2"/>
      <c r="M3" t="str">
        <f t="shared" si="0"/>
        <v>DZ_Prod</v>
      </c>
      <c r="N3" t="str">
        <f>Table2620[[#This Row],[Country]]</f>
        <v>DZ</v>
      </c>
    </row>
    <row r="4" spans="1:14">
      <c r="A4" t="s">
        <v>20</v>
      </c>
      <c r="B4" t="s">
        <v>57</v>
      </c>
      <c r="C4" s="3">
        <f>$J$5*(D4/$K$5)</f>
        <v>0.44373917368578852</v>
      </c>
      <c r="D4" s="2">
        <v>5354.6634399999994</v>
      </c>
      <c r="E4" s="2"/>
      <c r="F4" s="2">
        <f>Table2620[[#This Row],[TWh '[2020']]]*1000</f>
        <v>4335.3317269101535</v>
      </c>
      <c r="G4" s="3">
        <f>(Table2620[[#This Row],[Mrd m3 '[2035'] SP]])*9.77</f>
        <v>4.3353317269101534</v>
      </c>
      <c r="H4" s="2"/>
      <c r="J4" t="s">
        <v>306</v>
      </c>
      <c r="K4">
        <v>2024</v>
      </c>
      <c r="M4" t="str">
        <f t="shared" si="0"/>
        <v>AT_Prod</v>
      </c>
      <c r="N4" t="str">
        <f>Table2620[[#This Row],[Country]]</f>
        <v>AT</v>
      </c>
    </row>
    <row r="5" spans="1:14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Table2620[[#This Row],[TWh '[2020']]]*1000</f>
        <v>0</v>
      </c>
      <c r="G5" s="3">
        <f>(Table2620[[#This Row],[Mrd m3 '[2035'] SP]])*9.77</f>
        <v>0</v>
      </c>
      <c r="H5" s="2"/>
      <c r="I5" t="s">
        <v>294</v>
      </c>
      <c r="J5">
        <v>29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Table2620[[#This Row],[Country]]</f>
        <v>BY</v>
      </c>
    </row>
    <row r="6" spans="1:14">
      <c r="A6" t="s">
        <v>17</v>
      </c>
      <c r="B6" t="s">
        <v>0</v>
      </c>
      <c r="C6" s="3">
        <f>$J$5*(D6/$K$5)</f>
        <v>1.214454963086388E-2</v>
      </c>
      <c r="D6" s="2">
        <v>146.54999999999998</v>
      </c>
      <c r="E6" s="2"/>
      <c r="F6" s="2">
        <f>Table2620[[#This Row],[TWh '[2020']]]*1000</f>
        <v>118.6522498935401</v>
      </c>
      <c r="G6" s="3">
        <f>(Table2620[[#This Row],[Mrd m3 '[2035'] SP]])*9.77</f>
        <v>0.1186522498935401</v>
      </c>
      <c r="H6" s="2"/>
      <c r="I6" t="s">
        <v>307</v>
      </c>
      <c r="J6">
        <f>181-J5</f>
        <v>152</v>
      </c>
      <c r="K6" s="2">
        <f>D2+D5+D7+D24+D26+D27+D32+D33+D36+D38+D39+D40</f>
        <v>1687787.6041103853</v>
      </c>
      <c r="M6" t="str">
        <f t="shared" si="0"/>
        <v>BE_Prod</v>
      </c>
      <c r="N6" t="str">
        <f>Table2620[[#This Row],[Country]]</f>
        <v>BE</v>
      </c>
    </row>
    <row r="7" spans="1:14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Table2620[[#This Row],[TWh '[2020']]]*1000</f>
        <v>0</v>
      </c>
      <c r="G7" s="3">
        <f>(Table2620[[#This Row],[Mrd m3 '[2035'] SP]])*9.77</f>
        <v>0</v>
      </c>
      <c r="H7" s="2"/>
      <c r="M7" t="str">
        <f t="shared" si="0"/>
        <v>BA_Prod</v>
      </c>
      <c r="N7" t="str">
        <f>Table2620[[#This Row],[Country]]</f>
        <v>BA</v>
      </c>
    </row>
    <row r="8" spans="1:14">
      <c r="A8" t="s">
        <v>32</v>
      </c>
      <c r="B8" t="s">
        <v>64</v>
      </c>
      <c r="C8" s="3">
        <f t="shared" ref="C8:C20" si="1">$J$5*(D8/$K$5)</f>
        <v>6.5904422663488E-3</v>
      </c>
      <c r="D8" s="2">
        <v>79.527800000000013</v>
      </c>
      <c r="E8" s="2"/>
      <c r="F8" s="2">
        <f>Table2620[[#This Row],[TWh '[2020']]]*1000</f>
        <v>64.388620942227774</v>
      </c>
      <c r="G8" s="3">
        <f>(Table2620[[#This Row],[Mrd m3 '[2035'] SP]])*9.77</f>
        <v>6.4388620942227776E-2</v>
      </c>
      <c r="H8" s="2"/>
      <c r="K8" s="2"/>
      <c r="M8" t="str">
        <f t="shared" si="0"/>
        <v>BG_Prod</v>
      </c>
      <c r="N8" t="str">
        <f>Table2620[[#This Row],[Country]]</f>
        <v>BG</v>
      </c>
    </row>
    <row r="9" spans="1:14">
      <c r="A9" t="s">
        <v>24</v>
      </c>
      <c r="B9" t="s">
        <v>5</v>
      </c>
      <c r="C9" s="3">
        <f t="shared" si="1"/>
        <v>0.6105469917756301</v>
      </c>
      <c r="D9" s="2">
        <v>7367.5569999999998</v>
      </c>
      <c r="E9" s="2"/>
      <c r="F9" s="2">
        <f>Table2620[[#This Row],[TWh '[2020']]]*1000</f>
        <v>5965.0441096479053</v>
      </c>
      <c r="G9" s="3">
        <f>(Table2620[[#This Row],[Mrd m3 '[2035'] SP]])*9.77</f>
        <v>5.9650441096479057</v>
      </c>
      <c r="H9" s="2"/>
      <c r="K9" s="2"/>
      <c r="M9" t="str">
        <f t="shared" si="0"/>
        <v>HR_Prod</v>
      </c>
      <c r="N9" t="str">
        <f>Table2620[[#This Row],[Country]]</f>
        <v>HR</v>
      </c>
    </row>
    <row r="10" spans="1:14">
      <c r="A10" t="s">
        <v>28</v>
      </c>
      <c r="B10" t="s">
        <v>61</v>
      </c>
      <c r="C10" s="3">
        <f t="shared" si="1"/>
        <v>0.15097213500783715</v>
      </c>
      <c r="D10" s="2">
        <v>1821.8021300000003</v>
      </c>
      <c r="E10" s="2"/>
      <c r="F10" s="2">
        <f>Table2620[[#This Row],[TWh '[2020']]]*1000</f>
        <v>1474.9977590265692</v>
      </c>
      <c r="G10" s="3">
        <f>(Table2620[[#This Row],[Mrd m3 '[2035'] SP]])*9.77</f>
        <v>1.474997759026569</v>
      </c>
      <c r="H10" s="2"/>
      <c r="M10" t="str">
        <f t="shared" si="0"/>
        <v>CZ_Prod</v>
      </c>
      <c r="N10" t="str">
        <f>Table2620[[#This Row],[Country]]</f>
        <v>CZ</v>
      </c>
    </row>
    <row r="11" spans="1:14">
      <c r="A11" t="s">
        <v>26</v>
      </c>
      <c r="B11" t="s">
        <v>60</v>
      </c>
      <c r="C11" s="3">
        <f t="shared" si="1"/>
        <v>1.4585361215674901</v>
      </c>
      <c r="D11" s="2">
        <v>17600.3619</v>
      </c>
      <c r="E11" s="2"/>
      <c r="F11" s="2">
        <f>Table2620[[#This Row],[TWh '[2020']]]*1000</f>
        <v>14249.897907714378</v>
      </c>
      <c r="G11" s="3">
        <f>(Table2620[[#This Row],[Mrd m3 '[2035'] SP]])*9.77</f>
        <v>14.249897907714377</v>
      </c>
      <c r="H11" s="2"/>
      <c r="M11" t="str">
        <f t="shared" si="0"/>
        <v>DK_Prod</v>
      </c>
      <c r="N11" t="str">
        <f>Table2620[[#This Row],[Country]]</f>
        <v>DK</v>
      </c>
    </row>
    <row r="12" spans="1:14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Table2620[[#This Row],[TWh '[2020']]]*1000</f>
        <v>0</v>
      </c>
      <c r="G12" s="3">
        <f>(Table2620[[#This Row],[Mrd m3 '[2035'] SP]])*9.77</f>
        <v>0</v>
      </c>
      <c r="H12" s="2"/>
      <c r="M12" t="str">
        <f t="shared" si="0"/>
        <v>EE_Prod</v>
      </c>
      <c r="N12" t="str">
        <f>Table2620[[#This Row],[Country]]</f>
        <v>EE</v>
      </c>
    </row>
    <row r="13" spans="1:14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Table2620[[#This Row],[TWh '[2020']]]*1000</f>
        <v>0</v>
      </c>
      <c r="G13" s="3">
        <f>(Table2620[[#This Row],[Mrd m3 '[2035'] SP]])*9.77</f>
        <v>0</v>
      </c>
      <c r="H13" s="2"/>
      <c r="M13" t="str">
        <f t="shared" si="0"/>
        <v>FI_Prod</v>
      </c>
      <c r="N13" t="str">
        <f>Table2620[[#This Row],[Country]]</f>
        <v>FI</v>
      </c>
    </row>
    <row r="14" spans="1:14">
      <c r="A14" t="s">
        <v>25</v>
      </c>
      <c r="B14" t="s">
        <v>2</v>
      </c>
      <c r="C14" s="3">
        <f t="shared" si="1"/>
        <v>1.0020063082104758E-2</v>
      </c>
      <c r="D14" s="2">
        <v>120.91351999999998</v>
      </c>
      <c r="E14" s="2"/>
      <c r="F14" s="2">
        <f>Table2620[[#This Row],[TWh '[2020']]]*1000</f>
        <v>97.896016312163482</v>
      </c>
      <c r="G14" s="3">
        <f>(Table2620[[#This Row],[Mrd m3 '[2035'] SP]])*9.77</f>
        <v>9.7896016312163478E-2</v>
      </c>
      <c r="H14" s="2"/>
      <c r="M14" t="str">
        <f t="shared" si="0"/>
        <v>FR_Prod</v>
      </c>
      <c r="N14" t="str">
        <f>Table2620[[#This Row],[Country]]</f>
        <v>FR</v>
      </c>
    </row>
    <row r="15" spans="1:14">
      <c r="A15" t="s">
        <v>19</v>
      </c>
      <c r="B15" t="s">
        <v>56</v>
      </c>
      <c r="C15" s="3">
        <f t="shared" si="1"/>
        <v>3.1357227146890536</v>
      </c>
      <c r="D15" s="2">
        <v>37839.21</v>
      </c>
      <c r="E15" s="2"/>
      <c r="F15" s="2">
        <f>Table2620[[#This Row],[TWh '[2020']]]*1000</f>
        <v>30636.010922512054</v>
      </c>
      <c r="G15" s="3">
        <f>(Table2620[[#This Row],[Mrd m3 '[2035'] SP]])*9.77</f>
        <v>30.636010922512053</v>
      </c>
      <c r="H15" s="2"/>
      <c r="M15" t="str">
        <f t="shared" si="0"/>
        <v>DE_Prod</v>
      </c>
      <c r="N15" t="str">
        <f>Table2620[[#This Row],[Country]]</f>
        <v>DE</v>
      </c>
    </row>
    <row r="16" spans="1:14">
      <c r="A16" t="s">
        <v>264</v>
      </c>
      <c r="B16" t="s">
        <v>3</v>
      </c>
      <c r="C16" s="3">
        <f t="shared" si="1"/>
        <v>1.6119865543366659E-3</v>
      </c>
      <c r="D16" s="2">
        <v>19.452070000000003</v>
      </c>
      <c r="E16" s="2"/>
      <c r="F16" s="2">
        <f>Table2620[[#This Row],[TWh '[2020']]]*1000</f>
        <v>15.749108635869227</v>
      </c>
      <c r="G16" s="3">
        <f>(Table2620[[#This Row],[Mrd m3 '[2035'] SP]])*9.77</f>
        <v>1.5749108635869227E-2</v>
      </c>
      <c r="H16" s="2"/>
      <c r="M16" t="str">
        <f t="shared" si="0"/>
        <v>EL_Prod</v>
      </c>
      <c r="N16" t="str">
        <f>Table2620[[#This Row],[Country]]</f>
        <v>EL</v>
      </c>
    </row>
    <row r="17" spans="1:14">
      <c r="A17" t="s">
        <v>30</v>
      </c>
      <c r="B17" t="s">
        <v>63</v>
      </c>
      <c r="C17" s="3">
        <f t="shared" si="1"/>
        <v>1.3956516435788768</v>
      </c>
      <c r="D17" s="2">
        <v>16841.525999999998</v>
      </c>
      <c r="E17" s="2"/>
      <c r="F17" s="2">
        <f>Table2620[[#This Row],[TWh '[2020']]]*1000</f>
        <v>13635.516557765626</v>
      </c>
      <c r="G17" s="3">
        <f>(Table2620[[#This Row],[Mrd m3 '[2035'] SP]])*9.77</f>
        <v>13.635516557765627</v>
      </c>
      <c r="H17" s="2"/>
      <c r="M17" t="str">
        <f t="shared" si="0"/>
        <v>HU_Prod</v>
      </c>
      <c r="N17" t="str">
        <f>Table2620[[#This Row],[Country]]</f>
        <v>HU</v>
      </c>
    </row>
    <row r="18" spans="1:14">
      <c r="A18" t="s">
        <v>43</v>
      </c>
      <c r="B18" t="s">
        <v>135</v>
      </c>
      <c r="C18" s="3">
        <f t="shared" si="1"/>
        <v>0.8750431381862146</v>
      </c>
      <c r="D18" s="2">
        <v>10559.26945</v>
      </c>
      <c r="E18" s="2"/>
      <c r="F18" s="2">
        <f>Table2620[[#This Row],[TWh '[2020']]]*1000</f>
        <v>8549.1714600793166</v>
      </c>
      <c r="G18" s="3">
        <f>(Table2620[[#This Row],[Mrd m3 '[2035'] SP]])*9.77</f>
        <v>8.5491714600793163</v>
      </c>
      <c r="H18" s="2"/>
      <c r="M18" t="str">
        <f t="shared" si="0"/>
        <v>IE_Prod</v>
      </c>
      <c r="N18" t="str">
        <f>Table2620[[#This Row],[Country]]</f>
        <v>IE</v>
      </c>
    </row>
    <row r="19" spans="1:14">
      <c r="A19" t="s">
        <v>21</v>
      </c>
      <c r="B19" t="s">
        <v>4</v>
      </c>
      <c r="C19" s="3">
        <f t="shared" si="1"/>
        <v>2.3805292789899823</v>
      </c>
      <c r="D19" s="2">
        <v>28726.18388</v>
      </c>
      <c r="E19" s="2"/>
      <c r="F19" s="2">
        <f>Table2620[[#This Row],[TWh '[2020']]]*1000</f>
        <v>23257.77105573213</v>
      </c>
      <c r="G19" s="3">
        <f>(Table2620[[#This Row],[Mrd m3 '[2035'] SP]])*9.77</f>
        <v>23.257771055732128</v>
      </c>
      <c r="H19" s="2"/>
      <c r="M19" t="str">
        <f t="shared" si="0"/>
        <v>IT_Prod</v>
      </c>
      <c r="N19" t="str">
        <f>Table2620[[#This Row],[Country]]</f>
        <v>IT</v>
      </c>
    </row>
    <row r="20" spans="1:14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Table2620[[#This Row],[TWh '[2020']]]*1000</f>
        <v>0</v>
      </c>
      <c r="G20" s="3">
        <f>(Table2620[[#This Row],[Mrd m3 '[2035'] SP]])*9.77</f>
        <v>0</v>
      </c>
      <c r="H20" s="2"/>
      <c r="M20" t="str">
        <f t="shared" si="0"/>
        <v>LV_Prod</v>
      </c>
      <c r="N20" t="str">
        <f>Table2620[[#This Row],[Country]]</f>
        <v>LV</v>
      </c>
    </row>
    <row r="21" spans="1:14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Table2620[[#This Row],[TWh '[2020']]]*1000</f>
        <v>187183.9863060849</v>
      </c>
      <c r="G21" s="3">
        <f>(Table2620[[#This Row],[Mrd m3 '[2035'] SP]])*9.77</f>
        <v>187.1839863060849</v>
      </c>
      <c r="H21" s="2"/>
      <c r="M21" t="str">
        <f t="shared" si="0"/>
        <v>LY_Prod</v>
      </c>
      <c r="N21" t="str">
        <f>Table2620[[#This Row],[Country]]</f>
        <v>LY</v>
      </c>
    </row>
    <row r="22" spans="1:14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Table2620[[#This Row],[TWh '[2020']]]*1000</f>
        <v>0</v>
      </c>
      <c r="G22" s="3">
        <f>(Table2620[[#This Row],[Mrd m3 '[2035'] SP]])*9.77</f>
        <v>0</v>
      </c>
      <c r="H22" s="2"/>
      <c r="M22" t="str">
        <f t="shared" si="0"/>
        <v>LT_Prod</v>
      </c>
      <c r="N22" t="str">
        <f>Table2620[[#This Row],[Country]]</f>
        <v>LT</v>
      </c>
    </row>
    <row r="23" spans="1:14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Table2620[[#This Row],[TWh '[2020']]]*1000</f>
        <v>0</v>
      </c>
      <c r="G23" s="3">
        <f>(Table2620[[#This Row],[Mrd m3 '[2035'] SP]])*9.77</f>
        <v>0</v>
      </c>
      <c r="H23" s="2"/>
      <c r="M23" t="str">
        <f t="shared" si="0"/>
        <v>LU_Prod</v>
      </c>
      <c r="N23" t="str">
        <f>Table2620[[#This Row],[Country]]</f>
        <v>LU</v>
      </c>
    </row>
    <row r="24" spans="1:14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Table2620[[#This Row],[TWh '[2020']]]*1000</f>
        <v>0</v>
      </c>
      <c r="G24" s="3">
        <f>(Table2620[[#This Row],[Mrd m3 '[2035'] SP]])*9.77</f>
        <v>0</v>
      </c>
      <c r="H24" s="2"/>
      <c r="M24" t="str">
        <f t="shared" si="0"/>
        <v>MD_Prod</v>
      </c>
      <c r="N24" t="str">
        <f>Table2620[[#This Row],[Country]]</f>
        <v>MD</v>
      </c>
    </row>
    <row r="25" spans="1:14">
      <c r="A25" t="s">
        <v>18</v>
      </c>
      <c r="B25" t="s">
        <v>7</v>
      </c>
      <c r="C25" s="3">
        <f>$J$5*(D25/$K$5)</f>
        <v>7.965831133686903</v>
      </c>
      <c r="D25" s="2">
        <v>96124.812210000018</v>
      </c>
      <c r="E25" s="2"/>
      <c r="F25" s="2">
        <f>Table2620[[#This Row],[TWh '[2020']]]*1000</f>
        <v>77826.170176121042</v>
      </c>
      <c r="G25" s="3">
        <f>(Table2620[[#This Row],[Mrd m3 '[2035'] SP]])*9.77</f>
        <v>77.826170176121039</v>
      </c>
      <c r="H25" s="2"/>
      <c r="M25" t="str">
        <f t="shared" si="0"/>
        <v>NL_Prod</v>
      </c>
      <c r="N25" t="str">
        <f>Table2620[[#This Row],[Country]]</f>
        <v>NL</v>
      </c>
    </row>
    <row r="26" spans="1:14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Table2620[[#This Row],[TWh '[2020']]]*1000</f>
        <v>0</v>
      </c>
      <c r="G26" s="3">
        <f>(Table2620[[#This Row],[Mrd m3 '[2035'] SP]])*9.77</f>
        <v>0</v>
      </c>
      <c r="H26" s="2"/>
      <c r="M26" t="str">
        <f t="shared" si="0"/>
        <v>MK_Prod</v>
      </c>
      <c r="N26" t="str">
        <f>Table2620[[#This Row],[Country]]</f>
        <v>MK</v>
      </c>
    </row>
    <row r="27" spans="1:14">
      <c r="A27" t="s">
        <v>48</v>
      </c>
      <c r="B27" t="s">
        <v>71</v>
      </c>
      <c r="C27" s="3">
        <f>$J$6*(D27/$K$6)</f>
        <v>103.80126173135578</v>
      </c>
      <c r="D27" s="2">
        <v>1152595.2818499999</v>
      </c>
      <c r="E27" s="2"/>
      <c r="F27" s="2">
        <f>Table2620[[#This Row],[TWh '[2020']]]*1000</f>
        <v>1014138.3271153459</v>
      </c>
      <c r="G27" s="3">
        <f>(Table2620[[#This Row],[Mrd m3 '[2035'] SP]])*9.77</f>
        <v>1014.1383271153459</v>
      </c>
      <c r="H27" s="2"/>
      <c r="M27" t="str">
        <f t="shared" si="0"/>
        <v>NO_Prod</v>
      </c>
      <c r="N27" t="str">
        <f>Table2620[[#This Row],[Country]]</f>
        <v>NO</v>
      </c>
    </row>
    <row r="28" spans="1:14">
      <c r="A28" t="s">
        <v>27</v>
      </c>
      <c r="B28" t="s">
        <v>8</v>
      </c>
      <c r="C28" s="3">
        <f>$J$5*(D28/$K$5)</f>
        <v>2.9122735066618866</v>
      </c>
      <c r="D28" s="2">
        <v>35142.816767503326</v>
      </c>
      <c r="E28" s="2"/>
      <c r="F28" s="2">
        <f>Table2620[[#This Row],[TWh '[2020']]]*1000</f>
        <v>28452.912160086631</v>
      </c>
      <c r="G28" s="3">
        <f>(Table2620[[#This Row],[Mrd m3 '[2035'] SP]])*9.77</f>
        <v>28.45291216008663</v>
      </c>
      <c r="H28" s="2"/>
      <c r="M28" t="str">
        <f t="shared" si="0"/>
        <v>PL_Prod</v>
      </c>
      <c r="N28" t="str">
        <f>Table2620[[#This Row],[Country]]</f>
        <v>PL</v>
      </c>
    </row>
    <row r="29" spans="1:14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Table2620[[#This Row],[TWh '[2020']]]*1000</f>
        <v>0</v>
      </c>
      <c r="G29" s="3">
        <f>(Table2620[[#This Row],[Mrd m3 '[2035'] SP]])*9.77</f>
        <v>0</v>
      </c>
      <c r="H29" s="2"/>
      <c r="M29" t="str">
        <f t="shared" si="0"/>
        <v>PT_Prod</v>
      </c>
      <c r="N29" t="str">
        <f>Table2620[[#This Row],[Country]]</f>
        <v>PT</v>
      </c>
    </row>
    <row r="30" spans="1:14">
      <c r="A30" t="s">
        <v>33</v>
      </c>
      <c r="B30" t="s">
        <v>86</v>
      </c>
      <c r="C30" s="3">
        <f>$J$5*(D30/$K$5)</f>
        <v>7.5879146093637511</v>
      </c>
      <c r="D30" s="2">
        <v>91564.439999999988</v>
      </c>
      <c r="E30" s="2"/>
      <c r="F30" s="2">
        <f>Table2620[[#This Row],[TWh '[2020']]]*1000</f>
        <v>74133.925733483848</v>
      </c>
      <c r="G30" s="3">
        <f>(Table2620[[#This Row],[Mrd m3 '[2035'] SP]])*9.77</f>
        <v>74.133925733483849</v>
      </c>
      <c r="H30" s="2"/>
      <c r="M30" t="str">
        <f t="shared" si="0"/>
        <v>RO_Prod</v>
      </c>
      <c r="N30" t="str">
        <f>Table2620[[#This Row],[Country]]</f>
        <v>RO</v>
      </c>
    </row>
    <row r="31" spans="1:14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Table2620[[#This Row],[TWh '[2020']]]*1000</f>
        <v>6635799.3179368693</v>
      </c>
      <c r="G31" s="3">
        <f>(Table2620[[#This Row],[Mrd m3 '[2035'] SP]])*9.77</f>
        <v>6635.7993179368696</v>
      </c>
      <c r="H31" s="2"/>
      <c r="M31" t="str">
        <f t="shared" si="0"/>
        <v>RU_Prod</v>
      </c>
      <c r="N31" t="str">
        <f>Table2620[[#This Row],[Country]]</f>
        <v>RU</v>
      </c>
    </row>
    <row r="32" spans="1:14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Table2620[[#This Row],[TWh '[2020']]]*1000</f>
        <v>0</v>
      </c>
      <c r="G32" s="3">
        <f>(Table2620[[#This Row],[Mrd m3 '[2035'] SP]])*9.77</f>
        <v>0</v>
      </c>
      <c r="H32" s="2"/>
      <c r="M32" t="str">
        <f t="shared" si="0"/>
        <v>SM_Prod</v>
      </c>
      <c r="N32" t="str">
        <f>Table2620[[#This Row],[Country]]</f>
        <v>SM</v>
      </c>
    </row>
    <row r="33" spans="1:14">
      <c r="A33" t="s">
        <v>31</v>
      </c>
      <c r="B33" t="s">
        <v>72</v>
      </c>
      <c r="C33" s="3">
        <f>$J$6*(D33/$K$6)</f>
        <v>0.25956275477619167</v>
      </c>
      <c r="D33" s="2">
        <v>2882.1499999999996</v>
      </c>
      <c r="E33" s="2"/>
      <c r="F33" s="2">
        <f>Table2620[[#This Row],[TWh '[2020']]]*1000</f>
        <v>2535.9281141633928</v>
      </c>
      <c r="G33" s="3">
        <f>(Table2620[[#This Row],[Mrd m3 '[2035'] SP]])*9.77</f>
        <v>2.5359281141633927</v>
      </c>
      <c r="H33" s="2"/>
      <c r="M33" t="str">
        <f t="shared" si="0"/>
        <v>RS_Prod</v>
      </c>
      <c r="N33" t="str">
        <f>Table2620[[#This Row],[Country]]</f>
        <v>RS</v>
      </c>
    </row>
    <row r="34" spans="1:14">
      <c r="A34" t="s">
        <v>29</v>
      </c>
      <c r="B34" t="s">
        <v>62</v>
      </c>
      <c r="C34" s="3">
        <f>$J$5*(D34/$K$5)</f>
        <v>3.2415422238059807E-2</v>
      </c>
      <c r="D34" s="2">
        <v>391.16148999999996</v>
      </c>
      <c r="E34" s="2"/>
      <c r="F34" s="2">
        <f>Table2620[[#This Row],[TWh '[2020']]]*1000</f>
        <v>316.69867526584426</v>
      </c>
      <c r="G34" s="3">
        <f>(Table2620[[#This Row],[Mrd m3 '[2035'] SP]])*9.77</f>
        <v>0.31669867526584428</v>
      </c>
      <c r="H34" s="2"/>
      <c r="M34" t="str">
        <f t="shared" si="0"/>
        <v>SK_Prod</v>
      </c>
      <c r="N34" t="str">
        <f>Table2620[[#This Row],[Country]]</f>
        <v>SK</v>
      </c>
    </row>
    <row r="35" spans="1:14">
      <c r="A35" t="s">
        <v>23</v>
      </c>
      <c r="B35" t="s">
        <v>59</v>
      </c>
      <c r="C35" s="3">
        <f>$J$5*(D35/$K$5)</f>
        <v>3.0782385131029647E-3</v>
      </c>
      <c r="D35" s="2">
        <v>37.145539999999997</v>
      </c>
      <c r="E35" s="2"/>
      <c r="F35" s="2">
        <f>Table2620[[#This Row],[TWh '[2020']]]*1000</f>
        <v>30.074390273015965</v>
      </c>
      <c r="G35" s="3">
        <f>(Table2620[[#This Row],[Mrd m3 '[2035'] SP]])*9.77</f>
        <v>3.0074390273015963E-2</v>
      </c>
      <c r="H35" s="2"/>
      <c r="M35" t="str">
        <f t="shared" si="0"/>
        <v>SI_Prod</v>
      </c>
      <c r="N35" t="str">
        <f>Table2620[[#This Row],[Country]]</f>
        <v>SI</v>
      </c>
    </row>
    <row r="36" spans="1:14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Table2620[[#This Row],[TWh '[2020']]]*1000</f>
        <v>0</v>
      </c>
      <c r="G36" s="3">
        <f>(Table2620[[#This Row],[Mrd m3 '[2035'] SP]])*9.77</f>
        <v>0</v>
      </c>
      <c r="H36" s="2"/>
      <c r="M36" t="str">
        <f t="shared" si="0"/>
        <v>CH_Prod</v>
      </c>
      <c r="N36" t="str">
        <f>Table2620[[#This Row],[Country]]</f>
        <v>CH</v>
      </c>
    </row>
    <row r="37" spans="1:14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Table2620[[#This Row],[TWh '[2020']]]*1000</f>
        <v>21156.756037879688</v>
      </c>
      <c r="G37" s="3">
        <f>(Table2620[[#This Row],[Mrd m3 '[2035'] SP]])*9.77</f>
        <v>21.156756037879688</v>
      </c>
      <c r="H37" s="2"/>
      <c r="M37" t="str">
        <f t="shared" si="0"/>
        <v>TN_Prod</v>
      </c>
      <c r="N37" t="str">
        <f>Table2620[[#This Row],[Country]]</f>
        <v>TN</v>
      </c>
    </row>
    <row r="38" spans="1:14">
      <c r="A38" t="s">
        <v>46</v>
      </c>
      <c r="B38" t="s">
        <v>10</v>
      </c>
      <c r="C38" s="3">
        <f>$J$6*(D38/$K$6)</f>
        <v>1.9877315760760759</v>
      </c>
      <c r="D38" s="2">
        <v>22071.504700000001</v>
      </c>
      <c r="E38" s="2"/>
      <c r="F38" s="2">
        <f>Table2620[[#This Row],[TWh '[2020']]]*1000</f>
        <v>19420.137498263259</v>
      </c>
      <c r="G38" s="3">
        <f>(Table2620[[#This Row],[Mrd m3 '[2035'] SP]])*9.77</f>
        <v>19.420137498263259</v>
      </c>
      <c r="H38" s="2"/>
      <c r="M38" t="str">
        <f t="shared" si="0"/>
        <v>TR_Prod</v>
      </c>
      <c r="N38" t="str">
        <f>Table2620[[#This Row],[Country]]</f>
        <v>TR</v>
      </c>
    </row>
    <row r="39" spans="1:14">
      <c r="A39" t="s">
        <v>11</v>
      </c>
      <c r="B39" t="s">
        <v>11</v>
      </c>
      <c r="C39" s="3">
        <f>$J$6*(D39/$K$6)</f>
        <v>30.332068689540982</v>
      </c>
      <c r="D39" s="2">
        <v>336803.22066600004</v>
      </c>
      <c r="E39" s="2"/>
      <c r="F39" s="2">
        <f>Table2620[[#This Row],[TWh '[2020']]]*1000</f>
        <v>296344.31109681539</v>
      </c>
      <c r="G39" s="3">
        <f>(Table2620[[#This Row],[Mrd m3 '[2035'] SP]])*9.77</f>
        <v>296.34431109681537</v>
      </c>
      <c r="H39" s="2"/>
      <c r="M39" t="str">
        <f t="shared" si="0"/>
        <v>UK_Prod</v>
      </c>
      <c r="N39" t="str">
        <f>Table2620[[#This Row],[Country]]</f>
        <v>UK</v>
      </c>
    </row>
    <row r="40" spans="1:14">
      <c r="A40" t="s">
        <v>38</v>
      </c>
      <c r="B40" t="s">
        <v>67</v>
      </c>
      <c r="C40" s="3">
        <f>$J$6*(D40/$K$6)</f>
        <v>15.571905179834273</v>
      </c>
      <c r="D40" s="2">
        <v>172908.34562438543</v>
      </c>
      <c r="E40" s="2"/>
      <c r="F40" s="2">
        <f>Table2620[[#This Row],[TWh '[2020']]]*1000</f>
        <v>152137.51360698082</v>
      </c>
      <c r="G40" s="3">
        <f>(Table2620[[#This Row],[Mrd m3 '[2035'] SP]])*9.77</f>
        <v>152.13751360698083</v>
      </c>
      <c r="H40" s="2"/>
      <c r="M40" t="str">
        <f t="shared" si="0"/>
        <v>UA_Prod</v>
      </c>
      <c r="N40" t="str">
        <f>Table2620[[#This Row],[Country]]</f>
        <v>UA</v>
      </c>
    </row>
    <row r="41" spans="1:14">
      <c r="A41" t="s">
        <v>87</v>
      </c>
      <c r="B41" t="s">
        <v>88</v>
      </c>
      <c r="C41" s="2"/>
      <c r="D41" s="2"/>
      <c r="E41" s="2"/>
      <c r="F41" s="2">
        <f>Table2620[[#This Row],[TWh '[2020']]]*1000</f>
        <v>0</v>
      </c>
      <c r="G41" s="3">
        <f>(Table2620[[#This Row],[Mrd m3 '[2035'] SP]])*9.77</f>
        <v>0</v>
      </c>
      <c r="H41" s="2"/>
      <c r="M41" t="str">
        <f t="shared" si="0"/>
        <v>OE_Prod</v>
      </c>
      <c r="N41" t="str">
        <f>Table2620[[#This Row],[Country]]</f>
        <v>OE</v>
      </c>
    </row>
    <row r="42" spans="1:14">
      <c r="A42" t="s">
        <v>36</v>
      </c>
      <c r="B42" t="s">
        <v>9</v>
      </c>
      <c r="C42" s="3">
        <f>$J$5*(D42/$K$5)</f>
        <v>1.7378850521766211E-2</v>
      </c>
      <c r="D42" s="2">
        <v>209.71305000000001</v>
      </c>
      <c r="E42" s="2"/>
      <c r="F42" s="2">
        <f>Table2620[[#This Row],[TWh '[2020']]]*1000</f>
        <v>169.79136959765586</v>
      </c>
      <c r="G42" s="3">
        <f>(Table2620[[#This Row],[Mrd m3 '[2035'] SP]])*9.77</f>
        <v>0.16979136959765587</v>
      </c>
      <c r="M42" t="str">
        <f t="shared" si="0"/>
        <v>ES_Prod</v>
      </c>
      <c r="N42" t="str">
        <f>Table2620[[#This Row],[Country]]</f>
        <v>ES</v>
      </c>
    </row>
    <row r="44" spans="1:14">
      <c r="C44" s="2">
        <f>SUM(Table2620[Mrd m3 '[2035'] SP])</f>
        <v>1000.8246799340053</v>
      </c>
      <c r="D44" s="2">
        <f>SUM(Table2620[Mil m3 EU '[2024']])/1000+C31+C37+C21+C3</f>
        <v>9755.9299794729995</v>
      </c>
      <c r="E44">
        <f>SUMIF(Table2620[Mil m3 EU '[2024']],"&gt;0",Table2620[Mrd m3 EU '[2020']])</f>
        <v>0</v>
      </c>
    </row>
    <row r="45" spans="1:14">
      <c r="C45" s="3">
        <f>C44-C37-C31-C3-C21-C5</f>
        <v>181.00000000000011</v>
      </c>
      <c r="E45" s="2"/>
      <c r="F45" s="2"/>
    </row>
    <row r="46" spans="1:14">
      <c r="A46" t="s">
        <v>295</v>
      </c>
      <c r="B46" t="s">
        <v>296</v>
      </c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561FF-3CAF-499E-B5E7-936081CDB469}">
  <dimension ref="A1:N49"/>
  <sheetViews>
    <sheetView workbookViewId="0">
      <selection activeCell="A46" sqref="A46:B46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1" max="11" width="9.1796875" bestFit="1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3">
        <f>$J$6*(D2/$K$6)</f>
        <v>3.6851763639290304E-2</v>
      </c>
      <c r="D2" s="2">
        <v>527.10126999999989</v>
      </c>
      <c r="E2" s="2"/>
      <c r="F2" s="2">
        <f>Table262021[[#This Row],[TWh '[2020']]]*1000</f>
        <v>360.04173075586624</v>
      </c>
      <c r="G2" s="3">
        <f>(Table262021[[#This Row],[Mrd m3 '[2035'] SP]])*9.77</f>
        <v>0.36004173075586626</v>
      </c>
      <c r="H2" s="2"/>
      <c r="J2" t="s">
        <v>101</v>
      </c>
      <c r="M2" t="str">
        <f t="shared" ref="M2:M42" si="0">_xlfn.CONCAT(A2,$J$2)</f>
        <v>AL_Prod</v>
      </c>
      <c r="N2" t="str">
        <f>Table262021[[#This Row],[Country]]</f>
        <v>AL</v>
      </c>
    </row>
    <row r="3" spans="1:14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Table262021[[#This Row],[TWh '[2020']]]*1000</f>
        <v>1165547.0626743955</v>
      </c>
      <c r="G3" s="3">
        <f>(Table262021[[#This Row],[Mrd m3 '[2035'] SP]])*9.77</f>
        <v>1165.5470626743954</v>
      </c>
      <c r="H3" s="2"/>
      <c r="M3" t="str">
        <f t="shared" si="0"/>
        <v>DZ_Prod</v>
      </c>
      <c r="N3" t="str">
        <f>Table262021[[#This Row],[Country]]</f>
        <v>DZ</v>
      </c>
    </row>
    <row r="4" spans="1:14">
      <c r="A4" t="s">
        <v>20</v>
      </c>
      <c r="B4" t="s">
        <v>57</v>
      </c>
      <c r="C4" s="3">
        <f>$J$5*(D4/$K$5)</f>
        <v>0.13771215735076195</v>
      </c>
      <c r="D4" s="2">
        <v>5354.6634399999994</v>
      </c>
      <c r="E4" s="2"/>
      <c r="F4" s="2">
        <f>Table262021[[#This Row],[TWh '[2020']]]*1000</f>
        <v>1345.4477773169442</v>
      </c>
      <c r="G4" s="3">
        <f>(Table262021[[#This Row],[Mrd m3 '[2035'] SP]])*9.77</f>
        <v>1.3454477773169442</v>
      </c>
      <c r="H4" s="2"/>
      <c r="J4" t="s">
        <v>306</v>
      </c>
      <c r="K4">
        <v>2024</v>
      </c>
      <c r="M4" t="str">
        <f t="shared" si="0"/>
        <v>AT_Prod</v>
      </c>
      <c r="N4" t="str">
        <f>Table262021[[#This Row],[Country]]</f>
        <v>AT</v>
      </c>
    </row>
    <row r="5" spans="1:14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Table262021[[#This Row],[TWh '[2020']]]*1000</f>
        <v>0</v>
      </c>
      <c r="G5" s="3">
        <f>(Table262021[[#This Row],[Mrd m3 '[2035'] SP]])*9.77</f>
        <v>0</v>
      </c>
      <c r="H5" s="2"/>
      <c r="I5" t="s">
        <v>294</v>
      </c>
      <c r="J5">
        <v>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Table262021[[#This Row],[Country]]</f>
        <v>BY</v>
      </c>
    </row>
    <row r="6" spans="1:14">
      <c r="A6" t="s">
        <v>17</v>
      </c>
      <c r="B6" t="s">
        <v>0</v>
      </c>
      <c r="C6" s="3">
        <f>$J$5*(D6/$K$5)</f>
        <v>3.7689981613025832E-3</v>
      </c>
      <c r="D6" s="2">
        <v>146.54999999999998</v>
      </c>
      <c r="E6" s="2"/>
      <c r="F6" s="2">
        <f>Table262021[[#This Row],[TWh '[2020']]]*1000</f>
        <v>36.823112035926236</v>
      </c>
      <c r="G6" s="3">
        <f>(Table262021[[#This Row],[Mrd m3 '[2035'] SP]])*9.77</f>
        <v>3.6823112035926239E-2</v>
      </c>
      <c r="H6" s="2"/>
      <c r="I6" t="s">
        <v>307</v>
      </c>
      <c r="J6">
        <f>127-J5</f>
        <v>118</v>
      </c>
      <c r="K6" s="2">
        <f>D2+D5+D7+D24+D26+D27+D32+D33+D36+D38+D39+D40</f>
        <v>1687787.6041103853</v>
      </c>
      <c r="M6" t="str">
        <f t="shared" si="0"/>
        <v>BE_Prod</v>
      </c>
      <c r="N6" t="str">
        <f>Table262021[[#This Row],[Country]]</f>
        <v>BE</v>
      </c>
    </row>
    <row r="7" spans="1:14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Table262021[[#This Row],[TWh '[2020']]]*1000</f>
        <v>0</v>
      </c>
      <c r="G7" s="3">
        <f>(Table262021[[#This Row],[Mrd m3 '[2035'] SP]])*9.77</f>
        <v>0</v>
      </c>
      <c r="H7" s="2"/>
      <c r="M7" t="str">
        <f t="shared" si="0"/>
        <v>BA_Prod</v>
      </c>
      <c r="N7" t="str">
        <f>Table262021[[#This Row],[Country]]</f>
        <v>BA</v>
      </c>
    </row>
    <row r="8" spans="1:14">
      <c r="A8" t="s">
        <v>32</v>
      </c>
      <c r="B8" t="s">
        <v>64</v>
      </c>
      <c r="C8" s="3">
        <f t="shared" ref="C8:C20" si="1">$J$5*(D8/$K$5)</f>
        <v>2.0453096688668689E-3</v>
      </c>
      <c r="D8" s="2">
        <v>79.527800000000013</v>
      </c>
      <c r="E8" s="2"/>
      <c r="F8" s="2">
        <f>Table262021[[#This Row],[TWh '[2020']]]*1000</f>
        <v>19.98267546482931</v>
      </c>
      <c r="G8" s="3">
        <f>(Table262021[[#This Row],[Mrd m3 '[2035'] SP]])*9.77</f>
        <v>1.9982675464829309E-2</v>
      </c>
      <c r="H8" s="2"/>
      <c r="K8" s="2"/>
      <c r="M8" t="str">
        <f t="shared" si="0"/>
        <v>BG_Prod</v>
      </c>
      <c r="N8" t="str">
        <f>Table262021[[#This Row],[Country]]</f>
        <v>BG</v>
      </c>
    </row>
    <row r="9" spans="1:14">
      <c r="A9" t="s">
        <v>24</v>
      </c>
      <c r="B9" t="s">
        <v>5</v>
      </c>
      <c r="C9" s="3">
        <f t="shared" si="1"/>
        <v>0.18948010089588521</v>
      </c>
      <c r="D9" s="2">
        <v>7367.5569999999998</v>
      </c>
      <c r="E9" s="2"/>
      <c r="F9" s="2">
        <f>Table262021[[#This Row],[TWh '[2020']]]*1000</f>
        <v>1851.2205857527983</v>
      </c>
      <c r="G9" s="3">
        <f>(Table262021[[#This Row],[Mrd m3 '[2035'] SP]])*9.77</f>
        <v>1.8512205857527984</v>
      </c>
      <c r="H9" s="2"/>
      <c r="K9" s="2"/>
      <c r="M9" t="str">
        <f t="shared" si="0"/>
        <v>HR_Prod</v>
      </c>
      <c r="N9" t="str">
        <f>Table262021[[#This Row],[Country]]</f>
        <v>HR</v>
      </c>
    </row>
    <row r="10" spans="1:14">
      <c r="A10" t="s">
        <v>28</v>
      </c>
      <c r="B10" t="s">
        <v>61</v>
      </c>
      <c r="C10" s="3">
        <f t="shared" si="1"/>
        <v>4.6853421209328769E-2</v>
      </c>
      <c r="D10" s="2">
        <v>1821.8021300000003</v>
      </c>
      <c r="E10" s="2"/>
      <c r="F10" s="2">
        <f>Table262021[[#This Row],[TWh '[2020']]]*1000</f>
        <v>457.75792521514205</v>
      </c>
      <c r="G10" s="3">
        <f>(Table262021[[#This Row],[Mrd m3 '[2035'] SP]])*9.77</f>
        <v>0.45775792521514203</v>
      </c>
      <c r="H10" s="2"/>
      <c r="M10" t="str">
        <f t="shared" si="0"/>
        <v>CZ_Prod</v>
      </c>
      <c r="N10" t="str">
        <f>Table262021[[#This Row],[Country]]</f>
        <v>CZ</v>
      </c>
    </row>
    <row r="11" spans="1:14">
      <c r="A11" t="s">
        <v>26</v>
      </c>
      <c r="B11" t="s">
        <v>60</v>
      </c>
      <c r="C11" s="3">
        <f t="shared" si="1"/>
        <v>0.45264914117611765</v>
      </c>
      <c r="D11" s="2">
        <v>17600.3619</v>
      </c>
      <c r="E11" s="2"/>
      <c r="F11" s="2">
        <f>Table262021[[#This Row],[TWh '[2020']]]*1000</f>
        <v>4422.3821092906701</v>
      </c>
      <c r="G11" s="3">
        <f>(Table262021[[#This Row],[Mrd m3 '[2035'] SP]])*9.77</f>
        <v>4.4223821092906697</v>
      </c>
      <c r="H11" s="2"/>
      <c r="M11" t="str">
        <f t="shared" si="0"/>
        <v>DK_Prod</v>
      </c>
      <c r="N11" t="str">
        <f>Table262021[[#This Row],[Country]]</f>
        <v>DK</v>
      </c>
    </row>
    <row r="12" spans="1:14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Table262021[[#This Row],[TWh '[2020']]]*1000</f>
        <v>0</v>
      </c>
      <c r="G12" s="3">
        <f>(Table262021[[#This Row],[Mrd m3 '[2035'] SP]])*9.77</f>
        <v>0</v>
      </c>
      <c r="H12" s="2"/>
      <c r="M12" t="str">
        <f t="shared" si="0"/>
        <v>EE_Prod</v>
      </c>
      <c r="N12" t="str">
        <f>Table262021[[#This Row],[Country]]</f>
        <v>EE</v>
      </c>
    </row>
    <row r="13" spans="1:14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Table262021[[#This Row],[TWh '[2020']]]*1000</f>
        <v>0</v>
      </c>
      <c r="G13" s="3">
        <f>(Table262021[[#This Row],[Mrd m3 '[2035'] SP]])*9.77</f>
        <v>0</v>
      </c>
      <c r="H13" s="2"/>
      <c r="M13" t="str">
        <f t="shared" si="0"/>
        <v>FI_Prod</v>
      </c>
      <c r="N13" t="str">
        <f>Table262021[[#This Row],[Country]]</f>
        <v>FI</v>
      </c>
    </row>
    <row r="14" spans="1:14">
      <c r="A14" t="s">
        <v>25</v>
      </c>
      <c r="B14" t="s">
        <v>2</v>
      </c>
      <c r="C14" s="3">
        <f t="shared" si="1"/>
        <v>3.1096747496187176E-3</v>
      </c>
      <c r="D14" s="2">
        <v>120.91351999999998</v>
      </c>
      <c r="E14" s="2"/>
      <c r="F14" s="2">
        <f>Table262021[[#This Row],[TWh '[2020']]]*1000</f>
        <v>30.381522303774872</v>
      </c>
      <c r="G14" s="3">
        <f>(Table262021[[#This Row],[Mrd m3 '[2035'] SP]])*9.77</f>
        <v>3.0381522303774871E-2</v>
      </c>
      <c r="H14" s="2"/>
      <c r="M14" t="str">
        <f t="shared" si="0"/>
        <v>FR_Prod</v>
      </c>
      <c r="N14" t="str">
        <f>Table262021[[#This Row],[Country]]</f>
        <v>FR</v>
      </c>
    </row>
    <row r="15" spans="1:14">
      <c r="A15" t="s">
        <v>19</v>
      </c>
      <c r="B15" t="s">
        <v>56</v>
      </c>
      <c r="C15" s="3">
        <f t="shared" si="1"/>
        <v>0.97315532524832693</v>
      </c>
      <c r="D15" s="2">
        <v>37839.21</v>
      </c>
      <c r="E15" s="2"/>
      <c r="F15" s="2">
        <f>Table262021[[#This Row],[TWh '[2020']]]*1000</f>
        <v>9507.7275276761538</v>
      </c>
      <c r="G15" s="3">
        <f>(Table262021[[#This Row],[Mrd m3 '[2035'] SP]])*9.77</f>
        <v>9.5077275276761544</v>
      </c>
      <c r="H15" s="2"/>
      <c r="M15" t="str">
        <f t="shared" si="0"/>
        <v>DE_Prod</v>
      </c>
      <c r="N15" t="str">
        <f>Table262021[[#This Row],[Country]]</f>
        <v>DE</v>
      </c>
    </row>
    <row r="16" spans="1:14">
      <c r="A16" t="s">
        <v>264</v>
      </c>
      <c r="B16" t="s">
        <v>3</v>
      </c>
      <c r="C16" s="3">
        <f t="shared" si="1"/>
        <v>5.0027168927689624E-4</v>
      </c>
      <c r="D16" s="2">
        <v>19.452070000000003</v>
      </c>
      <c r="E16" s="2"/>
      <c r="F16" s="2">
        <f>Table262021[[#This Row],[TWh '[2020']]]*1000</f>
        <v>4.8876544042352759</v>
      </c>
      <c r="G16" s="3">
        <f>(Table262021[[#This Row],[Mrd m3 '[2035'] SP]])*9.77</f>
        <v>4.8876544042352763E-3</v>
      </c>
      <c r="H16" s="2"/>
      <c r="M16" t="str">
        <f t="shared" si="0"/>
        <v>EL_Prod</v>
      </c>
      <c r="N16" t="str">
        <f>Table262021[[#This Row],[Country]]</f>
        <v>EL</v>
      </c>
    </row>
    <row r="17" spans="1:14">
      <c r="A17" t="s">
        <v>30</v>
      </c>
      <c r="B17" t="s">
        <v>63</v>
      </c>
      <c r="C17" s="3">
        <f t="shared" si="1"/>
        <v>0.43313326869689284</v>
      </c>
      <c r="D17" s="2">
        <v>16841.525999999998</v>
      </c>
      <c r="E17" s="2"/>
      <c r="F17" s="2">
        <f>Table262021[[#This Row],[TWh '[2020']]]*1000</f>
        <v>4231.7120351686426</v>
      </c>
      <c r="G17" s="3">
        <f>(Table262021[[#This Row],[Mrd m3 '[2035'] SP]])*9.77</f>
        <v>4.231712035168643</v>
      </c>
      <c r="H17" s="2"/>
      <c r="M17" t="str">
        <f t="shared" si="0"/>
        <v>HU_Prod</v>
      </c>
      <c r="N17" t="str">
        <f>Table262021[[#This Row],[Country]]</f>
        <v>HU</v>
      </c>
    </row>
    <row r="18" spans="1:14">
      <c r="A18" t="s">
        <v>43</v>
      </c>
      <c r="B18" t="s">
        <v>135</v>
      </c>
      <c r="C18" s="3">
        <f t="shared" si="1"/>
        <v>0.27156511185089416</v>
      </c>
      <c r="D18" s="2">
        <v>10559.26945</v>
      </c>
      <c r="E18" s="2"/>
      <c r="F18" s="2">
        <f>Table262021[[#This Row],[TWh '[2020']]]*1000</f>
        <v>2653.191142783236</v>
      </c>
      <c r="G18" s="3">
        <f>(Table262021[[#This Row],[Mrd m3 '[2035'] SP]])*9.77</f>
        <v>2.653191142783236</v>
      </c>
      <c r="H18" s="2"/>
      <c r="M18" t="str">
        <f t="shared" si="0"/>
        <v>IE_Prod</v>
      </c>
      <c r="N18" t="str">
        <f>Table262021[[#This Row],[Country]]</f>
        <v>IE</v>
      </c>
    </row>
    <row r="19" spans="1:14">
      <c r="A19" t="s">
        <v>21</v>
      </c>
      <c r="B19" t="s">
        <v>4</v>
      </c>
      <c r="C19" s="3">
        <f t="shared" si="1"/>
        <v>0.73878494865206357</v>
      </c>
      <c r="D19" s="2">
        <v>28726.18388</v>
      </c>
      <c r="E19" s="2"/>
      <c r="F19" s="2">
        <f>Table262021[[#This Row],[TWh '[2020']]]*1000</f>
        <v>7217.9289483306611</v>
      </c>
      <c r="G19" s="3">
        <f>(Table262021[[#This Row],[Mrd m3 '[2035'] SP]])*9.77</f>
        <v>7.2179289483306608</v>
      </c>
      <c r="H19" s="2"/>
      <c r="M19" t="str">
        <f t="shared" si="0"/>
        <v>IT_Prod</v>
      </c>
      <c r="N19" t="str">
        <f>Table262021[[#This Row],[Country]]</f>
        <v>IT</v>
      </c>
    </row>
    <row r="20" spans="1:14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Table262021[[#This Row],[TWh '[2020']]]*1000</f>
        <v>0</v>
      </c>
      <c r="G20" s="3">
        <f>(Table262021[[#This Row],[Mrd m3 '[2035'] SP]])*9.77</f>
        <v>0</v>
      </c>
      <c r="H20" s="2"/>
      <c r="M20" t="str">
        <f t="shared" si="0"/>
        <v>LV_Prod</v>
      </c>
      <c r="N20" t="str">
        <f>Table262021[[#This Row],[Country]]</f>
        <v>LV</v>
      </c>
    </row>
    <row r="21" spans="1:14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Table262021[[#This Row],[TWh '[2020']]]*1000</f>
        <v>187183.9863060849</v>
      </c>
      <c r="G21" s="3">
        <f>(Table262021[[#This Row],[Mrd m3 '[2035'] SP]])*9.77</f>
        <v>187.1839863060849</v>
      </c>
      <c r="H21" s="2"/>
      <c r="M21" t="str">
        <f t="shared" si="0"/>
        <v>LY_Prod</v>
      </c>
      <c r="N21" t="str">
        <f>Table262021[[#This Row],[Country]]</f>
        <v>LY</v>
      </c>
    </row>
    <row r="22" spans="1:14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Table262021[[#This Row],[TWh '[2020']]]*1000</f>
        <v>0</v>
      </c>
      <c r="G22" s="3">
        <f>(Table262021[[#This Row],[Mrd m3 '[2035'] SP]])*9.77</f>
        <v>0</v>
      </c>
      <c r="H22" s="2"/>
      <c r="M22" t="str">
        <f t="shared" si="0"/>
        <v>LT_Prod</v>
      </c>
      <c r="N22" t="str">
        <f>Table262021[[#This Row],[Country]]</f>
        <v>LT</v>
      </c>
    </row>
    <row r="23" spans="1:14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Table262021[[#This Row],[TWh '[2020']]]*1000</f>
        <v>0</v>
      </c>
      <c r="G23" s="3">
        <f>(Table262021[[#This Row],[Mrd m3 '[2035'] SP]])*9.77</f>
        <v>0</v>
      </c>
      <c r="H23" s="2"/>
      <c r="M23" t="str">
        <f t="shared" si="0"/>
        <v>LU_Prod</v>
      </c>
      <c r="N23" t="str">
        <f>Table262021[[#This Row],[Country]]</f>
        <v>LU</v>
      </c>
    </row>
    <row r="24" spans="1:14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Table262021[[#This Row],[TWh '[2020']]]*1000</f>
        <v>0</v>
      </c>
      <c r="G24" s="3">
        <f>(Table262021[[#This Row],[Mrd m3 '[2035'] SP]])*9.77</f>
        <v>0</v>
      </c>
      <c r="H24" s="2"/>
      <c r="M24" t="str">
        <f t="shared" si="0"/>
        <v>MD_Prod</v>
      </c>
      <c r="N24" t="str">
        <f>Table262021[[#This Row],[Country]]</f>
        <v>MD</v>
      </c>
    </row>
    <row r="25" spans="1:14">
      <c r="A25" t="s">
        <v>18</v>
      </c>
      <c r="B25" t="s">
        <v>7</v>
      </c>
      <c r="C25" s="3">
        <f>$J$5*(D25/$K$5)</f>
        <v>2.4721544897649008</v>
      </c>
      <c r="D25" s="2">
        <v>96124.812210000018</v>
      </c>
      <c r="E25" s="2"/>
      <c r="F25" s="2">
        <f>Table262021[[#This Row],[TWh '[2020']]]*1000</f>
        <v>24152.949365003082</v>
      </c>
      <c r="G25" s="3">
        <f>(Table262021[[#This Row],[Mrd m3 '[2035'] SP]])*9.77</f>
        <v>24.152949365003082</v>
      </c>
      <c r="H25" s="2"/>
      <c r="M25" t="str">
        <f t="shared" si="0"/>
        <v>NL_Prod</v>
      </c>
      <c r="N25" t="str">
        <f>Table262021[[#This Row],[Country]]</f>
        <v>NL</v>
      </c>
    </row>
    <row r="26" spans="1:14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Table262021[[#This Row],[TWh '[2020']]]*1000</f>
        <v>0</v>
      </c>
      <c r="G26" s="3">
        <f>(Table262021[[#This Row],[Mrd m3 '[2035'] SP]])*9.77</f>
        <v>0</v>
      </c>
      <c r="H26" s="2"/>
      <c r="M26" t="str">
        <f t="shared" si="0"/>
        <v>MK_Prod</v>
      </c>
      <c r="N26" t="str">
        <f>Table262021[[#This Row],[Country]]</f>
        <v>MK</v>
      </c>
    </row>
    <row r="27" spans="1:14">
      <c r="A27" t="s">
        <v>48</v>
      </c>
      <c r="B27" t="s">
        <v>71</v>
      </c>
      <c r="C27" s="3">
        <f>$J$6*(D27/$K$6)</f>
        <v>80.582558449341988</v>
      </c>
      <c r="D27" s="2">
        <v>1152595.2818499999</v>
      </c>
      <c r="E27" s="2"/>
      <c r="F27" s="2">
        <f>Table262021[[#This Row],[TWh '[2020']]]*1000</f>
        <v>787291.59605007118</v>
      </c>
      <c r="G27" s="3">
        <f>(Table262021[[#This Row],[Mrd m3 '[2035'] SP]])*9.77</f>
        <v>787.29159605007123</v>
      </c>
      <c r="H27" s="2"/>
      <c r="M27" t="str">
        <f t="shared" si="0"/>
        <v>NO_Prod</v>
      </c>
      <c r="N27" t="str">
        <f>Table262021[[#This Row],[Country]]</f>
        <v>NO</v>
      </c>
    </row>
    <row r="28" spans="1:14">
      <c r="A28" t="s">
        <v>27</v>
      </c>
      <c r="B28" t="s">
        <v>8</v>
      </c>
      <c r="C28" s="3">
        <f>$J$5*(D28/$K$5)</f>
        <v>0.90380901930886137</v>
      </c>
      <c r="D28" s="2">
        <v>35142.816767503326</v>
      </c>
      <c r="E28" s="2"/>
      <c r="F28" s="2">
        <f>Table262021[[#This Row],[TWh '[2020']]]*1000</f>
        <v>8830.2141186475747</v>
      </c>
      <c r="G28" s="3">
        <f>(Table262021[[#This Row],[Mrd m3 '[2035'] SP]])*9.77</f>
        <v>8.8302141186475751</v>
      </c>
      <c r="H28" s="2"/>
      <c r="M28" t="str">
        <f t="shared" si="0"/>
        <v>PL_Prod</v>
      </c>
      <c r="N28" t="str">
        <f>Table262021[[#This Row],[Country]]</f>
        <v>PL</v>
      </c>
    </row>
    <row r="29" spans="1:14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Table262021[[#This Row],[TWh '[2020']]]*1000</f>
        <v>0</v>
      </c>
      <c r="G29" s="3">
        <f>(Table262021[[#This Row],[Mrd m3 '[2035'] SP]])*9.77</f>
        <v>0</v>
      </c>
      <c r="H29" s="2"/>
      <c r="M29" t="str">
        <f t="shared" si="0"/>
        <v>PT_Prod</v>
      </c>
      <c r="N29" t="str">
        <f>Table262021[[#This Row],[Country]]</f>
        <v>PT</v>
      </c>
    </row>
    <row r="30" spans="1:14">
      <c r="A30" t="s">
        <v>33</v>
      </c>
      <c r="B30" t="s">
        <v>86</v>
      </c>
      <c r="C30" s="3">
        <f>$J$5*(D30/$K$5)</f>
        <v>2.3548700511818539</v>
      </c>
      <c r="D30" s="2">
        <v>91564.439999999988</v>
      </c>
      <c r="E30" s="2"/>
      <c r="F30" s="2">
        <f>Table262021[[#This Row],[TWh '[2020']]]*1000</f>
        <v>23007.080400046711</v>
      </c>
      <c r="G30" s="3">
        <f>(Table262021[[#This Row],[Mrd m3 '[2035'] SP]])*9.77</f>
        <v>23.007080400046711</v>
      </c>
      <c r="H30" s="2"/>
      <c r="M30" t="str">
        <f t="shared" si="0"/>
        <v>RO_Prod</v>
      </c>
      <c r="N30" t="str">
        <f>Table262021[[#This Row],[Country]]</f>
        <v>RO</v>
      </c>
    </row>
    <row r="31" spans="1:14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Table262021[[#This Row],[TWh '[2020']]]*1000</f>
        <v>6635799.3179368693</v>
      </c>
      <c r="G31" s="3">
        <f>(Table262021[[#This Row],[Mrd m3 '[2035'] SP]])*9.77</f>
        <v>6635.7993179368696</v>
      </c>
      <c r="H31" s="2"/>
      <c r="M31" t="str">
        <f t="shared" si="0"/>
        <v>RU_Prod</v>
      </c>
      <c r="N31" t="str">
        <f>Table262021[[#This Row],[Country]]</f>
        <v>RU</v>
      </c>
    </row>
    <row r="32" spans="1:14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Table262021[[#This Row],[TWh '[2020']]]*1000</f>
        <v>0</v>
      </c>
      <c r="G32" s="3">
        <f>(Table262021[[#This Row],[Mrd m3 '[2035'] SP]])*9.77</f>
        <v>0</v>
      </c>
      <c r="H32" s="2"/>
      <c r="M32" t="str">
        <f t="shared" si="0"/>
        <v>SM_Prod</v>
      </c>
      <c r="N32" t="str">
        <f>Table262021[[#This Row],[Country]]</f>
        <v>SM</v>
      </c>
    </row>
    <row r="33" spans="1:14">
      <c r="A33" t="s">
        <v>31</v>
      </c>
      <c r="B33" t="s">
        <v>72</v>
      </c>
      <c r="C33" s="3">
        <f>$J$6*(D33/$K$6)</f>
        <v>0.20150266489204352</v>
      </c>
      <c r="D33" s="2">
        <v>2882.1499999999996</v>
      </c>
      <c r="E33" s="2"/>
      <c r="F33" s="2">
        <f>Table262021[[#This Row],[TWh '[2020']]]*1000</f>
        <v>1968.6810359952651</v>
      </c>
      <c r="G33" s="3">
        <f>(Table262021[[#This Row],[Mrd m3 '[2035'] SP]])*9.77</f>
        <v>1.9686810359952651</v>
      </c>
      <c r="H33" s="2"/>
      <c r="M33" t="str">
        <f t="shared" si="0"/>
        <v>RS_Prod</v>
      </c>
      <c r="N33" t="str">
        <f>Table262021[[#This Row],[Country]]</f>
        <v>RS</v>
      </c>
    </row>
    <row r="34" spans="1:14">
      <c r="A34" t="s">
        <v>29</v>
      </c>
      <c r="B34" t="s">
        <v>62</v>
      </c>
      <c r="C34" s="3">
        <f>$J$5*(D34/$K$5)</f>
        <v>1.0059958625604768E-2</v>
      </c>
      <c r="D34" s="2">
        <v>391.16148999999996</v>
      </c>
      <c r="E34" s="2"/>
      <c r="F34" s="2">
        <f>Table262021[[#This Row],[TWh '[2020']]]*1000</f>
        <v>98.285795772158579</v>
      </c>
      <c r="G34" s="3">
        <f>(Table262021[[#This Row],[Mrd m3 '[2035'] SP]])*9.77</f>
        <v>9.8285795772158582E-2</v>
      </c>
      <c r="H34" s="2"/>
      <c r="M34" t="str">
        <f t="shared" si="0"/>
        <v>SK_Prod</v>
      </c>
      <c r="N34" t="str">
        <f>Table262021[[#This Row],[Country]]</f>
        <v>SK</v>
      </c>
    </row>
    <row r="35" spans="1:14">
      <c r="A35" t="s">
        <v>23</v>
      </c>
      <c r="B35" t="s">
        <v>59</v>
      </c>
      <c r="C35" s="3">
        <f>$J$5*(D35/$K$5)</f>
        <v>9.5531540061816146E-4</v>
      </c>
      <c r="D35" s="2">
        <v>37.145539999999997</v>
      </c>
      <c r="E35" s="2"/>
      <c r="F35" s="2">
        <f>Table262021[[#This Row],[TWh '[2020']]]*1000</f>
        <v>9.3334314640394371</v>
      </c>
      <c r="G35" s="3">
        <f>(Table262021[[#This Row],[Mrd m3 '[2035'] SP]])*9.77</f>
        <v>9.3334314640394368E-3</v>
      </c>
      <c r="H35" s="2"/>
      <c r="M35" t="str">
        <f t="shared" si="0"/>
        <v>SI_Prod</v>
      </c>
      <c r="N35" t="str">
        <f>Table262021[[#This Row],[Country]]</f>
        <v>SI</v>
      </c>
    </row>
    <row r="36" spans="1:14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Table262021[[#This Row],[TWh '[2020']]]*1000</f>
        <v>0</v>
      </c>
      <c r="G36" s="3">
        <f>(Table262021[[#This Row],[Mrd m3 '[2035'] SP]])*9.77</f>
        <v>0</v>
      </c>
      <c r="H36" s="2"/>
      <c r="M36" t="str">
        <f t="shared" si="0"/>
        <v>CH_Prod</v>
      </c>
      <c r="N36" t="str">
        <f>Table262021[[#This Row],[Country]]</f>
        <v>CH</v>
      </c>
    </row>
    <row r="37" spans="1:14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Table262021[[#This Row],[TWh '[2020']]]*1000</f>
        <v>21156.756037879688</v>
      </c>
      <c r="G37" s="3">
        <f>(Table262021[[#This Row],[Mrd m3 '[2035'] SP]])*9.77</f>
        <v>21.156756037879688</v>
      </c>
      <c r="H37" s="2"/>
      <c r="M37" t="str">
        <f t="shared" si="0"/>
        <v>TN_Prod</v>
      </c>
      <c r="N37" t="str">
        <f>Table262021[[#This Row],[Country]]</f>
        <v>TN</v>
      </c>
    </row>
    <row r="38" spans="1:14">
      <c r="A38" t="s">
        <v>46</v>
      </c>
      <c r="B38" t="s">
        <v>10</v>
      </c>
      <c r="C38" s="3">
        <f>$J$6*(D38/$K$6)</f>
        <v>1.5431074077432694</v>
      </c>
      <c r="D38" s="2">
        <v>22071.504700000001</v>
      </c>
      <c r="E38" s="2"/>
      <c r="F38" s="2">
        <f>Table262021[[#This Row],[TWh '[2020']]]*1000</f>
        <v>15076.159373651741</v>
      </c>
      <c r="G38" s="3">
        <f>(Table262021[[#This Row],[Mrd m3 '[2035'] SP]])*9.77</f>
        <v>15.076159373651741</v>
      </c>
      <c r="H38" s="2"/>
      <c r="M38" t="str">
        <f t="shared" si="0"/>
        <v>TR_Prod</v>
      </c>
      <c r="N38" t="str">
        <f>Table262021[[#This Row],[Country]]</f>
        <v>TR</v>
      </c>
    </row>
    <row r="39" spans="1:14">
      <c r="A39" t="s">
        <v>11</v>
      </c>
      <c r="B39" t="s">
        <v>11</v>
      </c>
      <c r="C39" s="3">
        <f>$J$6*(D39/$K$6)</f>
        <v>23.547263851091024</v>
      </c>
      <c r="D39" s="2">
        <v>336803.22066600004</v>
      </c>
      <c r="E39" s="2"/>
      <c r="F39" s="2">
        <f>Table262021[[#This Row],[TWh '[2020']]]*1000</f>
        <v>230056.7678251593</v>
      </c>
      <c r="G39" s="3">
        <f>(Table262021[[#This Row],[Mrd m3 '[2035'] SP]])*9.77</f>
        <v>230.05676782515931</v>
      </c>
      <c r="H39" s="2"/>
      <c r="M39" t="str">
        <f t="shared" si="0"/>
        <v>UK_Prod</v>
      </c>
      <c r="N39" t="str">
        <f>Table262021[[#This Row],[Country]]</f>
        <v>UK</v>
      </c>
    </row>
    <row r="40" spans="1:14">
      <c r="A40" t="s">
        <v>38</v>
      </c>
      <c r="B40" t="s">
        <v>67</v>
      </c>
      <c r="C40" s="3">
        <f>$J$6*(D40/$K$6)</f>
        <v>12.088715863292396</v>
      </c>
      <c r="D40" s="2">
        <v>172908.34562438543</v>
      </c>
      <c r="E40" s="2"/>
      <c r="F40" s="2">
        <f>Table262021[[#This Row],[TWh '[2020']]]*1000</f>
        <v>118106.7539843667</v>
      </c>
      <c r="G40" s="3">
        <f>(Table262021[[#This Row],[Mrd m3 '[2035'] SP]])*9.77</f>
        <v>118.1067539843667</v>
      </c>
      <c r="H40" s="2"/>
      <c r="M40" t="str">
        <f t="shared" si="0"/>
        <v>UA_Prod</v>
      </c>
      <c r="N40" t="str">
        <f>Table262021[[#This Row],[Country]]</f>
        <v>UA</v>
      </c>
    </row>
    <row r="41" spans="1:14">
      <c r="A41" t="s">
        <v>87</v>
      </c>
      <c r="B41" t="s">
        <v>88</v>
      </c>
      <c r="C41" s="2"/>
      <c r="D41" s="2"/>
      <c r="E41" s="2"/>
      <c r="F41" s="2">
        <f>Table262021[[#This Row],[TWh '[2020']]]*1000</f>
        <v>0</v>
      </c>
      <c r="G41" s="3">
        <f>(Table262021[[#This Row],[Mrd m3 '[2035'] SP]])*9.77</f>
        <v>0</v>
      </c>
      <c r="H41" s="2"/>
      <c r="M41" t="str">
        <f t="shared" si="0"/>
        <v>OE_Prod</v>
      </c>
      <c r="N41" t="str">
        <f>Table262021[[#This Row],[Country]]</f>
        <v>OE</v>
      </c>
    </row>
    <row r="42" spans="1:14">
      <c r="A42" t="s">
        <v>36</v>
      </c>
      <c r="B42" t="s">
        <v>9</v>
      </c>
      <c r="C42" s="3">
        <f>$J$5*(D42/$K$5)</f>
        <v>5.3934363688239971E-3</v>
      </c>
      <c r="D42" s="2">
        <v>209.71305000000001</v>
      </c>
      <c r="E42" s="2"/>
      <c r="F42" s="2">
        <f>Table262021[[#This Row],[TWh '[2020']]]*1000</f>
        <v>52.693873323410443</v>
      </c>
      <c r="G42" s="3">
        <f>(Table262021[[#This Row],[Mrd m3 '[2035'] SP]])*9.77</f>
        <v>5.2693873323410446E-2</v>
      </c>
      <c r="M42" t="str">
        <f t="shared" si="0"/>
        <v>ES_Prod</v>
      </c>
      <c r="N42" t="str">
        <f>Table262021[[#This Row],[Country]]</f>
        <v>ES</v>
      </c>
    </row>
    <row r="44" spans="1:14">
      <c r="C44" s="2">
        <f>SUM(Table262021[Mrd m3 '[2035'] SP])</f>
        <v>946.82467993400508</v>
      </c>
      <c r="D44" s="2">
        <f>SUM(Table262021[Mil m3 EU '[2024']])/1000+C31+C37+C21+C3</f>
        <v>9755.9299794729995</v>
      </c>
      <c r="E44">
        <f>SUMIF(Table262021[Mil m3 EU '[2024']],"&gt;0",Table262021[Mrd m3 EU '[2020']])</f>
        <v>0</v>
      </c>
    </row>
    <row r="45" spans="1:14">
      <c r="C45" s="3">
        <f>C44-C37-C31-C3-C21-C5</f>
        <v>126.9999999999999</v>
      </c>
      <c r="E45" s="2"/>
      <c r="F45" s="2"/>
    </row>
    <row r="46" spans="1:14">
      <c r="A46" t="s">
        <v>295</v>
      </c>
      <c r="B46" t="s">
        <v>296</v>
      </c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ACD06-E0FC-4391-8CB7-FEB185F8EE0B}">
  <dimension ref="A1:G21"/>
  <sheetViews>
    <sheetView topLeftCell="A7" workbookViewId="0">
      <selection activeCell="A19" sqref="A19:B19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304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f>1241*(D2/($D$2+$D$3))</f>
        <v>1018.7669682739473</v>
      </c>
      <c r="D2" s="7">
        <v>1035.2966874829399</v>
      </c>
      <c r="E2" s="7"/>
      <c r="F2" s="14">
        <f>Table7919[[#This Row],[TWh '[2020']]]*1000</f>
        <v>9953353.2800364643</v>
      </c>
      <c r="G2" s="3">
        <f>(Table7919[[#This Row],[Mrd m3 '[2020']]])*9.77</f>
        <v>9953.3532800364646</v>
      </c>
    </row>
    <row r="3" spans="1:7">
      <c r="A3" t="s">
        <v>196</v>
      </c>
      <c r="B3" t="s">
        <v>160</v>
      </c>
      <c r="C3" s="2">
        <f>1241*(D3/($D$2+$D$3))</f>
        <v>222.23303172605264</v>
      </c>
      <c r="D3">
        <v>225.83881177958006</v>
      </c>
      <c r="E3" s="2"/>
      <c r="F3" s="2">
        <f>Table7919[[#This Row],[TWh '[2020']]]*1000</f>
        <v>2171216.7199635343</v>
      </c>
      <c r="G3" s="3">
        <f>(Table7919[[#This Row],[Mrd m3 '[2020']]])*9.77</f>
        <v>2171.2167199635342</v>
      </c>
    </row>
    <row r="4" spans="1:7">
      <c r="A4" t="s">
        <v>150</v>
      </c>
      <c r="B4" t="s">
        <v>161</v>
      </c>
      <c r="C4" s="7">
        <f>170*(D4/($D$4+$D$5))</f>
        <v>143.77561867071384</v>
      </c>
      <c r="D4">
        <v>137.02787213632018</v>
      </c>
      <c r="E4" s="2"/>
      <c r="F4" s="2">
        <f>Table7919[[#This Row],[TWh '[2020']]]*1000</f>
        <v>1404687.7944128742</v>
      </c>
      <c r="G4" s="3">
        <f>(Table7919[[#This Row],[Mrd m3 '[2020']]])*9.77</f>
        <v>1404.6877944128742</v>
      </c>
    </row>
    <row r="5" spans="1:7">
      <c r="A5" t="s">
        <v>151</v>
      </c>
      <c r="B5" t="s">
        <v>162</v>
      </c>
      <c r="C5" s="2">
        <f>170*(D5/($D$4+$D$5))</f>
        <v>26.224381329286157</v>
      </c>
      <c r="D5">
        <v>24.9936060429938</v>
      </c>
      <c r="E5" s="2"/>
      <c r="F5" s="2">
        <f>Table7919[[#This Row],[TWh '[2020']]]*1000</f>
        <v>256212.20558712576</v>
      </c>
      <c r="G5" s="3">
        <f>(Table7919[[#This Row],[Mrd m3 '[2020']]])*9.77</f>
        <v>256.21220558712577</v>
      </c>
    </row>
    <row r="6" spans="1:7">
      <c r="A6" t="s">
        <v>152</v>
      </c>
      <c r="B6" t="s">
        <v>163</v>
      </c>
      <c r="C6" s="7">
        <f>962*(D6/($D$6+$D$7))</f>
        <v>717.71980204489614</v>
      </c>
      <c r="D6">
        <v>531.72742192180203</v>
      </c>
      <c r="E6" s="2"/>
      <c r="F6" s="2">
        <f>Table7919[[#This Row],[TWh '[2020']]]*1000</f>
        <v>7012122.4659786345</v>
      </c>
      <c r="G6" s="3">
        <f>(Table7919[[#This Row],[Mrd m3 '[2020']]])*9.77</f>
        <v>7012.1224659786349</v>
      </c>
    </row>
    <row r="7" spans="1:7">
      <c r="A7" t="s">
        <v>153</v>
      </c>
      <c r="B7" t="s">
        <v>174</v>
      </c>
      <c r="C7" s="2">
        <f>962*(D7/($D$6+$D$7))</f>
        <v>244.28019795510389</v>
      </c>
      <c r="D7">
        <v>180.976586566424</v>
      </c>
      <c r="E7" s="2"/>
      <c r="F7" s="2">
        <f>Table7919[[#This Row],[TWh '[2020']]]*1000</f>
        <v>2386617.534021365</v>
      </c>
      <c r="G7" s="3">
        <f>(Table7919[[#This Row],[Mrd m3 '[2020']]])*9.77</f>
        <v>2386.6175340213649</v>
      </c>
    </row>
    <row r="8" spans="1:7">
      <c r="A8" t="s">
        <v>154</v>
      </c>
      <c r="B8" t="s">
        <v>164</v>
      </c>
      <c r="C8" s="2">
        <f>298*(D8/$E$8)</f>
        <v>90.29252454495321</v>
      </c>
      <c r="D8">
        <v>76.854578169538883</v>
      </c>
      <c r="E8" s="2">
        <v>253.64961728498599</v>
      </c>
      <c r="F8" s="2">
        <f>Table7919[[#This Row],[TWh '[2020']]]*1000</f>
        <v>882157.96480419277</v>
      </c>
      <c r="G8" s="3">
        <f>(Table7919[[#This Row],[Mrd m3 '[2020']]])*9.77</f>
        <v>882.15796480419283</v>
      </c>
    </row>
    <row r="9" spans="1:7">
      <c r="A9" t="s">
        <v>96</v>
      </c>
      <c r="B9" t="s">
        <v>175</v>
      </c>
      <c r="C9" s="2">
        <f>298*(D9/$E$8)</f>
        <v>8.2239430215906531E-2</v>
      </c>
      <c r="D9">
        <v>7.0000000000000007E-2</v>
      </c>
      <c r="E9" s="2"/>
      <c r="F9" s="2">
        <f>Table7919[[#This Row],[TWh '[2020']]]*1000</f>
        <v>803.47923320940674</v>
      </c>
      <c r="G9" s="3">
        <f>(Table7919[[#This Row],[Mrd m3 '[2020']]])*9.77</f>
        <v>0.80347923320940673</v>
      </c>
    </row>
    <row r="10" spans="1:7">
      <c r="A10" t="s">
        <v>155</v>
      </c>
      <c r="B10" t="s">
        <v>165</v>
      </c>
      <c r="C10">
        <f>(675-$C$17)*(D10/($D$10+$D$11+$D$14+$D$13))</f>
        <v>155.63739368951246</v>
      </c>
      <c r="D10">
        <v>151.74021373996112</v>
      </c>
      <c r="E10" s="2"/>
      <c r="F10" s="2">
        <f>Table7919[[#This Row],[TWh '[2020']]]*1000</f>
        <v>1520577.3363465366</v>
      </c>
      <c r="G10" s="3">
        <f>(Table7919[[#This Row],[Mrd m3 '[2020']]])*9.77</f>
        <v>1520.5773363465366</v>
      </c>
    </row>
    <row r="11" spans="1:7">
      <c r="A11" t="s">
        <v>156</v>
      </c>
      <c r="B11" t="s">
        <v>166</v>
      </c>
      <c r="C11">
        <f>(675-$C$17)*(D11/($D$10+$D$11+$D$14+$D$13))</f>
        <v>240.27487096086793</v>
      </c>
      <c r="D11">
        <v>234.25835791543756</v>
      </c>
      <c r="E11" s="2"/>
      <c r="F11" s="2">
        <f>Table7919[[#This Row],[TWh '[2020']]]*1000</f>
        <v>2347485.4892876795</v>
      </c>
      <c r="G11" s="3">
        <f>(Table7919[[#This Row],[Mrd m3 '[2020']]])*9.77</f>
        <v>2347.4854892876797</v>
      </c>
    </row>
    <row r="12" spans="1:7">
      <c r="A12" t="s">
        <v>157</v>
      </c>
      <c r="B12" t="s">
        <v>167</v>
      </c>
      <c r="C12">
        <v>0</v>
      </c>
      <c r="D12">
        <v>0</v>
      </c>
      <c r="E12" s="2"/>
      <c r="F12" s="2">
        <f>Table7919[[#This Row],[TWh '[2020']]]*1000</f>
        <v>0</v>
      </c>
      <c r="G12" s="3">
        <f>(Table7919[[#This Row],[Mrd m3 '[2020']]])*9.77</f>
        <v>0</v>
      </c>
    </row>
    <row r="13" spans="1:7">
      <c r="A13" t="s">
        <v>158</v>
      </c>
      <c r="B13" t="s">
        <v>168</v>
      </c>
      <c r="C13">
        <f>(675-$C$17)*(D13/($D$10+$D$11+$D$14+$D$13))</f>
        <v>32.396706139454764</v>
      </c>
      <c r="D13">
        <v>31.585488535476742</v>
      </c>
      <c r="E13" s="2"/>
      <c r="F13" s="2">
        <f>Table7919[[#This Row],[TWh '[2020']]]*1000</f>
        <v>316515.81898247305</v>
      </c>
      <c r="G13" s="3">
        <f>(Table7919[[#This Row],[Mrd m3 '[2020']]])*9.77</f>
        <v>316.51581898247304</v>
      </c>
    </row>
    <row r="14" spans="1:7">
      <c r="A14" t="s">
        <v>159</v>
      </c>
      <c r="B14" t="s">
        <v>169</v>
      </c>
      <c r="C14">
        <f>(675-$C$17)*(D14/($D$10+$D$11+$D$14+$D$13))</f>
        <v>132.22780544351377</v>
      </c>
      <c r="D14">
        <v>128.91680453343903</v>
      </c>
      <c r="E14" s="2"/>
      <c r="F14" s="2">
        <f>Table7919[[#This Row],[TWh '[2020']]]*1000</f>
        <v>1291865.6591831294</v>
      </c>
      <c r="G14" s="3">
        <f>(Table7919[[#This Row],[Mrd m3 '[2020']]])*9.77</f>
        <v>1291.8656591831295</v>
      </c>
    </row>
    <row r="15" spans="1:7">
      <c r="A15" t="s">
        <v>172</v>
      </c>
      <c r="B15" t="s">
        <v>173</v>
      </c>
      <c r="C15" s="2">
        <f>896*(D15/$E$15)</f>
        <v>216.79843214566333</v>
      </c>
      <c r="D15">
        <v>187.17086000268091</v>
      </c>
      <c r="E15" s="2">
        <v>773.55305987509996</v>
      </c>
      <c r="F15" s="2">
        <f>Table7919[[#This Row],[TWh '[2020']]]*1000</f>
        <v>2118120.6820631307</v>
      </c>
      <c r="G15" s="3">
        <f>(Table7919[[#This Row],[Mrd m3 '[2020']]])*9.77</f>
        <v>2118.1206820631305</v>
      </c>
    </row>
    <row r="16" spans="1:7">
      <c r="A16" t="s">
        <v>177</v>
      </c>
      <c r="B16" t="s">
        <v>178</v>
      </c>
      <c r="C16" s="2">
        <f>298*(D16/$E$8)</f>
        <v>67.084363375378459</v>
      </c>
      <c r="D16">
        <v>57.100413073730465</v>
      </c>
      <c r="E16" s="2"/>
      <c r="F16" s="2">
        <f>Table7919[[#This Row],[TWh '[2020']]]*1000</f>
        <v>655414.23017744755</v>
      </c>
      <c r="G16" s="3">
        <f>(Table7919[[#This Row],[Mrd m3 '[2020']]])*9.77</f>
        <v>655.41423017744751</v>
      </c>
    </row>
    <row r="17" spans="1:7">
      <c r="A17" t="s">
        <v>192</v>
      </c>
      <c r="B17" t="s">
        <v>195</v>
      </c>
      <c r="C17">
        <f>D17*(E17)</f>
        <v>114.46322376665097</v>
      </c>
      <c r="D17">
        <v>145.33817228265551</v>
      </c>
      <c r="E17" s="2">
        <f>152/193</f>
        <v>0.78756476683937826</v>
      </c>
      <c r="F17" s="2">
        <f>Table7919[[#This Row],[TWh '[2020']]]*1000</f>
        <v>1118305.6962001799</v>
      </c>
      <c r="G17" s="3">
        <f>(Table7919[[#This Row],[Mrd m3 '[2020']]])*9.77</f>
        <v>1118.3056962001799</v>
      </c>
    </row>
    <row r="19" spans="1:7">
      <c r="A19" t="s">
        <v>295</v>
      </c>
      <c r="B19" t="s">
        <v>296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FD01-41CB-F843-B0F0-6DF6DCAB7ADE}">
  <dimension ref="A1:G53"/>
  <sheetViews>
    <sheetView workbookViewId="0">
      <selection activeCell="C3" sqref="C3"/>
    </sheetView>
  </sheetViews>
  <sheetFormatPr defaultColWidth="8.81640625" defaultRowHeight="14.5"/>
  <cols>
    <col min="1" max="1" width="9.453125" customWidth="1"/>
    <col min="2" max="2" width="12.453125" customWidth="1"/>
    <col min="3" max="3" width="15" customWidth="1"/>
    <col min="4" max="4" width="12" customWidth="1"/>
    <col min="5" max="5" width="22.179687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315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v>-0.78159999999999996</v>
      </c>
      <c r="E2">
        <v>2862.4</v>
      </c>
      <c r="F2">
        <f>IF(Table126[[#This Row],[TWh '[2020']]]=0,$D$27*(E2/$E$27),0)</f>
        <v>0</v>
      </c>
      <c r="G2">
        <f>MIN(Table126[[#This Row],[TWh '[2020']]],Table126[[#This Row],[TWh by share]])*1000</f>
        <v>-781.59999999999991</v>
      </c>
    </row>
    <row r="3" spans="1:7">
      <c r="A3" t="s">
        <v>20</v>
      </c>
      <c r="B3" t="s">
        <v>57</v>
      </c>
      <c r="C3" s="2">
        <v>8.9004410370900011</v>
      </c>
      <c r="D3">
        <f>Table126[[#This Row],[Mrd m3 '[2020']]]*9.77*-1</f>
        <v>-86.957308932369301</v>
      </c>
      <c r="E3">
        <v>8858.7999999999993</v>
      </c>
      <c r="F3">
        <f>IF(Table126[[#This Row],[TWh '[2020']]]=0,$D$27*(E3/$E$27),0)</f>
        <v>0</v>
      </c>
      <c r="G3">
        <f>MIN(Table126[[#This Row],[TWh '[2020']]],Table126[[#This Row],[TWh by share]])*1000</f>
        <v>-86957.308932369298</v>
      </c>
    </row>
    <row r="4" spans="1:7">
      <c r="A4" t="s">
        <v>17</v>
      </c>
      <c r="B4" t="s">
        <v>0</v>
      </c>
      <c r="C4" s="2">
        <v>17.386897499999996</v>
      </c>
      <c r="D4">
        <f>Table126[[#This Row],[Mrd m3 '[2020']]]*9.77*-1</f>
        <v>-169.86998857499995</v>
      </c>
      <c r="E4">
        <v>11455.5</v>
      </c>
      <c r="F4">
        <f>IF(Table126[[#This Row],[TWh '[2020']]]=0,$D$27*(E4/$E$27),0)</f>
        <v>0</v>
      </c>
      <c r="G4">
        <f>MIN(Table126[[#This Row],[TWh '[2020']]],Table126[[#This Row],[TWh by share]])*1000</f>
        <v>-169869.98857499994</v>
      </c>
    </row>
    <row r="5" spans="1:7">
      <c r="A5" t="s">
        <v>44</v>
      </c>
      <c r="B5" t="s">
        <v>75</v>
      </c>
      <c r="C5" s="2"/>
      <c r="D5">
        <f>Table126[[#This Row],[Mrd m3 '[2020']]]*9.77*-1</f>
        <v>0</v>
      </c>
      <c r="E5">
        <v>3492</v>
      </c>
      <c r="F5">
        <f>IF(Table126[[#This Row],[TWh '[2020']]]=0,$D$27*(E5/$E$27),0)</f>
        <v>-11.033192117275748</v>
      </c>
      <c r="G5">
        <v>-5110</v>
      </c>
    </row>
    <row r="6" spans="1:7">
      <c r="A6" t="s">
        <v>32</v>
      </c>
      <c r="B6" t="s">
        <v>64</v>
      </c>
      <c r="C6" s="2">
        <v>2.8308749999999998</v>
      </c>
      <c r="D6">
        <f>Table126[[#This Row],[Mrd m3 '[2020']]]*9.77*-1</f>
        <v>-27.657648749999996</v>
      </c>
      <c r="E6">
        <v>7000</v>
      </c>
      <c r="F6">
        <f>IF(Table126[[#This Row],[TWh '[2020']]]=0,$D$27*(E6/$E$27),0)</f>
        <v>0</v>
      </c>
      <c r="G6">
        <f>MIN(Table126[[#This Row],[TWh '[2020']]],Table126[[#This Row],[TWh by share]])*1000</f>
        <v>-27657.648749999997</v>
      </c>
    </row>
    <row r="7" spans="1:7">
      <c r="A7" t="s">
        <v>24</v>
      </c>
      <c r="B7" t="s">
        <v>5</v>
      </c>
      <c r="C7" s="2">
        <v>2.7981422222222223</v>
      </c>
      <c r="D7">
        <f>Table126[[#This Row],[Mrd m3 '[2020']]]*9.77*-1</f>
        <v>-27.337849511111109</v>
      </c>
      <c r="E7">
        <v>4076.2</v>
      </c>
      <c r="F7">
        <f>IF(Table126[[#This Row],[TWh '[2020']]]=0,$D$27*(E7/$E$27),0)</f>
        <v>0</v>
      </c>
      <c r="G7">
        <f>MIN(Table126[[#This Row],[TWh '[2020']]],Table126[[#This Row],[TWh by share]])*1000</f>
        <v>-27337.849511111108</v>
      </c>
    </row>
    <row r="8" spans="1:7">
      <c r="A8" t="s">
        <v>28</v>
      </c>
      <c r="B8" t="s">
        <v>61</v>
      </c>
      <c r="C8" s="2">
        <v>8.3249499999999976</v>
      </c>
      <c r="D8">
        <f>Table126[[#This Row],[Mrd m3 '[2020']]]*9.77*-1</f>
        <v>-81.334761499999971</v>
      </c>
      <c r="E8">
        <v>10649.8</v>
      </c>
      <c r="F8">
        <f>IF(Table126[[#This Row],[TWh '[2020']]]=0,$D$27*(E8/$E$27),0)</f>
        <v>0</v>
      </c>
      <c r="G8">
        <f>MIN(Table126[[#This Row],[TWh '[2020']]],Table126[[#This Row],[TWh by share]])*1000</f>
        <v>-81334.761499999964</v>
      </c>
    </row>
    <row r="9" spans="1:7">
      <c r="A9" t="s">
        <v>26</v>
      </c>
      <c r="B9" t="s">
        <v>60</v>
      </c>
      <c r="C9" s="2">
        <v>2.8977778452312215</v>
      </c>
      <c r="D9">
        <f>Table126[[#This Row],[Mrd m3 '[2020']]]*9.77*-1</f>
        <v>-28.311289547909034</v>
      </c>
      <c r="E9">
        <v>5806.1</v>
      </c>
      <c r="F9">
        <f>IF(Table126[[#This Row],[TWh '[2020']]]=0,$D$27*(E9/$E$27),0)</f>
        <v>0</v>
      </c>
      <c r="G9">
        <f>MIN(Table126[[#This Row],[TWh '[2020']]],Table126[[#This Row],[TWh by share]])*1000</f>
        <v>-28311.289547909033</v>
      </c>
    </row>
    <row r="10" spans="1:7">
      <c r="A10" t="s">
        <v>53</v>
      </c>
      <c r="B10" t="s">
        <v>66</v>
      </c>
      <c r="C10" s="2">
        <v>0.46605538888888887</v>
      </c>
      <c r="D10">
        <f>Table126[[#This Row],[Mrd m3 '[2020']]]*9.77*-1</f>
        <v>-4.5533611494444441</v>
      </c>
      <c r="E10">
        <v>1324.8</v>
      </c>
      <c r="F10">
        <f>IF(Table126[[#This Row],[TWh '[2020']]]=0,$D$27*(E10/$E$27),0)</f>
        <v>0</v>
      </c>
      <c r="G10">
        <f>MIN(Table126[[#This Row],[TWh '[2020']]],Table126[[#This Row],[TWh by share]])*1000</f>
        <v>-4553.361149444444</v>
      </c>
    </row>
    <row r="11" spans="1:7">
      <c r="A11" t="s">
        <v>54</v>
      </c>
      <c r="B11" t="s">
        <v>85</v>
      </c>
      <c r="C11" s="2">
        <v>2.0338333333333334</v>
      </c>
      <c r="D11">
        <f>Table126[[#This Row],[Mrd m3 '[2020']]]*9.77*-1</f>
        <v>-19.870551666666668</v>
      </c>
      <c r="E11">
        <v>5517.9</v>
      </c>
      <c r="F11">
        <f>IF(Table126[[#This Row],[TWh '[2020']]]=0,$D$27*(E11/$E$27),0)</f>
        <v>0</v>
      </c>
      <c r="G11">
        <f>MIN(Table126[[#This Row],[TWh '[2020']]],Table126[[#This Row],[TWh by share]])*1000</f>
        <v>-19870.551666666666</v>
      </c>
    </row>
    <row r="12" spans="1:7">
      <c r="A12" t="s">
        <v>25</v>
      </c>
      <c r="B12" t="s">
        <v>2</v>
      </c>
      <c r="C12" s="2">
        <v>43.662042325000002</v>
      </c>
      <c r="D12">
        <f>Table126[[#This Row],[Mrd m3 '[2020']]]*9.77*-1</f>
        <v>-426.57815351524999</v>
      </c>
      <c r="E12">
        <v>67012.899999999994</v>
      </c>
      <c r="F12">
        <f>IF(Table126[[#This Row],[TWh '[2020']]]=0,$D$27*(E12/$E$27),0)</f>
        <v>0</v>
      </c>
      <c r="G12">
        <f>MIN(Table126[[#This Row],[TWh '[2020']]],Table126[[#This Row],[TWh by share]])*1000</f>
        <v>-426578.15351525001</v>
      </c>
    </row>
    <row r="13" spans="1:7">
      <c r="A13" t="s">
        <v>19</v>
      </c>
      <c r="B13" t="s">
        <v>56</v>
      </c>
      <c r="C13" s="2">
        <v>89.283027777777761</v>
      </c>
      <c r="D13">
        <f>Table126[[#This Row],[Mrd m3 '[2020']]]*9.77*-1</f>
        <v>-872.29518138888864</v>
      </c>
      <c r="E13">
        <v>83019.199999999997</v>
      </c>
      <c r="F13">
        <f>IF(Table126[[#This Row],[TWh '[2020']]]=0,$D$27*(E13/$E$27),0)</f>
        <v>0</v>
      </c>
      <c r="G13">
        <f>MIN(Table126[[#This Row],[TWh '[2020']]],Table126[[#This Row],[TWh by share]])*1000</f>
        <v>-872295.18138888862</v>
      </c>
    </row>
    <row r="14" spans="1:7">
      <c r="A14" t="s">
        <v>264</v>
      </c>
      <c r="B14" t="s">
        <v>3</v>
      </c>
      <c r="C14" s="2">
        <v>5.7583000000000002</v>
      </c>
      <c r="D14">
        <f>Table126[[#This Row],[Mrd m3 '[2020']]]*9.77*-1</f>
        <v>-56.258591000000003</v>
      </c>
      <c r="E14">
        <v>10724.6</v>
      </c>
      <c r="F14">
        <f>IF(Table126[[#This Row],[TWh '[2020']]]=0,$D$27*(E14/$E$27),0)</f>
        <v>0</v>
      </c>
      <c r="G14">
        <f>MIN(Table126[[#This Row],[TWh '[2020']]],Table126[[#This Row],[TWh by share]])*1000</f>
        <v>-56258.591</v>
      </c>
    </row>
    <row r="15" spans="1:7">
      <c r="A15" t="s">
        <v>30</v>
      </c>
      <c r="B15" t="s">
        <v>63</v>
      </c>
      <c r="C15" s="2">
        <v>9.8440000000000012</v>
      </c>
      <c r="D15">
        <f>Table126[[#This Row],[Mrd m3 '[2020']]]*9.77*-1</f>
        <v>-96.175880000000006</v>
      </c>
      <c r="E15">
        <v>9772.7999999999993</v>
      </c>
      <c r="F15">
        <f>IF(Table126[[#This Row],[TWh '[2020']]]=0,$D$27*(E15/$E$27),0)</f>
        <v>0</v>
      </c>
      <c r="G15">
        <f>MIN(Table126[[#This Row],[TWh '[2020']]],Table126[[#This Row],[TWh by share]])*1000</f>
        <v>-96175.88</v>
      </c>
    </row>
    <row r="16" spans="1:7">
      <c r="A16" t="s">
        <v>43</v>
      </c>
      <c r="B16" t="s">
        <v>74</v>
      </c>
      <c r="C16" s="2">
        <v>5.3158846996854026</v>
      </c>
      <c r="D16">
        <f>Table126[[#This Row],[Mrd m3 '[2020']]]*9.77*-1</f>
        <v>-51.936193515926384</v>
      </c>
      <c r="E16">
        <v>4904.2</v>
      </c>
      <c r="F16">
        <f>IF(Table126[[#This Row],[TWh '[2020']]]=0,$D$27*(E16/$E$27),0)</f>
        <v>0</v>
      </c>
      <c r="G16">
        <f>MIN(Table126[[#This Row],[TWh '[2020']]],Table126[[#This Row],[TWh by share]])*1000</f>
        <v>-51936.193515926381</v>
      </c>
    </row>
    <row r="17" spans="1:7">
      <c r="A17" t="s">
        <v>21</v>
      </c>
      <c r="B17" t="s">
        <v>4</v>
      </c>
      <c r="C17" s="2">
        <v>70.790614719901285</v>
      </c>
      <c r="D17">
        <f>Table126[[#This Row],[Mrd m3 '[2020']]]*9.77*-1</f>
        <v>-691.62430581343551</v>
      </c>
      <c r="E17">
        <v>60359.5</v>
      </c>
      <c r="F17">
        <f>IF(Table126[[#This Row],[TWh '[2020']]]=0,$D$27*(E17/$E$27),0)</f>
        <v>0</v>
      </c>
      <c r="G17">
        <f>MIN(Table126[[#This Row],[TWh '[2020']]],Table126[[#This Row],[TWh by share]])*1000</f>
        <v>-691624.30581343547</v>
      </c>
    </row>
    <row r="18" spans="1:7">
      <c r="A18" t="s">
        <v>35</v>
      </c>
      <c r="B18" t="s">
        <v>65</v>
      </c>
      <c r="C18" s="2">
        <v>1.3118874999999999</v>
      </c>
      <c r="D18">
        <f>Table126[[#This Row],[Mrd m3 '[2020']]]*9.77*-1</f>
        <v>-12.817140874999998</v>
      </c>
      <c r="E18">
        <v>1920</v>
      </c>
      <c r="F18">
        <f>IF(Table126[[#This Row],[TWh '[2020']]]=0,$D$27*(E18/$E$27),0)</f>
        <v>0</v>
      </c>
      <c r="G18">
        <f>MIN(Table126[[#This Row],[TWh '[2020']]],Table126[[#This Row],[TWh by share]])*1000</f>
        <v>-12817.140874999997</v>
      </c>
    </row>
    <row r="19" spans="1:7">
      <c r="A19" t="s">
        <v>34</v>
      </c>
      <c r="B19" t="s">
        <v>6</v>
      </c>
      <c r="C19" s="2">
        <v>2.1571560000000001</v>
      </c>
      <c r="D19">
        <f>Table126[[#This Row],[Mrd m3 '[2020']]]*9.77*-1</f>
        <v>-21.075414120000001</v>
      </c>
      <c r="E19">
        <v>2794.2</v>
      </c>
      <c r="F19">
        <f>IF(Table126[[#This Row],[TWh '[2020']]]=0,$D$27*(E19/$E$27),0)</f>
        <v>0</v>
      </c>
      <c r="G19">
        <f>MIN(Table126[[#This Row],[TWh '[2020']]],Table126[[#This Row],[TWh by share]])*1000</f>
        <v>-21075.414120000001</v>
      </c>
    </row>
    <row r="20" spans="1:7">
      <c r="A20" t="s">
        <v>42</v>
      </c>
      <c r="B20" t="s">
        <v>70</v>
      </c>
      <c r="C20" s="2">
        <v>0.79555880000000001</v>
      </c>
      <c r="D20">
        <f>Table126[[#This Row],[Mrd m3 '[2020']]]*9.77*-1</f>
        <v>-7.7726094759999995</v>
      </c>
      <c r="E20">
        <v>613</v>
      </c>
      <c r="F20">
        <f>IF(Table126[[#This Row],[TWh '[2020']]]=0,$D$27*(E20/$E$27),0)</f>
        <v>0</v>
      </c>
      <c r="G20">
        <f>MIN(Table126[[#This Row],[TWh '[2020']]],Table126[[#This Row],[TWh by share]])*1000</f>
        <v>-7772.6094759999996</v>
      </c>
    </row>
    <row r="21" spans="1:7">
      <c r="A21" t="s">
        <v>110</v>
      </c>
      <c r="B21" t="s">
        <v>91</v>
      </c>
      <c r="C21" s="2"/>
      <c r="D21">
        <f>Table126[[#This Row],[Mrd m3 '[2020']]]*9.77*-1</f>
        <v>0</v>
      </c>
      <c r="E21">
        <v>493.6</v>
      </c>
      <c r="F21">
        <f>IF(Table126[[#This Row],[TWh '[2020']]]=0,$D$27*(E21/$E$27),0)</f>
        <v>-1.5595600312392066</v>
      </c>
      <c r="G21">
        <f>MIN(Table126[[#This Row],[TWh '[2020']]],Table126[[#This Row],[TWh by share]])*1000</f>
        <v>-1559.5600312392066</v>
      </c>
    </row>
    <row r="22" spans="1:7">
      <c r="A22" t="s">
        <v>39</v>
      </c>
      <c r="B22" t="s">
        <v>68</v>
      </c>
      <c r="C22" s="2"/>
      <c r="D22">
        <f>Table126[[#This Row],[Mrd m3 '[2020']]]*9.77*-1</f>
        <v>0</v>
      </c>
      <c r="E22" s="17">
        <v>2729.634</v>
      </c>
      <c r="F22">
        <f>IF(Table126[[#This Row],[TWh '[2020']]]=0,$D$27*(E22/$E$27),0)</f>
        <v>-8.6244491213768235</v>
      </c>
      <c r="G22">
        <f>MIN(Table126[[#This Row],[TWh '[2020']]],Table126[[#This Row],[TWh by share]])*1000</f>
        <v>-8624.4491213768233</v>
      </c>
    </row>
    <row r="23" spans="1:7">
      <c r="B23" t="s">
        <v>111</v>
      </c>
      <c r="C23" s="2"/>
      <c r="D23">
        <f>Table126[[#This Row],[Mrd m3 '[2020']]]*9.77*-1</f>
        <v>0</v>
      </c>
      <c r="E23">
        <v>622.20000000000005</v>
      </c>
      <c r="F23">
        <f>IF(Table126[[#This Row],[TWh '[2020']]]=0,$D$27*(E23/$E$27),0)</f>
        <v>-1.9658797638513663</v>
      </c>
      <c r="G23">
        <f>MIN(Table126[[#This Row],[TWh '[2020']]],Table126[[#This Row],[TWh by share]])*1000</f>
        <v>-1965.8797638513663</v>
      </c>
    </row>
    <row r="24" spans="1:7">
      <c r="A24" t="s">
        <v>18</v>
      </c>
      <c r="B24" t="s">
        <v>7</v>
      </c>
      <c r="C24" s="2">
        <v>37.161111111111111</v>
      </c>
      <c r="D24">
        <f>Table126[[#This Row],[Mrd m3 '[2020']]]*9.77*-1</f>
        <v>-363.06405555555557</v>
      </c>
      <c r="E24">
        <v>17282.2</v>
      </c>
      <c r="F24">
        <f>IF(Table126[[#This Row],[TWh '[2020']]]=0,$D$27*(E24/$E$27),0)</f>
        <v>0</v>
      </c>
      <c r="G24">
        <f>MIN(Table126[[#This Row],[TWh '[2020']]],Table126[[#This Row],[TWh by share]])*1000</f>
        <v>-363064.05555555556</v>
      </c>
    </row>
    <row r="25" spans="1:7">
      <c r="A25" t="s">
        <v>45</v>
      </c>
      <c r="B25" t="s">
        <v>76</v>
      </c>
      <c r="C25" s="2">
        <v>0.28388059279900002</v>
      </c>
      <c r="D25">
        <f>Table126[[#This Row],[Mrd m3 '[2020']]]*9.77*-1</f>
        <v>-2.77351339164623</v>
      </c>
      <c r="E25">
        <v>2077.1</v>
      </c>
      <c r="F25">
        <f>IF(Table126[[#This Row],[TWh '[2020']]]=0,$D$27*(E25/$E$27),0)</f>
        <v>0</v>
      </c>
      <c r="G25">
        <f>MIN(Table126[[#This Row],[TWh '[2020']]],Table126[[#This Row],[TWh by share]])*1000</f>
        <v>-2773.51339164623</v>
      </c>
    </row>
    <row r="26" spans="1:7">
      <c r="A26" t="s">
        <v>48</v>
      </c>
      <c r="B26" t="s">
        <v>71</v>
      </c>
      <c r="C26" s="2">
        <v>4.6099329058774998</v>
      </c>
      <c r="D26">
        <f>Table126[[#This Row],[Mrd m3 '[2020']]]*9.77*-1</f>
        <v>-45.039044490423173</v>
      </c>
      <c r="E26">
        <v>5328.2</v>
      </c>
      <c r="F26">
        <f>IF(Table126[[#This Row],[TWh '[2020']]]=0,$D$27*(E26/$E$27),0)</f>
        <v>0</v>
      </c>
      <c r="G26">
        <f>MIN(Table126[[#This Row],[TWh '[2020']]],Table126[[#This Row],[TWh by share]])*1000</f>
        <v>-45039.04449042317</v>
      </c>
    </row>
    <row r="27" spans="1:7">
      <c r="A27" t="s">
        <v>87</v>
      </c>
      <c r="B27" t="s">
        <v>88</v>
      </c>
      <c r="C27" s="2">
        <v>5.4844875306336451</v>
      </c>
      <c r="D27">
        <f>Table126[[#This Row],[Mrd m3 '[2020']]]*9.77*-1</f>
        <v>-53.583443174290707</v>
      </c>
      <c r="E27">
        <f>SUMIF(D2:D26,"=0",E2:E26)+SUMIF(D28:D42,"=0",E28:E42)</f>
        <v>16959.134000000002</v>
      </c>
      <c r="F27">
        <f>IF(Table126[[#This Row],[TWh '[2020']]]=0,$D$27*(E27/$E$27),0)</f>
        <v>0</v>
      </c>
      <c r="G27">
        <f>MIN(Table126[[#This Row],[TWh '[2020']]],Table126[[#This Row],[TWh by share]])*1000</f>
        <v>-53583.443174290704</v>
      </c>
    </row>
    <row r="28" spans="1:7">
      <c r="A28" t="s">
        <v>27</v>
      </c>
      <c r="B28" t="s">
        <v>8</v>
      </c>
      <c r="C28" s="2">
        <v>20.888777777777779</v>
      </c>
      <c r="D28">
        <f>Table126[[#This Row],[Mrd m3 '[2020']]]*9.77*-1</f>
        <v>-204.08335888888888</v>
      </c>
      <c r="E28">
        <v>37972.800000000003</v>
      </c>
      <c r="F28">
        <f>IF(Table126[[#This Row],[TWh '[2020']]]=0,$D$27*(E28/$E$27),0)</f>
        <v>0</v>
      </c>
      <c r="G28">
        <f>MIN(Table126[[#This Row],[TWh '[2020']]],Table126[[#This Row],[TWh by share]])*1000</f>
        <v>-204083.35888888888</v>
      </c>
    </row>
    <row r="29" spans="1:7">
      <c r="A29" t="s">
        <v>37</v>
      </c>
      <c r="B29" t="s">
        <v>1</v>
      </c>
      <c r="C29" s="2">
        <v>6.1350219971505</v>
      </c>
      <c r="D29">
        <f>Table126[[#This Row],[Mrd m3 '[2020']]]*9.77*-1</f>
        <v>-59.939164912160379</v>
      </c>
      <c r="E29">
        <v>10276.6</v>
      </c>
      <c r="F29">
        <f>IF(Table126[[#This Row],[TWh '[2020']]]=0,$D$27*(E29/$E$27),0)</f>
        <v>0</v>
      </c>
      <c r="G29">
        <f>MIN(Table126[[#This Row],[TWh '[2020']]],Table126[[#This Row],[TWh by share]])*1000</f>
        <v>-59939.164912160377</v>
      </c>
    </row>
    <row r="30" spans="1:7">
      <c r="A30" t="s">
        <v>33</v>
      </c>
      <c r="B30" t="s">
        <v>86</v>
      </c>
      <c r="C30" s="2">
        <v>10.774980138888889</v>
      </c>
      <c r="D30">
        <f>Table126[[#This Row],[Mrd m3 '[2020']]]*9.77*-1</f>
        <v>-105.27155595694444</v>
      </c>
      <c r="E30">
        <v>10414.5</v>
      </c>
      <c r="F30">
        <f>IF(Table126[[#This Row],[TWh '[2020']]]=0,$D$27*(E30/$E$27),0)</f>
        <v>0</v>
      </c>
      <c r="G30">
        <f>MIN(Table126[[#This Row],[TWh '[2020']]],Table126[[#This Row],[TWh by share]])*1000</f>
        <v>-105271.55595694444</v>
      </c>
    </row>
    <row r="31" spans="1:7">
      <c r="A31" t="s">
        <v>47</v>
      </c>
      <c r="B31" t="s">
        <v>77</v>
      </c>
      <c r="C31" s="2"/>
      <c r="D31">
        <f>Table126[[#This Row],[Mrd m3 '[2020']]]*9.77*-1</f>
        <v>0</v>
      </c>
      <c r="E31">
        <v>0</v>
      </c>
      <c r="F31">
        <f>IF(Table126[[#This Row],[TWh '[2020']]]=0,$D$27*(E31/$E$27),0)</f>
        <v>0</v>
      </c>
      <c r="G31">
        <f>MIN(Table126[[#This Row],[TWh '[2020']]],Table126[[#This Row],[TWh by share]])*1000</f>
        <v>0</v>
      </c>
    </row>
    <row r="32" spans="1:7">
      <c r="A32" t="s">
        <v>31</v>
      </c>
      <c r="B32" t="s">
        <v>72</v>
      </c>
      <c r="C32" s="2"/>
      <c r="D32">
        <f>Table126[[#This Row],[Mrd m3 '[2020']]]*9.77*-1</f>
        <v>0</v>
      </c>
      <c r="E32">
        <v>6963.8</v>
      </c>
      <c r="F32">
        <f>IF(Table126[[#This Row],[TWh '[2020']]]=0,$D$27*(E32/$E$27),0)</f>
        <v>-22.002561072819258</v>
      </c>
      <c r="G32">
        <f>MIN(Table126[[#This Row],[TWh '[2020']]],Table126[[#This Row],[TWh by share]])*1000</f>
        <v>-22002.561072819259</v>
      </c>
    </row>
    <row r="33" spans="1:7">
      <c r="A33" t="s">
        <v>29</v>
      </c>
      <c r="B33" t="s">
        <v>62</v>
      </c>
      <c r="C33" s="2">
        <v>4.7522778333333342</v>
      </c>
      <c r="D33">
        <f>Table126[[#This Row],[Mrd m3 '[2020']]]*9.77*-1</f>
        <v>-46.429754431666673</v>
      </c>
      <c r="E33">
        <v>5450.4</v>
      </c>
      <c r="F33">
        <f>IF(Table126[[#This Row],[TWh '[2020']]]=0,$D$27*(E33/$E$27),0)</f>
        <v>0</v>
      </c>
      <c r="G33">
        <f>MIN(Table126[[#This Row],[TWh '[2020']]],Table126[[#This Row],[TWh by share]])*1000</f>
        <v>-46429.754431666675</v>
      </c>
    </row>
    <row r="34" spans="1:7">
      <c r="A34" t="s">
        <v>23</v>
      </c>
      <c r="B34" t="s">
        <v>59</v>
      </c>
      <c r="C34" s="2">
        <v>0.85671100001904998</v>
      </c>
      <c r="D34">
        <f>Table126[[#This Row],[Mrd m3 '[2020']]]*9.77*-1</f>
        <v>-8.3700664701861172</v>
      </c>
      <c r="E34">
        <v>2080.9</v>
      </c>
      <c r="F34">
        <f>IF(Table126[[#This Row],[TWh '[2020']]]=0,$D$27*(E34/$E$27),0)</f>
        <v>0</v>
      </c>
      <c r="G34">
        <f>MIN(Table126[[#This Row],[TWh '[2020']]],Table126[[#This Row],[TWh by share]])*1000</f>
        <v>-8370.0664701861169</v>
      </c>
    </row>
    <row r="35" spans="1:7">
      <c r="A35" t="s">
        <v>36</v>
      </c>
      <c r="B35" t="s">
        <v>9</v>
      </c>
      <c r="C35" s="2">
        <v>35.974474240000006</v>
      </c>
      <c r="D35">
        <f>Table126[[#This Row],[Mrd m3 '[2020']]]*9.77*-1</f>
        <v>-351.47061332480007</v>
      </c>
      <c r="E35">
        <v>46937.1</v>
      </c>
      <c r="F35">
        <f>IF(Table126[[#This Row],[TWh '[2020']]]=0,$D$27*(E35/$E$27),0)</f>
        <v>0</v>
      </c>
      <c r="G35">
        <f>MIN(Table126[[#This Row],[TWh '[2020']]],Table126[[#This Row],[TWh by share]])*1000</f>
        <v>-351470.61332480004</v>
      </c>
    </row>
    <row r="36" spans="1:7">
      <c r="A36" t="s">
        <v>82</v>
      </c>
      <c r="B36" t="s">
        <v>83</v>
      </c>
      <c r="C36" s="2">
        <v>1.0279</v>
      </c>
      <c r="D36">
        <f>Table126[[#This Row],[Mrd m3 '[2020']]]*9.77*-1</f>
        <v>-10.042583</v>
      </c>
      <c r="E36">
        <v>10230.200000000001</v>
      </c>
      <c r="F36">
        <f>IF(Table126[[#This Row],[TWh '[2020']]]=0,$D$27*(E36/$E$27),0)</f>
        <v>0</v>
      </c>
      <c r="G36">
        <f>MIN(Table126[[#This Row],[TWh '[2020']]],Table126[[#This Row],[TWh by share]])*1000</f>
        <v>-10042.583000000001</v>
      </c>
    </row>
    <row r="37" spans="1:7">
      <c r="A37" t="s">
        <v>22</v>
      </c>
      <c r="B37" t="s">
        <v>58</v>
      </c>
      <c r="C37" s="2">
        <v>3.4058333333333337</v>
      </c>
      <c r="D37">
        <f>Table126[[#This Row],[Mrd m3 '[2020']]]*9.77*-1</f>
        <v>-33.274991666666672</v>
      </c>
      <c r="E37">
        <v>8544.5</v>
      </c>
      <c r="F37">
        <f>IF(Table126[[#This Row],[TWh '[2020']]]=0,$D$27*(E37/$E$27),0)</f>
        <v>0</v>
      </c>
      <c r="G37">
        <f>MIN(Table126[[#This Row],[TWh '[2020']]],Table126[[#This Row],[TWh by share]])*1000</f>
        <v>-33274.991666666669</v>
      </c>
    </row>
    <row r="38" spans="1:7">
      <c r="A38" t="s">
        <v>46</v>
      </c>
      <c r="B38" t="s">
        <v>10</v>
      </c>
      <c r="C38" s="2">
        <v>43.361345000000007</v>
      </c>
      <c r="D38">
        <f>Table126[[#This Row],[Mrd m3 '[2020']]]*9.77*-1</f>
        <v>-423.64034065000004</v>
      </c>
      <c r="E38">
        <v>82003.899999999994</v>
      </c>
      <c r="F38">
        <f>IF(Table126[[#This Row],[TWh '[2020']]]=0,$D$27*(E38/$E$27),0)</f>
        <v>0</v>
      </c>
      <c r="G38">
        <f>MIN(Table126[[#This Row],[TWh '[2020']]],Table126[[#This Row],[TWh by share]])*1000</f>
        <v>-423640.34065000003</v>
      </c>
    </row>
    <row r="39" spans="1:7">
      <c r="A39" t="s">
        <v>11</v>
      </c>
      <c r="B39" t="s">
        <v>11</v>
      </c>
      <c r="C39" s="2">
        <v>77.873757299999994</v>
      </c>
      <c r="D39">
        <f>Table126[[#This Row],[Mrd m3 '[2020']]]*9.77*-1</f>
        <v>-760.82660882099992</v>
      </c>
      <c r="E39">
        <v>66647.100000000006</v>
      </c>
      <c r="F39">
        <f>IF(Table126[[#This Row],[TWh '[2020']]]=0,$D$27*(E39/$E$27),0)</f>
        <v>0</v>
      </c>
      <c r="G39">
        <f>MIN(Table126[[#This Row],[TWh '[2020']]],Table126[[#This Row],[TWh by share]])*1000</f>
        <v>-760826.60882099997</v>
      </c>
    </row>
    <row r="40" spans="1:7">
      <c r="A40" t="s">
        <v>38</v>
      </c>
      <c r="B40" t="s">
        <v>67</v>
      </c>
      <c r="C40" s="2">
        <v>28.297689282202555</v>
      </c>
      <c r="D40">
        <f>Table126[[#This Row],[Mrd m3 '[2020']]]*9.77*-1</f>
        <v>-276.46842428711892</v>
      </c>
      <c r="E40">
        <v>41983.563999999998</v>
      </c>
      <c r="F40">
        <f>IF(Table126[[#This Row],[TWh '[2020']]]=0,$D$27*(E40/$E$27),0)</f>
        <v>0</v>
      </c>
      <c r="G40">
        <f>MIN(Table126[[#This Row],[TWh '[2020']]],Table126[[#This Row],[TWh by share]])*1000</f>
        <v>-276468.42428711895</v>
      </c>
    </row>
    <row r="41" spans="1:7">
      <c r="A41" t="s">
        <v>108</v>
      </c>
      <c r="B41" t="s">
        <v>109</v>
      </c>
      <c r="C41" s="2"/>
      <c r="D41">
        <f>Table126[[#This Row],[Mrd m3 '[2020']]]*9.77*-1</f>
        <v>0</v>
      </c>
      <c r="E41">
        <v>875.9</v>
      </c>
      <c r="F41">
        <f>IF(Table126[[#This Row],[TWh '[2020']]]=0,$D$27*(E41/$E$27),0)</f>
        <v>-2.7674607604587136</v>
      </c>
      <c r="G41">
        <f>MIN(Table126[[#This Row],[TWh '[2020']]],Table126[[#This Row],[TWh by share]])*1000</f>
        <v>-2767.4607604587136</v>
      </c>
    </row>
    <row r="42" spans="1:7">
      <c r="B42" t="s">
        <v>117</v>
      </c>
      <c r="C42" s="2"/>
      <c r="D42">
        <f>Table126[[#This Row],[Mrd m3 '[2020']]]*9.77*-1</f>
        <v>0</v>
      </c>
      <c r="E42">
        <v>1782</v>
      </c>
      <c r="F42">
        <f>IF(Table126[[#This Row],[TWh '[2020']]]=0,$D$27*(E42/$E$27),0)</f>
        <v>-5.6303403072695835</v>
      </c>
      <c r="G42">
        <f>MIN(Table126[[#This Row],[TWh '[2020']]],Table126[[#This Row],[TWh by share]])*1000</f>
        <v>-5630.3403072695837</v>
      </c>
    </row>
    <row r="44" spans="1:7">
      <c r="C44" s="2">
        <f>SUM(Table126[Mrd m3 '[2020']])</f>
        <v>555.44562419225667</v>
      </c>
    </row>
    <row r="50" spans="1:2">
      <c r="A50" t="s">
        <v>132</v>
      </c>
    </row>
    <row r="51" spans="1:2">
      <c r="A51" s="16" t="s">
        <v>112</v>
      </c>
    </row>
    <row r="52" spans="1:2">
      <c r="A52" s="16" t="s">
        <v>113</v>
      </c>
      <c r="B52" t="s">
        <v>114</v>
      </c>
    </row>
    <row r="53" spans="1:2">
      <c r="A53" s="16" t="s">
        <v>115</v>
      </c>
      <c r="B53" t="s">
        <v>116</v>
      </c>
    </row>
  </sheetData>
  <hyperlinks>
    <hyperlink ref="A52" r:id="rId1" xr:uid="{D87F2A5E-6774-FF4B-AC30-F8B48D9C715A}"/>
    <hyperlink ref="A51" r:id="rId2" xr:uid="{E19E7ACA-DF5E-9E48-BF3F-8A37361A1326}"/>
    <hyperlink ref="A53" r:id="rId3" location="Number_of_inhabitants" xr:uid="{5175BA8A-13A2-1D45-9E2E-68A92460DAE5}"/>
  </hyperlinks>
  <pageMargins left="0.7" right="0.7" top="0.75" bottom="0.75" header="0.3" footer="0.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D3" sqref="D3"/>
    </sheetView>
  </sheetViews>
  <sheetFormatPr defaultColWidth="8.81640625" defaultRowHeight="14.5"/>
  <cols>
    <col min="1" max="1" width="9.453125" customWidth="1"/>
    <col min="2" max="2" width="12.453125" customWidth="1"/>
    <col min="3" max="3" width="15" customWidth="1"/>
    <col min="4" max="4" width="12" customWidth="1"/>
    <col min="5" max="5" width="22.179687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v>-0.55586415</v>
      </c>
      <c r="E2">
        <v>2846</v>
      </c>
      <c r="F2">
        <f>IF(Table1[[#This Row],[TWh '[2020']]]=0,$D$27*(E2/$E$27),0)</f>
        <v>0</v>
      </c>
      <c r="G2">
        <f>MIN(Table1[[#This Row],[TWh '[2020']]],Table1[[#This Row],[TWh by share]])*1000</f>
        <v>-555.86415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-11.073617073622929</v>
      </c>
      <c r="G5">
        <v>-5110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-1.6318680830716952</v>
      </c>
      <c r="G21">
        <f>MIN(Table1[[#This Row],[TWh '[2020']]],Table1[[#This Row],[TWh by share]])*1000</f>
        <v>-1631.8680830716951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-8.1783672488183097</v>
      </c>
      <c r="G22">
        <f>MIN(Table1[[#This Row],[TWh '[2020']]],Table1[[#This Row],[TWh by share]])*1000</f>
        <v>-8178.3672488183092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-1.9721312881117126</v>
      </c>
      <c r="G23">
        <f>MIN(Table1[[#This Row],[TWh '[2020']]],Table1[[#This Row],[TWh by share]])*1000</f>
        <v>-1972.1312881117126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16804.2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-21.965527887704454</v>
      </c>
      <c r="G32">
        <f>MIN(Table1[[#This Row],[TWh '[2020']]],Table1[[#This Row],[TWh by share]])*1000</f>
        <v>-21965.527887704455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-2.8159713520553153</v>
      </c>
      <c r="G41">
        <f>MIN(Table1[[#This Row],[TWh '[2020']]],Table1[[#This Row],[TWh by share]])*1000</f>
        <v>-2815.9713520553155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-5.6509695375704636</v>
      </c>
      <c r="G42">
        <f>MIN(Table1[[#This Row],[TWh '[2020']]],Table1[[#This Row],[TWh by share]])*1000</f>
        <v>-5650.9695375704632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D3" sqref="D3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5" width="22.179687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v>-0.52710126999999996</v>
      </c>
      <c r="E2">
        <v>2846</v>
      </c>
      <c r="F2">
        <f>MIN(Table15[[#This Row],[TWh '[2023']]],Table15[[#This Row],[TWh by share]])*1000</f>
        <v>-527.10127</v>
      </c>
      <c r="G2">
        <f>IF(Table15[[#This Row],[TWh '[2023']]]=0,$D$27*(E2/$E$27),0)</f>
        <v>0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v>-5110</v>
      </c>
      <c r="G5">
        <f>IF(Table15[[#This Row],[TWh '[2023']]]=0,$D$27*(E5/$E$27),0)</f>
        <v>-14.141799474039438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-2084.0120301662928</v>
      </c>
      <c r="G21">
        <f>IF(Table15[[#This Row],[TWh '[2023']]]=0,$D$27*(E21/$E$27),0)</f>
        <v>-2.084012030166293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-10444.358775357307</v>
      </c>
      <c r="G22">
        <f>IF(Table15[[#This Row],[TWh '[2023']]]=0,$D$27*(E22/$E$27),0)</f>
        <v>-10.444358775357307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-2518.5524321034154</v>
      </c>
      <c r="G23">
        <f>IF(Table15[[#This Row],[TWh '[2023']]]=0,$D$27*(E23/$E$27),0)</f>
        <v>-2.5185524321034154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16804.2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-28051.547083857095</v>
      </c>
      <c r="G32">
        <f>IF(Table15[[#This Row],[TWh '[2023']]]=0,$D$27*(E32/$E$27),0)</f>
        <v>-28.051547083857095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-3596.196429824462</v>
      </c>
      <c r="G41">
        <f>IF(Table15[[#This Row],[TWh '[2023']]]=0,$D$27*(E41/$E$27),0)</f>
        <v>-3.5961964298244622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-7216.6914841747639</v>
      </c>
      <c r="G42">
        <f>IF(Table15[[#This Row],[TWh '[2023']]]=0,$D$27*(E42/$E$27),0)</f>
        <v>-7.2166914841747642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tabSelected="1" workbookViewId="0">
      <selection activeCell="AB8" sqref="AB8"/>
    </sheetView>
  </sheetViews>
  <sheetFormatPr defaultColWidth="8.81640625" defaultRowHeight="14.5"/>
  <cols>
    <col min="1" max="1" width="9.453125" customWidth="1"/>
    <col min="2" max="4" width="20.36328125" customWidth="1"/>
    <col min="5" max="5" width="15" customWidth="1"/>
    <col min="6" max="6" width="12" customWidth="1"/>
    <col min="7" max="7" width="22.1796875" customWidth="1"/>
    <col min="8" max="8" width="10.453125" bestFit="1" customWidth="1"/>
    <col min="9" max="10" width="10.453125" customWidth="1"/>
  </cols>
  <sheetData>
    <row r="1" spans="1:12">
      <c r="A1" t="s">
        <v>16</v>
      </c>
      <c r="B1" t="s">
        <v>55</v>
      </c>
      <c r="C1" t="s">
        <v>303</v>
      </c>
      <c r="D1" t="s">
        <v>300</v>
      </c>
      <c r="E1" t="s">
        <v>134</v>
      </c>
      <c r="F1" t="s">
        <v>133</v>
      </c>
      <c r="G1" t="s">
        <v>107</v>
      </c>
      <c r="H1" t="s">
        <v>266</v>
      </c>
      <c r="I1" t="s">
        <v>302</v>
      </c>
      <c r="J1" t="s">
        <v>301</v>
      </c>
      <c r="K1" t="s">
        <v>118</v>
      </c>
      <c r="L1" t="s">
        <v>294</v>
      </c>
    </row>
    <row r="2" spans="1:1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4.7459090237893228E-2</v>
      </c>
      <c r="D2">
        <f>IF(Table1515[[#This Row],[EU]]=1,$T$19*Table1515[[#This Row],[GWh '[2020']]]/$H$44,$T$18*Table1515[[#This Row],[GWh '[2020']]]/$H$45)</f>
        <v>3.6068908580798857E-2</v>
      </c>
      <c r="E2" s="2">
        <v>5.2710127000000002E-2</v>
      </c>
      <c r="F2">
        <f>Table1515[[#This Row],[Mrd m3 '[2023']]]*9.77*-1</f>
        <v>-0.51497794079000003</v>
      </c>
      <c r="G2">
        <v>2846</v>
      </c>
      <c r="H2">
        <v>-463.78256843128497</v>
      </c>
      <c r="I2">
        <f>Table1515[[#This Row],[Mrd m3 '[2035'] SP]]*9.77*-1000</f>
        <v>-463.67531162421682</v>
      </c>
      <c r="J2">
        <f>Table1515[[#This Row],[Mrd m3 '[2035'] AP]]*9.77*-1000</f>
        <v>-352.39323683440483</v>
      </c>
      <c r="K2">
        <f>IF(Table1515[[#This Row],[TWh '[2023']]]=0,$F$27*(G2/$G$27),0)</f>
        <v>0</v>
      </c>
      <c r="L2">
        <v>0</v>
      </c>
    </row>
    <row r="3" spans="1:1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5.5367381337444801</v>
      </c>
      <c r="D3">
        <f>IF(Table1515[[#This Row],[EU]]=1,$T$19*Table1515[[#This Row],[GWh '[2020']]]/$H$44,$T$18*Table1515[[#This Row],[GWh '[2020']]]/$H$45)</f>
        <v>3.5978026005265686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 SP]]*9.77*-1000</f>
        <v>-54093.931566683568</v>
      </c>
      <c r="J3">
        <f>Table1515[[#This Row],[Mrd m3 '[2035'] AP]]*9.77*-1000</f>
        <v>-35150.531407144575</v>
      </c>
      <c r="K3">
        <f>IF(Table1515[[#This Row],[TWh '[2023']]]=0,$F$27*(G3/$G$27),0)</f>
        <v>0</v>
      </c>
      <c r="L3">
        <v>1</v>
      </c>
    </row>
    <row r="4" spans="1:1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11.028080352700554</v>
      </c>
      <c r="D4">
        <f>IF(Table1515[[#This Row],[EU]]=1,$T$19*Table1515[[#This Row],[GWh '[2020']]]/$H$44,$T$18*Table1515[[#This Row],[GWh '[2020']]]/$H$45)</f>
        <v>7.1661066883307099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 SP]]*9.77*-1000</f>
        <v>-107744.34504588442</v>
      </c>
      <c r="J4">
        <f>Table1515[[#This Row],[Mrd m3 '[2035'] AP]]*9.77*-1000</f>
        <v>-70012.862344991037</v>
      </c>
      <c r="K4">
        <f>IF(Table1515[[#This Row],[TWh '[2023']]]=0,$F$27*(G4/$G$27),0)</f>
        <v>0</v>
      </c>
      <c r="L4">
        <v>1</v>
      </c>
    </row>
    <row r="5" spans="1:1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0.52290872409441602</v>
      </c>
      <c r="D5">
        <f>IF(Table1515[[#This Row],[EU]]=1,$T$19*Table1515[[#This Row],[GWh '[2020']]]/$H$44,$T$18*Table1515[[#This Row],[GWh '[2020']]]/$H$45)</f>
        <v>0.39741063031175622</v>
      </c>
      <c r="E5" s="2"/>
      <c r="F5">
        <f>Table1515[[#This Row],[Mrd m3 '[2023']]]*9.77*-1</f>
        <v>0</v>
      </c>
      <c r="G5">
        <v>3492</v>
      </c>
      <c r="H5">
        <v>-5110</v>
      </c>
      <c r="I5">
        <f>Table1515[[#This Row],[Mrd m3 '[2035'] SP]]*9.77*-1000</f>
        <v>-5108.8182344024444</v>
      </c>
      <c r="J5">
        <f>Table1515[[#This Row],[Mrd m3 '[2035'] AP]]*9.77*-1000</f>
        <v>-3882.7018581458578</v>
      </c>
      <c r="K5">
        <f>IF(Table1515[[#This Row],[TWh '[2023']]]=0,$F$27*(G5/$G$27),0)</f>
        <v>-14.141799474039438</v>
      </c>
      <c r="L5">
        <v>0</v>
      </c>
    </row>
    <row r="6" spans="1:1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2.03244213426732</v>
      </c>
      <c r="D6">
        <f>IF(Table1515[[#This Row],[EU]]=1,$T$19*Table1515[[#This Row],[GWh '[2020']]]/$H$44,$T$18*Table1515[[#This Row],[GWh '[2020']]]/$H$45)</f>
        <v>1.3206919705161184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 SP]]*9.77*-1000</f>
        <v>-19856.959651791716</v>
      </c>
      <c r="J6">
        <f>Table1515[[#This Row],[Mrd m3 '[2035'] AP]]*9.77*-1000</f>
        <v>-12903.160551942477</v>
      </c>
      <c r="K6">
        <f>IF(Table1515[[#This Row],[TWh '[2023']]]=0,$F$27*(G6/$G$27),0)</f>
        <v>0</v>
      </c>
      <c r="L6">
        <v>1</v>
      </c>
    </row>
    <row r="7" spans="1:1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2.0116379230229504</v>
      </c>
      <c r="D7">
        <f>IF(Table1515[[#This Row],[EU]]=1,$T$19*Table1515[[#This Row],[GWh '[2020']]]/$H$44,$T$18*Table1515[[#This Row],[GWh '[2020']]]/$H$45)</f>
        <v>1.3071732807191936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 SP]]*9.77*-1000</f>
        <v>-19653.702507934224</v>
      </c>
      <c r="J7">
        <f>Table1515[[#This Row],[Mrd m3 '[2035'] AP]]*9.77*-1000</f>
        <v>-12771.082952626521</v>
      </c>
      <c r="K7">
        <f>IF(Table1515[[#This Row],[TWh '[2023']]]=0,$F$27*(G7/$G$27),0)</f>
        <v>0</v>
      </c>
      <c r="L7">
        <v>1</v>
      </c>
    </row>
    <row r="8" spans="1:1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5.3888682479237433</v>
      </c>
      <c r="D8">
        <f>IF(Table1515[[#This Row],[EU]]=1,$T$19*Table1515[[#This Row],[GWh '[2020']]]/$H$44,$T$18*Table1515[[#This Row],[GWh '[2020']]]/$H$45)</f>
        <v>3.5017159432033664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 SP]]*9.77*-1000</f>
        <v>-52649.242782214969</v>
      </c>
      <c r="J8">
        <f>Table1515[[#This Row],[Mrd m3 '[2035'] AP]]*9.77*-1000</f>
        <v>-34211.764765096887</v>
      </c>
      <c r="K8">
        <f>IF(Table1515[[#This Row],[TWh '[2023']]]=0,$F$27*(G8/$G$27),0)</f>
        <v>0</v>
      </c>
      <c r="L8">
        <v>1</v>
      </c>
    </row>
    <row r="9" spans="1:1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1.3117144993379282</v>
      </c>
      <c r="D9">
        <f>IF(Table1515[[#This Row],[EU]]=1,$T$19*Table1515[[#This Row],[GWh '[2020']]]/$H$44,$T$18*Table1515[[#This Row],[GWh '[2020']]]/$H$45)</f>
        <v>0.85235922719624135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 SP]]*9.77*-1000</f>
        <v>-12815.450658531558</v>
      </c>
      <c r="J9">
        <f>Table1515[[#This Row],[Mrd m3 '[2035'] AP]]*9.77*-1000</f>
        <v>-8327.5496497072781</v>
      </c>
      <c r="K9">
        <f>IF(Table1515[[#This Row],[TWh '[2023']]]=0,$F$27*(G9/$G$27),0)</f>
        <v>0</v>
      </c>
      <c r="L9">
        <v>1</v>
      </c>
    </row>
    <row r="10" spans="1:1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0.29761226883364578</v>
      </c>
      <c r="D10">
        <f>IF(Table1515[[#This Row],[EU]]=1,$T$19*Table1515[[#This Row],[GWh '[2020']]]/$H$44,$T$18*Table1515[[#This Row],[GWh '[2020']]]/$H$45)</f>
        <v>0.19339007352225232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 SP]]*9.77*-1000</f>
        <v>-2907.6718665047192</v>
      </c>
      <c r="J10">
        <f>Table1515[[#This Row],[Mrd m3 '[2035'] AP]]*9.77*-1000</f>
        <v>-1889.4210183124051</v>
      </c>
      <c r="K10">
        <f>IF(Table1515[[#This Row],[TWh '[2023']]]=0,$F$27*(G10/$G$27),0)</f>
        <v>0</v>
      </c>
      <c r="L10">
        <v>1</v>
      </c>
    </row>
    <row r="11" spans="1:1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0.96103830530659451</v>
      </c>
      <c r="D11">
        <f>IF(Table1515[[#This Row],[EU]]=1,$T$19*Table1515[[#This Row],[GWh '[2020']]]/$H$44,$T$18*Table1515[[#This Row],[GWh '[2020']]]/$H$45)</f>
        <v>0.62448792601634751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 SP]]*9.77*-1000</f>
        <v>-9389.3442428454291</v>
      </c>
      <c r="J11">
        <f>Table1515[[#This Row],[Mrd m3 '[2035'] AP]]*9.77*-1000</f>
        <v>-6101.2470371797153</v>
      </c>
      <c r="K11">
        <f>IF(Table1515[[#This Row],[TWh '[2023']]]=0,$F$27*(G11/$G$27),0)</f>
        <v>0</v>
      </c>
      <c r="L11">
        <v>1</v>
      </c>
    </row>
    <row r="12" spans="1:1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27.247407151385929</v>
      </c>
      <c r="D12">
        <f>IF(Table1515[[#This Row],[EU]]=1,$T$19*Table1515[[#This Row],[GWh '[2020']]]/$H$44,$T$18*Table1515[[#This Row],[GWh '[2020']]]/$H$45)</f>
        <v>17.705513596425874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 SP]]*9.77*-1000</f>
        <v>-266207.16786904051</v>
      </c>
      <c r="J12">
        <f>Table1515[[#This Row],[Mrd m3 '[2035'] AP]]*9.77*-1000</f>
        <v>-172982.86783708079</v>
      </c>
      <c r="K12">
        <f>IF(Table1515[[#This Row],[TWh '[2023']]]=0,$F$27*(G12/$G$27),0)</f>
        <v>0</v>
      </c>
      <c r="L12">
        <v>1</v>
      </c>
    </row>
    <row r="13" spans="1:1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60.879779619425392</v>
      </c>
      <c r="D13">
        <f>IF(Table1515[[#This Row],[EU]]=1,$T$19*Table1515[[#This Row],[GWh '[2020']]]/$H$44,$T$18*Table1515[[#This Row],[GWh '[2020']]]/$H$45)</f>
        <v>39.560012437525444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 SP]]*9.77*-1000</f>
        <v>-594795.44688178599</v>
      </c>
      <c r="J13">
        <f>Table1515[[#This Row],[Mrd m3 '[2035'] AP]]*9.77*-1000</f>
        <v>-386501.32151462353</v>
      </c>
      <c r="K13">
        <f>IF(Table1515[[#This Row],[TWh '[2023']]]=0,$F$27*(G13/$G$27),0)</f>
        <v>0</v>
      </c>
      <c r="L13">
        <v>1</v>
      </c>
    </row>
    <row r="14" spans="1:1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4.3305661342254824</v>
      </c>
      <c r="D14">
        <f>IF(Table1515[[#This Row],[EU]]=1,$T$19*Table1515[[#This Row],[GWh '[2020']]]/$H$44,$T$18*Table1515[[#This Row],[GWh '[2020']]]/$H$45)</f>
        <v>2.8140254646523561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 SP]]*9.77*-1000</f>
        <v>-42309.631131382965</v>
      </c>
      <c r="J14">
        <f>Table1515[[#This Row],[Mrd m3 '[2035'] AP]]*9.77*-1000</f>
        <v>-27493.028789653519</v>
      </c>
      <c r="K14">
        <f>IF(Table1515[[#This Row],[TWh '[2023']]]=0,$F$27*(G14/$G$27),0)</f>
        <v>0</v>
      </c>
      <c r="L14">
        <v>1</v>
      </c>
    </row>
    <row r="15" spans="1:1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6.5855899163192015</v>
      </c>
      <c r="D15">
        <f>IF(Table1515[[#This Row],[EU]]=1,$T$19*Table1515[[#This Row],[GWh '[2020']]]/$H$44,$T$18*Table1515[[#This Row],[GWh '[2020']]]/$H$45)</f>
        <v>4.2793522024330999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 SP]]*9.77*-1000</f>
        <v>-64341.213482438587</v>
      </c>
      <c r="J15">
        <f>Table1515[[#This Row],[Mrd m3 '[2035'] AP]]*9.77*-1000</f>
        <v>-41809.271017771389</v>
      </c>
      <c r="K15">
        <f>IF(Table1515[[#This Row],[TWh '[2023']]]=0,$F$27*(G15/$G$27),0)</f>
        <v>0</v>
      </c>
      <c r="L15">
        <v>1</v>
      </c>
    </row>
    <row r="16" spans="1:1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3.8809793504743446</v>
      </c>
      <c r="D16">
        <f>IF(Table1515[[#This Row],[EU]]=1,$T$19*Table1515[[#This Row],[GWh '[2020']]]/$H$44,$T$18*Table1515[[#This Row],[GWh '[2020']]]/$H$45)</f>
        <v>2.5218815234599825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 SP]]*9.77*-1000</f>
        <v>-37917.168254134347</v>
      </c>
      <c r="J16">
        <f>Table1515[[#This Row],[Mrd m3 '[2035'] AP]]*9.77*-1000</f>
        <v>-24638.782484204028</v>
      </c>
      <c r="K16">
        <f>IF(Table1515[[#This Row],[TWh '[2023']]]=0,$F$27*(G16/$G$27),0)</f>
        <v>0</v>
      </c>
      <c r="L16">
        <v>1</v>
      </c>
    </row>
    <row r="17" spans="1:20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47.148184056628644</v>
      </c>
      <c r="D17">
        <f>IF(Table1515[[#This Row],[EU]]=1,$T$19*Table1515[[#This Row],[GWh '[2020']]]/$H$44,$T$18*Table1515[[#This Row],[GWh '[2020']]]/$H$45)</f>
        <v>30.63714683835402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 SP]]*9.77*-1000</f>
        <v>-460637.75823326182</v>
      </c>
      <c r="J17">
        <f>Table1515[[#This Row],[Mrd m3 '[2035'] AP]]*9.77*-1000</f>
        <v>-299324.92461071879</v>
      </c>
      <c r="K17">
        <f>IF(Table1515[[#This Row],[TWh '[2023']]]=0,$F$27*(G17/$G$27),0)</f>
        <v>0</v>
      </c>
      <c r="L17">
        <v>1</v>
      </c>
      <c r="R17" t="s">
        <v>291</v>
      </c>
      <c r="T17" t="s">
        <v>292</v>
      </c>
    </row>
    <row r="18" spans="1:20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0.61722556085634983</v>
      </c>
      <c r="D18">
        <f>IF(Table1515[[#This Row],[EU]]=1,$T$19*Table1515[[#This Row],[GWh '[2020']]]/$H$44,$T$18*Table1515[[#This Row],[GWh '[2020']]]/$H$45)</f>
        <v>0.40107653176268643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 SP]]*9.77*-1000</f>
        <v>-6030.293729566537</v>
      </c>
      <c r="J18">
        <f>Table1515[[#This Row],[Mrd m3 '[2035'] AP]]*9.77*-1000</f>
        <v>-3918.5177153214463</v>
      </c>
      <c r="K18">
        <f>IF(Table1515[[#This Row],[TWh '[2023']]]=0,$F$27*(G18/$G$27),0)</f>
        <v>0</v>
      </c>
      <c r="L18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1.2596337717199437</v>
      </c>
      <c r="D19">
        <f>IF(Table1515[[#This Row],[EU]]=1,$T$19*Table1515[[#This Row],[GWh '[2020']]]/$H$44,$T$18*Table1515[[#This Row],[GWh '[2020']]]/$H$45)</f>
        <v>0.8185168866818312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 SP]]*9.77*-1000</f>
        <v>-12306.621949703849</v>
      </c>
      <c r="J19">
        <f>Table1515[[#This Row],[Mrd m3 '[2035'] AP]]*9.77*-1000</f>
        <v>-7996.9099828814906</v>
      </c>
      <c r="K19">
        <f>IF(Table1515[[#This Row],[TWh '[2023']]]=0,$F$27*(G19/$G$27),0)</f>
        <v>0</v>
      </c>
      <c r="L19">
        <v>1</v>
      </c>
      <c r="Q19" t="s">
        <v>294</v>
      </c>
      <c r="R19">
        <v>257</v>
      </c>
      <c r="S19" t="s">
        <v>290</v>
      </c>
      <c r="T19">
        <v>167</v>
      </c>
    </row>
    <row r="20" spans="1:20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0.46140868274738922</v>
      </c>
      <c r="D20">
        <f>IF(Table1515[[#This Row],[EU]]=1,$T$19*Table1515[[#This Row],[GWh '[2020']]]/$H$44,$T$18*Table1515[[#This Row],[GWh '[2020']]]/$H$45)</f>
        <v>0.29982587555958751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 SP]]*9.77*-1000</f>
        <v>-4507.9628304419921</v>
      </c>
      <c r="J20">
        <f>Table1515[[#This Row],[Mrd m3 '[2035'] AP]]*9.77*-1000</f>
        <v>-2929.2988042171701</v>
      </c>
      <c r="K20">
        <f>IF(Table1515[[#This Row],[TWh '[2023']]]=0,$F$27*(G20/$G$27),0)</f>
        <v>0</v>
      </c>
      <c r="L20">
        <v>1</v>
      </c>
    </row>
    <row r="21" spans="1:20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0.17162893252770778</v>
      </c>
      <c r="D21">
        <f>IF(Table1515[[#This Row],[EU]]=1,$T$19*Table1515[[#This Row],[GWh '[2020']]]/$H$44,$T$18*Table1515[[#This Row],[GWh '[2020']]]/$H$45)</f>
        <v>0.11152541530010583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-2084.0120301662928</v>
      </c>
      <c r="I21">
        <f>Table1515[[#This Row],[Mrd m3 '[2035'] SP]]*9.77*-1000</f>
        <v>-1676.8146707957051</v>
      </c>
      <c r="J21">
        <f>Table1515[[#This Row],[Mrd m3 '[2035'] AP]]*9.77*-1000</f>
        <v>-1089.6033074820339</v>
      </c>
      <c r="K21">
        <f>IF(Table1515[[#This Row],[TWh '[2023']]]=0,$F$27*(G21/$G$27),0)</f>
        <v>-2.084012030166293</v>
      </c>
      <c r="L21">
        <v>1</v>
      </c>
    </row>
    <row r="22" spans="1:20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1.0687761881030149</v>
      </c>
      <c r="D22">
        <f>IF(Table1515[[#This Row],[EU]]=1,$T$19*Table1515[[#This Row],[GWh '[2020']]]/$H$44,$T$18*Table1515[[#This Row],[GWh '[2020']]]/$H$45)</f>
        <v>0.81226990295829149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-10444.358775357307</v>
      </c>
      <c r="I22">
        <f>Table1515[[#This Row],[Mrd m3 '[2035'] SP]]*9.77*-1000</f>
        <v>-10441.943357766455</v>
      </c>
      <c r="J22">
        <f>Table1515[[#This Row],[Mrd m3 '[2035'] AP]]*9.77*-1000</f>
        <v>-7935.8769519025072</v>
      </c>
      <c r="K22">
        <f>IF(Table1515[[#This Row],[TWh '[2023']]]=0,$F$27*(G22/$G$27),0)</f>
        <v>-10.444358775357307</v>
      </c>
      <c r="L22">
        <v>0</v>
      </c>
    </row>
    <row r="23" spans="1:20">
      <c r="B23" t="s">
        <v>111</v>
      </c>
      <c r="C23">
        <f>IF(Table1515[[#This Row],[EU]]=1,$R$19*Table1515[[#This Row],[GWh '[2020']]]/$H$44,$R$18*Table1515[[#This Row],[GWh '[2020']]]/$H$45)</f>
        <v>0.25772466513426329</v>
      </c>
      <c r="D23">
        <f>IF(Table1515[[#This Row],[EU]]=1,$T$19*Table1515[[#This Row],[GWh '[2020']]]/$H$44,$T$18*Table1515[[#This Row],[GWh '[2020']]]/$H$45)</f>
        <v>0.19587074550204009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-2518.5524321034154</v>
      </c>
      <c r="I23">
        <f>Table1515[[#This Row],[Mrd m3 '[2035'] SP]]*9.77*-1000</f>
        <v>-2517.9699783617525</v>
      </c>
      <c r="J23">
        <f>Table1515[[#This Row],[Mrd m3 '[2035'] AP]]*9.77*-1000</f>
        <v>-1913.6571835549316</v>
      </c>
      <c r="K23">
        <f>IF(Table1515[[#This Row],[TWh '[2023']]]=0,$F$27*(G23/$G$27),0)</f>
        <v>-2.5185524321034154</v>
      </c>
      <c r="L23">
        <v>0</v>
      </c>
    </row>
    <row r="24" spans="1:20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20.736559912171412</v>
      </c>
      <c r="D24">
        <f>IF(Table1515[[#This Row],[EU]]=1,$T$19*Table1515[[#This Row],[GWh '[2020']]]/$H$44,$T$18*Table1515[[#This Row],[GWh '[2020']]]/$H$45)</f>
        <v>13.474729592733951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 SP]]*9.77*-1000</f>
        <v>-202596.19034191468</v>
      </c>
      <c r="J24">
        <f>Table1515[[#This Row],[Mrd m3 '[2035'] AP]]*9.77*-1000</f>
        <v>-131648.10812101071</v>
      </c>
      <c r="K24">
        <f>IF(Table1515[[#This Row],[TWh '[2023']]]=0,$F$27*(G24/$G$27),0)</f>
        <v>0</v>
      </c>
      <c r="L24">
        <v>1</v>
      </c>
    </row>
    <row r="25" spans="1:20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0.35279100871501701</v>
      </c>
      <c r="D25">
        <f>IF(Table1515[[#This Row],[EU]]=1,$T$19*Table1515[[#This Row],[GWh '[2020']]]/$H$44,$T$18*Table1515[[#This Row],[GWh '[2020']]]/$H$45)</f>
        <v>0.26812116662341295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 SP]]*9.77*-1000</f>
        <v>-3446.7681551457158</v>
      </c>
      <c r="J25">
        <f>Table1515[[#This Row],[Mrd m3 '[2035'] AP]]*9.77*-1000</f>
        <v>-2619.5437979107442</v>
      </c>
      <c r="K25">
        <f>IF(Table1515[[#This Row],[TWh '[2023']]]=0,$F$27*(G25/$G$27),0)</f>
        <v>0</v>
      </c>
      <c r="L25">
        <v>0</v>
      </c>
    </row>
    <row r="26" spans="1:20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3.7923330733978311</v>
      </c>
      <c r="D26">
        <f>IF(Table1515[[#This Row],[EU]]=1,$T$19*Table1515[[#This Row],[GWh '[2020']]]/$H$44,$T$18*Table1515[[#This Row],[GWh '[2020']]]/$H$45)</f>
        <v>2.8821731357823515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 SP]]*9.77*-1000</f>
        <v>-37051.094127096811</v>
      </c>
      <c r="J26">
        <f>Table1515[[#This Row],[Mrd m3 '[2035'] AP]]*9.77*-1000</f>
        <v>-28158.831536593574</v>
      </c>
      <c r="K26">
        <f>IF(Table1515[[#This Row],[TWh '[2023']]]=0,$F$27*(G26/$G$27),0)</f>
        <v>0</v>
      </c>
      <c r="L26">
        <v>0</v>
      </c>
    </row>
    <row r="27" spans="1:20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6.9639119116404364</v>
      </c>
      <c r="D27">
        <f>IF(Table1515[[#This Row],[EU]]=1,$T$19*Table1515[[#This Row],[GWh '[2020']]]/$H$44,$T$18*Table1515[[#This Row],[GWh '[2020']]]/$H$45)</f>
        <v>5.2925730528467323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16804.2</v>
      </c>
      <c r="H27">
        <f>MIN(Table1515[[#This Row],[TWh '[2023']]],Table1515[[#This Row],[TWh by share]])*1000</f>
        <v>-68053.157709522784</v>
      </c>
      <c r="I27">
        <f>Table1515[[#This Row],[Mrd m3 '[2035'] SP]]*9.77*-1000</f>
        <v>-68037.419376727063</v>
      </c>
      <c r="J27">
        <f>Table1515[[#This Row],[Mrd m3 '[2035'] AP]]*9.77*-1000</f>
        <v>-51708.438726312575</v>
      </c>
      <c r="K27">
        <f>IF(Table1515[[#This Row],[TWh '[2023']]]=0,$F$27*(G27/$G$27),0)</f>
        <v>0</v>
      </c>
      <c r="L27">
        <v>0</v>
      </c>
    </row>
    <row r="28" spans="1:20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15.756425543320605</v>
      </c>
      <c r="D28">
        <f>IF(Table1515[[#This Row],[EU]]=1,$T$19*Table1515[[#This Row],[GWh '[2020']]]/$H$44,$T$18*Table1515[[#This Row],[GWh '[2020']]]/$H$45)</f>
        <v>10.238611150718059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 SP]]*9.77*-1000</f>
        <v>-153940.27755824232</v>
      </c>
      <c r="J28">
        <f>Table1515[[#This Row],[Mrd m3 '[2035'] AP]]*9.77*-1000</f>
        <v>-100031.23094251544</v>
      </c>
      <c r="K28">
        <f>IF(Table1515[[#This Row],[TWh '[2023']]]=0,$F$27*(G28/$G$27),0)</f>
        <v>0</v>
      </c>
      <c r="L28">
        <v>1</v>
      </c>
    </row>
    <row r="29" spans="1:20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3.6050432404999282</v>
      </c>
      <c r="D29">
        <f>IF(Table1515[[#This Row],[EU]]=1,$T$19*Table1515[[#This Row],[GWh '[2020']]]/$H$44,$T$18*Table1515[[#This Row],[GWh '[2020']]]/$H$45)</f>
        <v>2.3425767360447005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 SP]]*9.77*-1000</f>
        <v>-35221.272459684304</v>
      </c>
      <c r="J29">
        <f>Table1515[[#This Row],[Mrd m3 '[2035'] AP]]*9.77*-1000</f>
        <v>-22886.974711156723</v>
      </c>
      <c r="K29">
        <f>IF(Table1515[[#This Row],[TWh '[2023']]]=0,$F$27*(G29/$G$27),0)</f>
        <v>0</v>
      </c>
      <c r="L29">
        <v>1</v>
      </c>
    </row>
    <row r="30" spans="1:20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7.3106699522811782</v>
      </c>
      <c r="D30">
        <f>IF(Table1515[[#This Row],[EU]]=1,$T$19*Table1515[[#This Row],[GWh '[2020']]]/$H$44,$T$18*Table1515[[#This Row],[GWh '[2020']]]/$H$45)</f>
        <v>4.7505131596535284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 SP]]*9.77*-1000</f>
        <v>-71425.245433787117</v>
      </c>
      <c r="J30">
        <f>Table1515[[#This Row],[Mrd m3 '[2035'] AP]]*9.77*-1000</f>
        <v>-46412.513569814968</v>
      </c>
      <c r="K30">
        <f>IF(Table1515[[#This Row],[TWh '[2023']]]=0,$F$27*(G30/$G$27),0)</f>
        <v>0</v>
      </c>
      <c r="L30">
        <v>1</v>
      </c>
    </row>
    <row r="31" spans="1:20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 SP]]*9.77*-1000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>
        <v>0</v>
      </c>
    </row>
    <row r="32" spans="1:20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2.8705281202532587</v>
      </c>
      <c r="D32">
        <f>IF(Table1515[[#This Row],[EU]]=1,$T$19*Table1515[[#This Row],[GWh '[2020']]]/$H$44,$T$18*Table1515[[#This Row],[GWh '[2020']]]/$H$45)</f>
        <v>2.1816013713924765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-28051.547083857095</v>
      </c>
      <c r="I32">
        <f>Table1515[[#This Row],[Mrd m3 '[2035'] SP]]*9.77*-1000</f>
        <v>-28045.059734874336</v>
      </c>
      <c r="J32">
        <f>Table1515[[#This Row],[Mrd m3 '[2035'] AP]]*9.77*-1000</f>
        <v>-21314.245398504492</v>
      </c>
      <c r="K32">
        <f>IF(Table1515[[#This Row],[TWh '[2023']]]=0,$F$27*(G32/$G$27),0)</f>
        <v>-28.051547083857095</v>
      </c>
      <c r="L32">
        <v>0</v>
      </c>
    </row>
    <row r="33" spans="1:1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3.3777920962255386</v>
      </c>
      <c r="D33">
        <f>IF(Table1515[[#This Row],[EU]]=1,$T$19*Table1515[[#This Row],[GWh '[2020']]]/$H$44,$T$18*Table1515[[#This Row],[GWh '[2020']]]/$H$45)</f>
        <v>2.194907704551226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 SP]]*9.77*-1000</f>
        <v>-33001.02878012351</v>
      </c>
      <c r="J33">
        <f>Table1515[[#This Row],[Mrd m3 '[2035'] AP]]*9.77*-1000</f>
        <v>-21444.248273465477</v>
      </c>
      <c r="K33">
        <f>IF(Table1515[[#This Row],[TWh '[2023']]]=0,$F$27*(G33/$G$27),0)</f>
        <v>0</v>
      </c>
      <c r="L33">
        <v>1</v>
      </c>
    </row>
    <row r="34" spans="1:1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0.61687185162486646</v>
      </c>
      <c r="D34">
        <f>IF(Table1515[[#This Row],[EU]]=1,$T$19*Table1515[[#This Row],[GWh '[2020']]]/$H$44,$T$18*Table1515[[#This Row],[GWh '[2020']]]/$H$45)</f>
        <v>0.40084668957724789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 SP]]*9.77*-1000</f>
        <v>-6026.8379903749455</v>
      </c>
      <c r="J34">
        <f>Table1515[[#This Row],[Mrd m3 '[2035'] AP]]*9.77*-1000</f>
        <v>-3916.2721571697116</v>
      </c>
      <c r="K34">
        <f>IF(Table1515[[#This Row],[TWh '[2023']]]=0,$F$27*(G34/$G$27),0)</f>
        <v>0</v>
      </c>
      <c r="L34">
        <v>1</v>
      </c>
    </row>
    <row r="35" spans="1:1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23.573677149372863</v>
      </c>
      <c r="D35">
        <f>IF(Table1515[[#This Row],[EU]]=1,$T$19*Table1515[[#This Row],[GWh '[2020']]]/$H$44,$T$18*Table1515[[#This Row],[GWh '[2020']]]/$H$45)</f>
        <v>15.31830382858081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 SP]]*9.77*-1000</f>
        <v>-230314.82574937286</v>
      </c>
      <c r="J35">
        <f>Table1515[[#This Row],[Mrd m3 '[2035'] AP]]*9.77*-1000</f>
        <v>-149659.8284052345</v>
      </c>
      <c r="K35">
        <f>IF(Table1515[[#This Row],[TWh '[2023']]]=0,$F$27*(G35/$G$27),0)</f>
        <v>0</v>
      </c>
      <c r="L35">
        <v>1</v>
      </c>
    </row>
    <row r="36" spans="1:1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0.57626024592697311</v>
      </c>
      <c r="D36">
        <f>IF(Table1515[[#This Row],[EU]]=1,$T$19*Table1515[[#This Row],[GWh '[2020']]]/$H$44,$T$18*Table1515[[#This Row],[GWh '[2020']]]/$H$45)</f>
        <v>0.37445704696421989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 SP]]*9.77*-1000</f>
        <v>-5630.0626027065273</v>
      </c>
      <c r="J36">
        <f>Table1515[[#This Row],[Mrd m3 '[2035'] AP]]*9.77*-1000</f>
        <v>-3658.4453488404279</v>
      </c>
      <c r="K36">
        <f>IF(Table1515[[#This Row],[TWh '[2023']]]=0,$F$27*(G36/$G$27),0)</f>
        <v>0</v>
      </c>
      <c r="L36">
        <v>1</v>
      </c>
    </row>
    <row r="37" spans="1:1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2.7434881758275456</v>
      </c>
      <c r="D37">
        <f>IF(Table1515[[#This Row],[EU]]=1,$T$19*Table1515[[#This Row],[GWh '[2020']]]/$H$44,$T$18*Table1515[[#This Row],[GWh '[2020']]]/$H$45)</f>
        <v>2.0850510136289349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 SP]]*9.77*-1000</f>
        <v>-26803.879477835118</v>
      </c>
      <c r="J37">
        <f>Table1515[[#This Row],[Mrd m3 '[2035'] AP]]*9.77*-1000</f>
        <v>-20370.948403154693</v>
      </c>
      <c r="K37">
        <f>IF(Table1515[[#This Row],[TWh '[2023']]]=0,$F$27*(G37/$G$27),0)</f>
        <v>0</v>
      </c>
      <c r="L37">
        <v>0</v>
      </c>
    </row>
    <row r="38" spans="1:1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48.418148552920748</v>
      </c>
      <c r="D38">
        <f>IF(Table1515[[#This Row],[EU]]=1,$T$19*Table1515[[#This Row],[GWh '[2020']]]/$H$44,$T$18*Table1515[[#This Row],[GWh '[2020']]]/$H$45)</f>
        <v>36.797792900219768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 SP]]*9.77*-1000</f>
        <v>-473045.31136203569</v>
      </c>
      <c r="J38">
        <f>Table1515[[#This Row],[Mrd m3 '[2035'] AP]]*9.77*-1000</f>
        <v>-359514.43663514714</v>
      </c>
      <c r="K38">
        <f>IF(Table1515[[#This Row],[TWh '[2023']]]=0,$F$27*(G38/$G$27),0)</f>
        <v>0</v>
      </c>
      <c r="L38">
        <v>0</v>
      </c>
    </row>
    <row r="39" spans="1:1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63.488838639347911</v>
      </c>
      <c r="D39">
        <f>IF(Table1515[[#This Row],[EU]]=1,$T$19*Table1515[[#This Row],[GWh '[2020']]]/$H$44,$T$18*Table1515[[#This Row],[GWh '[2020']]]/$H$45)</f>
        <v>48.251517365904412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 SP]]*9.77*-1000</f>
        <v>-620285.9535064291</v>
      </c>
      <c r="J39">
        <f>Table1515[[#This Row],[Mrd m3 '[2035'] AP]]*9.77*-1000</f>
        <v>-471417.32466488611</v>
      </c>
      <c r="K39">
        <f>IF(Table1515[[#This Row],[TWh '[2023']]]=0,$F$27*(G39/$G$27),0)</f>
        <v>0</v>
      </c>
      <c r="L39">
        <v>0</v>
      </c>
    </row>
    <row r="40" spans="1:1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18.734604387280154</v>
      </c>
      <c r="D40">
        <f>IF(Table1515[[#This Row],[EU]]=1,$T$19*Table1515[[#This Row],[GWh '[2020']]]/$H$44,$T$18*Table1515[[#This Row],[GWh '[2020']]]/$H$45)</f>
        <v>14.238299334332918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 SP]]*9.77*-1000</f>
        <v>-183037.0848637271</v>
      </c>
      <c r="J40">
        <f>Table1515[[#This Row],[Mrd m3 '[2035'] AP]]*9.77*-1000</f>
        <v>-139108.1844964326</v>
      </c>
      <c r="K40">
        <f>IF(Table1515[[#This Row],[TWh '[2023']]]=0,$F$27*(G40/$G$27),0)</f>
        <v>0</v>
      </c>
      <c r="L40">
        <v>0</v>
      </c>
    </row>
    <row r="41" spans="1:1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0.29616496712904106</v>
      </c>
      <c r="D41">
        <f>IF(Table1515[[#This Row],[EU]]=1,$T$19*Table1515[[#This Row],[GWh '[2020']]]/$H$44,$T$18*Table1515[[#This Row],[GWh '[2020']]]/$H$45)</f>
        <v>0.19244960899046637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-3596.196429824462</v>
      </c>
      <c r="I41">
        <f>Table1515[[#This Row],[Mrd m3 '[2035'] SP]]*9.77*-1000</f>
        <v>-2893.5317288507313</v>
      </c>
      <c r="J41">
        <f>Table1515[[#This Row],[Mrd m3 '[2035'] AP]]*9.77*-1000</f>
        <v>-1880.2326798368563</v>
      </c>
      <c r="K41">
        <f>IF(Table1515[[#This Row],[TWh '[2023']]]=0,$F$27*(G41/$G$27),0)</f>
        <v>-3.5961964298244622</v>
      </c>
      <c r="L41">
        <v>1</v>
      </c>
    </row>
    <row r="42" spans="1:12">
      <c r="B42" t="s">
        <v>117</v>
      </c>
      <c r="C42">
        <f>IF(Table1515[[#This Row],[EU]]=1,$R$19*Table1515[[#This Row],[GWh '[2020']]]/$H$44,$R$18*Table1515[[#This Row],[GWh '[2020']]]/$H$45)</f>
        <v>0.7384874630475271</v>
      </c>
      <c r="D42">
        <f>IF(Table1515[[#This Row],[EU]]=1,$T$19*Table1515[[#This Row],[GWh '[2020']]]/$H$44,$T$18*Table1515[[#This Row],[GWh '[2020']]]/$H$45)</f>
        <v>0.56125047191612054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-7216.6914841747639</v>
      </c>
      <c r="I42">
        <f>Table1515[[#This Row],[Mrd m3 '[2035'] SP]]*9.77*-1000</f>
        <v>-7215.0225139743397</v>
      </c>
      <c r="J42">
        <f>Table1515[[#This Row],[Mrd m3 '[2035'] AP]]*9.77*-1000</f>
        <v>-5483.4171106204976</v>
      </c>
      <c r="K42">
        <f>IF(Table1515[[#This Row],[TWh '[2023']]]=0,$F$27*(G42/$G$27),0)</f>
        <v>-7.2166914841747642</v>
      </c>
      <c r="L42">
        <v>0</v>
      </c>
    </row>
    <row r="44" spans="1:12">
      <c r="G44" t="s">
        <v>298</v>
      </c>
      <c r="H44">
        <f>SUMIF(Table1515[EU],"1",Table1515[GWh '[2020']])</f>
        <v>-3120634.0554863699</v>
      </c>
    </row>
    <row r="45" spans="1:12">
      <c r="G45" t="s">
        <v>299</v>
      </c>
      <c r="H45">
        <f>SUMIF(Table1515[EU],"0",Table1515[GWh '[2020']])</f>
        <v>-1465838.9976710377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  <row r="54" spans="1: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F5B6-3B80-4A6C-ABFC-09C2BC2D6E8F}">
  <dimension ref="A1:G53"/>
  <sheetViews>
    <sheetView workbookViewId="0">
      <selection activeCell="K2" sqref="K2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17968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SP]]</f>
        <v>-463.67531162421682</v>
      </c>
      <c r="D2">
        <f>Table1517[[#This Row],[GWh '[2035'] SP]]/1000</f>
        <v>-0.46367531162421682</v>
      </c>
      <c r="E2">
        <v>2846</v>
      </c>
      <c r="F2">
        <f>Table1517[[#This Row],[TWh '[2023']]]*1000</f>
        <v>-463.67531162421682</v>
      </c>
      <c r="G2">
        <f>IF(Table1517[[#This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SP]]</f>
        <v>-54093.931566683568</v>
      </c>
      <c r="D3">
        <f>Table1517[[#This Row],[GWh '[2035'] SP]]/1000</f>
        <v>-54.093931566683565</v>
      </c>
      <c r="E3">
        <v>8901.1</v>
      </c>
      <c r="F3">
        <f>Table1517[[#This Row],[TWh '[2023']]]*1000</f>
        <v>-54093.931566683568</v>
      </c>
      <c r="G3">
        <f>IF(Table1517[[#This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SP]]</f>
        <v>-107744.34504588442</v>
      </c>
      <c r="D4">
        <f>Table1517[[#This Row],[GWh '[2035'] SP]]/1000</f>
        <v>-107.74434504588442</v>
      </c>
      <c r="E4">
        <v>11549.9</v>
      </c>
      <c r="F4">
        <f>Table1517[[#This Row],[TWh '[2023']]]*1000</f>
        <v>-107744.34504588442</v>
      </c>
      <c r="G4">
        <f>IF(Table1517[[#This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SP]]</f>
        <v>-5108.8182344024444</v>
      </c>
      <c r="D5">
        <f>Table1517[[#This Row],[GWh '[2035'] SP]]/1000</f>
        <v>-5.1088182344024444</v>
      </c>
      <c r="E5">
        <v>3492</v>
      </c>
      <c r="F5">
        <f>Table1517[[#This Row],[TWh '[2023']]]*1000</f>
        <v>-5108.8182344024444</v>
      </c>
      <c r="G5">
        <f>IF(Table1517[[#This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SP]]</f>
        <v>-19856.959651791716</v>
      </c>
      <c r="D6">
        <f>Table1517[[#This Row],[GWh '[2035'] SP]]/1000</f>
        <v>-19.856959651791716</v>
      </c>
      <c r="E6">
        <v>6951.5</v>
      </c>
      <c r="F6">
        <f>Table1517[[#This Row],[TWh '[2023']]]*1000</f>
        <v>-19856.959651791716</v>
      </c>
      <c r="G6">
        <f>IF(Table1517[[#This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SP]]</f>
        <v>-19653.702507934224</v>
      </c>
      <c r="D7">
        <f>Table1517[[#This Row],[GWh '[2035'] SP]]/1000</f>
        <v>-19.653702507934224</v>
      </c>
      <c r="E7">
        <v>4058.2</v>
      </c>
      <c r="F7">
        <f>Table1517[[#This Row],[TWh '[2023']]]*1000</f>
        <v>-19653.702507934224</v>
      </c>
      <c r="G7">
        <f>IF(Table1517[[#This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SP]]</f>
        <v>-52649.242782214969</v>
      </c>
      <c r="D8">
        <f>Table1517[[#This Row],[GWh '[2035'] SP]]/1000</f>
        <v>-52.649242782214969</v>
      </c>
      <c r="E8">
        <v>10693.9</v>
      </c>
      <c r="F8">
        <f>Table1517[[#This Row],[TWh '[2023']]]*1000</f>
        <v>-52649.242782214969</v>
      </c>
      <c r="G8">
        <f>IF(Table1517[[#This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SP]]</f>
        <v>-12815.450658531558</v>
      </c>
      <c r="D9">
        <f>Table1517[[#This Row],[GWh '[2035'] SP]]/1000</f>
        <v>-12.815450658531558</v>
      </c>
      <c r="E9">
        <v>5822.8</v>
      </c>
      <c r="F9">
        <f>Table1517[[#This Row],[TWh '[2023']]]*1000</f>
        <v>-12815.450658531558</v>
      </c>
      <c r="G9">
        <f>IF(Table1517[[#This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SP]]</f>
        <v>-2907.6718665047192</v>
      </c>
      <c r="D10">
        <f>Table1517[[#This Row],[GWh '[2035'] SP]]/1000</f>
        <v>-2.9076718665047192</v>
      </c>
      <c r="E10">
        <v>1329</v>
      </c>
      <c r="F10">
        <f>Table1517[[#This Row],[TWh '[2023']]]*1000</f>
        <v>-2907.6718665047192</v>
      </c>
      <c r="G10">
        <f>IF(Table1517[[#This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SP]]</f>
        <v>-9389.3442428454291</v>
      </c>
      <c r="D11">
        <f>Table1517[[#This Row],[GWh '[2035'] SP]]/1000</f>
        <v>-9.3893442428454286</v>
      </c>
      <c r="E11">
        <v>5525.3</v>
      </c>
      <c r="F11">
        <f>Table1517[[#This Row],[TWh '[2023']]]*1000</f>
        <v>-9389.3442428454291</v>
      </c>
      <c r="G11">
        <f>IF(Table1517[[#This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SP]]</f>
        <v>-266207.16786904051</v>
      </c>
      <c r="D12">
        <f>Table1517[[#This Row],[GWh '[2035'] SP]]/1000</f>
        <v>-266.20716786904052</v>
      </c>
      <c r="E12">
        <v>67098.8</v>
      </c>
      <c r="F12">
        <f>Table1517[[#This Row],[TWh '[2023']]]*1000</f>
        <v>-266207.16786904051</v>
      </c>
      <c r="G12">
        <f>IF(Table1517[[#This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SP]]</f>
        <v>-594795.44688178599</v>
      </c>
      <c r="D13">
        <f>Table1517[[#This Row],[GWh '[2035'] SP]]/1000</f>
        <v>-594.79544688178601</v>
      </c>
      <c r="E13">
        <v>83166.7</v>
      </c>
      <c r="F13">
        <f>Table1517[[#This Row],[TWh '[2023']]]*1000</f>
        <v>-594795.44688178599</v>
      </c>
      <c r="G13">
        <f>IF(Table1517[[#This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SP]]</f>
        <v>-42309.631131382965</v>
      </c>
      <c r="D14">
        <f>Table1517[[#This Row],[GWh '[2035'] SP]]/1000</f>
        <v>-42.309631131382964</v>
      </c>
      <c r="E14">
        <v>10709.7</v>
      </c>
      <c r="F14">
        <f>Table1517[[#This Row],[TWh '[2023']]]*1000</f>
        <v>-42309.631131382965</v>
      </c>
      <c r="G14">
        <f>IF(Table1517[[#This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SP]]</f>
        <v>-64341.213482438587</v>
      </c>
      <c r="D15">
        <f>Table1517[[#This Row],[GWh '[2035'] SP]]/1000</f>
        <v>-64.34121348243859</v>
      </c>
      <c r="E15">
        <v>9769.5</v>
      </c>
      <c r="F15">
        <f>Table1517[[#This Row],[TWh '[2023']]]*1000</f>
        <v>-64341.213482438587</v>
      </c>
      <c r="G15">
        <f>IF(Table1517[[#This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SP]]</f>
        <v>-37917.168254134347</v>
      </c>
      <c r="D16">
        <f>Table1517[[#This Row],[GWh '[2035'] SP]]/1000</f>
        <v>-37.917168254134346</v>
      </c>
      <c r="E16">
        <v>4963.8</v>
      </c>
      <c r="F16">
        <f>Table1517[[#This Row],[TWh '[2023']]]*1000</f>
        <v>-37917.168254134347</v>
      </c>
      <c r="G16">
        <f>IF(Table1517[[#This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SP]]</f>
        <v>-460637.75823326182</v>
      </c>
      <c r="D17">
        <f>Table1517[[#This Row],[GWh '[2035'] SP]]/1000</f>
        <v>-460.63775823326182</v>
      </c>
      <c r="E17">
        <v>60244.6</v>
      </c>
      <c r="F17">
        <f>Table1517[[#This Row],[TWh '[2023']]]*1000</f>
        <v>-460637.75823326182</v>
      </c>
      <c r="G17">
        <f>IF(Table1517[[#This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SP]]</f>
        <v>-6030.293729566537</v>
      </c>
      <c r="D18">
        <f>Table1517[[#This Row],[GWh '[2035'] SP]]/1000</f>
        <v>-6.0302937295665373</v>
      </c>
      <c r="E18">
        <v>1907.7</v>
      </c>
      <c r="F18">
        <f>Table1517[[#This Row],[TWh '[2023']]]*1000</f>
        <v>-6030.293729566537</v>
      </c>
      <c r="G18">
        <f>IF(Table1517[[#This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SP]]</f>
        <v>-12306.621949703849</v>
      </c>
      <c r="D19">
        <f>Table1517[[#This Row],[GWh '[2035'] SP]]/1000</f>
        <v>-12.30662194970385</v>
      </c>
      <c r="E19">
        <v>2794.1</v>
      </c>
      <c r="F19">
        <f>Table1517[[#This Row],[TWh '[2023']]]*1000</f>
        <v>-12306.621949703849</v>
      </c>
      <c r="G19">
        <f>IF(Table1517[[#This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SP]]</f>
        <v>-4507.9628304419921</v>
      </c>
      <c r="D20">
        <f>Table1517[[#This Row],[GWh '[2035'] SP]]/1000</f>
        <v>-4.5079628304419916</v>
      </c>
      <c r="E20">
        <v>626.1</v>
      </c>
      <c r="F20">
        <f>Table1517[[#This Row],[TWh '[2023']]]*1000</f>
        <v>-4507.9628304419921</v>
      </c>
      <c r="G20">
        <f>IF(Table1517[[#This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SP]]</f>
        <v>-1676.8146707957051</v>
      </c>
      <c r="D21">
        <f>Table1517[[#This Row],[GWh '[2035'] SP]]/1000</f>
        <v>-1.676814670795705</v>
      </c>
      <c r="E21">
        <v>514.6</v>
      </c>
      <c r="F21">
        <f>Table1517[[#This Row],[TWh '[2023']]]*1000</f>
        <v>-1676.8146707957051</v>
      </c>
      <c r="G21">
        <f>IF(Table1517[[#This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SP]]</f>
        <v>-10441.943357766455</v>
      </c>
      <c r="D22">
        <f>Table1517[[#This Row],[GWh '[2035'] SP]]/1000</f>
        <v>-10.441943357766455</v>
      </c>
      <c r="E22">
        <v>2579</v>
      </c>
      <c r="F22">
        <f>Table1517[[#This Row],[TWh '[2023']]]*1000</f>
        <v>-10441.943357766455</v>
      </c>
      <c r="G22">
        <f>IF(Table1517[[#This Row],[TWh '[2023']]]=0,$D$27*(E22/$E$27),0)</f>
        <v>0</v>
      </c>
    </row>
    <row r="23" spans="1:7">
      <c r="B23" t="s">
        <v>111</v>
      </c>
      <c r="C23" s="2">
        <f>Table1515[[#This Row],[GWh '[2035'] SP]]</f>
        <v>-2517.9699783617525</v>
      </c>
      <c r="D23">
        <f>Table1517[[#This Row],[GWh '[2035'] SP]]/1000</f>
        <v>-2.5179699783617524</v>
      </c>
      <c r="E23">
        <v>621.9</v>
      </c>
      <c r="F23">
        <f>Table1517[[#This Row],[TWh '[2023']]]*1000</f>
        <v>-2517.9699783617525</v>
      </c>
      <c r="G23">
        <f>IF(Table1517[[#This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SP]]</f>
        <v>-202596.19034191468</v>
      </c>
      <c r="D24">
        <f>Table1517[[#This Row],[GWh '[2035'] SP]]/1000</f>
        <v>-202.59619034191468</v>
      </c>
      <c r="E24">
        <v>17407.599999999999</v>
      </c>
      <c r="F24">
        <f>Table1517[[#This Row],[TWh '[2023']]]*1000</f>
        <v>-202596.19034191468</v>
      </c>
      <c r="G24">
        <f>IF(Table1517[[#This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SP]]</f>
        <v>-3446.7681551457158</v>
      </c>
      <c r="D25">
        <f>Table1517[[#This Row],[GWh '[2035'] SP]]/1000</f>
        <v>-3.4467681551457159</v>
      </c>
      <c r="E25">
        <v>2076.3000000000002</v>
      </c>
      <c r="F25">
        <f>Table1517[[#This Row],[TWh '[2023']]]*1000</f>
        <v>-3446.7681551457158</v>
      </c>
      <c r="G25">
        <f>IF(Table1517[[#This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SP]]</f>
        <v>-37051.094127096811</v>
      </c>
      <c r="D26">
        <f>Table1517[[#This Row],[GWh '[2035'] SP]]/1000</f>
        <v>-37.05109412709681</v>
      </c>
      <c r="E26">
        <v>5367.6</v>
      </c>
      <c r="F26">
        <f>Table1517[[#This Row],[TWh '[2023']]]*1000</f>
        <v>-37051.094127096811</v>
      </c>
      <c r="G26">
        <f>IF(Table1517[[#This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SP]]</f>
        <v>-68037.419376727063</v>
      </c>
      <c r="D27">
        <f>Table1517[[#This Row],[GWh '[2035'] SP]]/1000</f>
        <v>-68.037419376727058</v>
      </c>
      <c r="E27">
        <f>SUMIF(D2:D26,"=0",E2:E26)+SUMIF(D28:D42,"=0",E28:E42)</f>
        <v>0</v>
      </c>
      <c r="F27">
        <f>Table1517[[#This Row],[TWh '[2023']]]*1000</f>
        <v>-68037.419376727063</v>
      </c>
      <c r="G27">
        <f>IF(Table1517[[#This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SP]]</f>
        <v>-153940.27755824232</v>
      </c>
      <c r="D28">
        <f>Table1517[[#This Row],[GWh '[2035'] SP]]/1000</f>
        <v>-153.94027755824231</v>
      </c>
      <c r="E28">
        <v>37958.1</v>
      </c>
      <c r="F28">
        <f>Table1517[[#This Row],[TWh '[2023']]]*1000</f>
        <v>-153940.27755824232</v>
      </c>
      <c r="G28">
        <f>IF(Table1517[[#This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SP]]</f>
        <v>-35221.272459684304</v>
      </c>
      <c r="D29">
        <f>Table1517[[#This Row],[GWh '[2035'] SP]]/1000</f>
        <v>-35.2212724596843</v>
      </c>
      <c r="E29">
        <v>10295.9</v>
      </c>
      <c r="F29">
        <f>Table1517[[#This Row],[TWh '[2023']]]*1000</f>
        <v>-35221.272459684304</v>
      </c>
      <c r="G29">
        <f>IF(Table1517[[#This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SP]]</f>
        <v>-71425.245433787117</v>
      </c>
      <c r="D30">
        <f>Table1517[[#This Row],[GWh '[2035'] SP]]/1000</f>
        <v>-71.425245433787111</v>
      </c>
      <c r="E30">
        <v>19318</v>
      </c>
      <c r="F30">
        <f>Table1517[[#This Row],[TWh '[2023']]]*1000</f>
        <v>-71425.245433787117</v>
      </c>
      <c r="G30">
        <f>IF(Table1517[[#This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SP]]</f>
        <v>0</v>
      </c>
      <c r="D31">
        <f>Table1517[[#This Row],[GWh '[2035'] SP]]/1000</f>
        <v>0</v>
      </c>
      <c r="E31">
        <v>0</v>
      </c>
      <c r="F31">
        <f>Table1517[[#This Row],[TWh '[2023']]]*1000</f>
        <v>0</v>
      </c>
      <c r="G31" t="e">
        <f>IF(Table1517[[#This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SP]]</f>
        <v>-28045.059734874336</v>
      </c>
      <c r="D32">
        <f>Table1517[[#This Row],[GWh '[2035'] SP]]/1000</f>
        <v>-28.045059734874336</v>
      </c>
      <c r="E32">
        <v>6926.7</v>
      </c>
      <c r="F32">
        <f>Table1517[[#This Row],[TWh '[2023']]]*1000</f>
        <v>-28045.059734874336</v>
      </c>
      <c r="G32">
        <f>IF(Table1517[[#This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SP]]</f>
        <v>-33001.02878012351</v>
      </c>
      <c r="D33">
        <f>Table1517[[#This Row],[GWh '[2035'] SP]]/1000</f>
        <v>-33.001028780123512</v>
      </c>
      <c r="E33">
        <v>5457.9</v>
      </c>
      <c r="F33">
        <f>Table1517[[#This Row],[TWh '[2023']]]*1000</f>
        <v>-33001.02878012351</v>
      </c>
      <c r="G33">
        <f>IF(Table1517[[#This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SP]]</f>
        <v>-6026.8379903749455</v>
      </c>
      <c r="D34">
        <f>Table1517[[#This Row],[GWh '[2035'] SP]]/1000</f>
        <v>-6.0268379903749452</v>
      </c>
      <c r="E34">
        <v>2095.9</v>
      </c>
      <c r="F34">
        <f>Table1517[[#This Row],[TWh '[2023']]]*1000</f>
        <v>-6026.8379903749455</v>
      </c>
      <c r="G34">
        <f>IF(Table1517[[#This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SP]]</f>
        <v>-230314.82574937286</v>
      </c>
      <c r="D35">
        <f>Table1517[[#This Row],[GWh '[2035'] SP]]/1000</f>
        <v>-230.31482574937286</v>
      </c>
      <c r="E35">
        <v>47330</v>
      </c>
      <c r="F35">
        <f>Table1517[[#This Row],[TWh '[2023']]]*1000</f>
        <v>-230314.82574937286</v>
      </c>
      <c r="G35">
        <f>IF(Table1517[[#This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SP]]</f>
        <v>-5630.0626027065273</v>
      </c>
      <c r="D36">
        <f>Table1517[[#This Row],[GWh '[2035'] SP]]/1000</f>
        <v>-5.630062602706527</v>
      </c>
      <c r="E36">
        <v>10327.6</v>
      </c>
      <c r="F36">
        <f>Table1517[[#This Row],[TWh '[2023']]]*1000</f>
        <v>-5630.0626027065273</v>
      </c>
      <c r="G36">
        <f>IF(Table1517[[#This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SP]]</f>
        <v>-26803.879477835118</v>
      </c>
      <c r="D37">
        <f>Table1517[[#This Row],[GWh '[2035'] SP]]/1000</f>
        <v>-26.803879477835117</v>
      </c>
      <c r="E37">
        <v>8606</v>
      </c>
      <c r="F37">
        <f>Table1517[[#This Row],[TWh '[2023']]]*1000</f>
        <v>-26803.879477835118</v>
      </c>
      <c r="G37">
        <f>IF(Table1517[[#This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SP]]</f>
        <v>-473045.31136203569</v>
      </c>
      <c r="D38">
        <f>Table1517[[#This Row],[GWh '[2035'] SP]]/1000</f>
        <v>-473.0453113620357</v>
      </c>
      <c r="E38">
        <v>83155</v>
      </c>
      <c r="F38">
        <f>Table1517[[#This Row],[TWh '[2023']]]*1000</f>
        <v>-473045.31136203569</v>
      </c>
      <c r="G38">
        <f>IF(Table1517[[#This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SP]]</f>
        <v>-620285.9535064291</v>
      </c>
      <c r="D39">
        <f>Table1517[[#This Row],[GWh '[2035'] SP]]/1000</f>
        <v>-620.28595350642911</v>
      </c>
      <c r="E39">
        <v>67025.5</v>
      </c>
      <c r="F39">
        <f>Table1517[[#This Row],[TWh '[2023']]]*1000</f>
        <v>-620285.9535064291</v>
      </c>
      <c r="G39">
        <f>IF(Table1517[[#This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SP]]</f>
        <v>-183037.0848637271</v>
      </c>
      <c r="D40">
        <f>Table1517[[#This Row],[GWh '[2035'] SP]]/1000</f>
        <v>-183.0370848637271</v>
      </c>
      <c r="E40">
        <v>41733</v>
      </c>
      <c r="F40">
        <f>Table1517[[#This Row],[TWh '[2023']]]*1000</f>
        <v>-183037.0848637271</v>
      </c>
      <c r="G40">
        <f>IF(Table1517[[#This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SP]]</f>
        <v>-2893.5317288507313</v>
      </c>
      <c r="D41">
        <f>Table1517[[#This Row],[GWh '[2035'] SP]]/1000</f>
        <v>-2.8935317288507312</v>
      </c>
      <c r="E41">
        <v>888</v>
      </c>
      <c r="F41">
        <f>Table1517[[#This Row],[TWh '[2023']]]*1000</f>
        <v>-2893.5317288507313</v>
      </c>
      <c r="G41">
        <f>IF(Table1517[[#This Row],[TWh '[2023']]]=0,$D$27*(E41/$E$27),0)</f>
        <v>0</v>
      </c>
    </row>
    <row r="42" spans="1:7">
      <c r="B42" t="s">
        <v>117</v>
      </c>
      <c r="C42" s="2">
        <f>Table1515[[#This Row],[GWh '[2035'] SP]]</f>
        <v>-7215.0225139743397</v>
      </c>
      <c r="D42">
        <f>Table1517[[#This Row],[GWh '[2035'] SP]]/1000</f>
        <v>-7.2150225139743398</v>
      </c>
      <c r="E42">
        <v>1782</v>
      </c>
      <c r="F42">
        <f>Table1517[[#This Row],[TWh '[2023']]]*1000</f>
        <v>-7215.0225139743397</v>
      </c>
      <c r="G42">
        <f>IF(Table1517[[#This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3F99-A114-428C-8672-822428D3FFE3}">
  <dimension ref="A1:G53"/>
  <sheetViews>
    <sheetView workbookViewId="0">
      <selection activeCell="C2" sqref="C2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17968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AP]]</f>
        <v>-352.39323683440483</v>
      </c>
      <c r="D2">
        <f>Table151718[[#This Row],[GWh '[2035'] SP]]/1000</f>
        <v>-0.35239323683440482</v>
      </c>
      <c r="E2">
        <v>2846</v>
      </c>
      <c r="F2">
        <f>Table151718[[#This Row],[TWh '[2023']]]*1000</f>
        <v>-352.39323683440483</v>
      </c>
      <c r="G2">
        <f>IF(Table151718[[#This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AP]]</f>
        <v>-35150.531407144575</v>
      </c>
      <c r="D3">
        <f>Table151718[[#This Row],[GWh '[2035'] SP]]/1000</f>
        <v>-35.150531407144577</v>
      </c>
      <c r="E3">
        <v>8901.1</v>
      </c>
      <c r="F3">
        <f>Table151718[[#This Row],[TWh '[2023']]]*1000</f>
        <v>-35150.531407144575</v>
      </c>
      <c r="G3">
        <f>IF(Table151718[[#This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AP]]</f>
        <v>-70012.862344991037</v>
      </c>
      <c r="D4">
        <f>Table151718[[#This Row],[GWh '[2035'] SP]]/1000</f>
        <v>-70.012862344991035</v>
      </c>
      <c r="E4">
        <v>11549.9</v>
      </c>
      <c r="F4">
        <f>Table151718[[#This Row],[TWh '[2023']]]*1000</f>
        <v>-70012.862344991037</v>
      </c>
      <c r="G4">
        <f>IF(Table151718[[#This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AP]]</f>
        <v>-3882.7018581458578</v>
      </c>
      <c r="D5">
        <f>Table151718[[#This Row],[GWh '[2035'] SP]]/1000</f>
        <v>-3.8827018581458579</v>
      </c>
      <c r="E5">
        <v>3492</v>
      </c>
      <c r="F5">
        <f>Table151718[[#This Row],[TWh '[2023']]]*1000</f>
        <v>-3882.7018581458578</v>
      </c>
      <c r="G5">
        <f>IF(Table151718[[#This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AP]]</f>
        <v>-12903.160551942477</v>
      </c>
      <c r="D6">
        <f>Table151718[[#This Row],[GWh '[2035'] SP]]/1000</f>
        <v>-12.903160551942477</v>
      </c>
      <c r="E6">
        <v>6951.5</v>
      </c>
      <c r="F6">
        <f>Table151718[[#This Row],[TWh '[2023']]]*1000</f>
        <v>-12903.160551942477</v>
      </c>
      <c r="G6">
        <f>IF(Table151718[[#This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AP]]</f>
        <v>-12771.082952626521</v>
      </c>
      <c r="D7">
        <f>Table151718[[#This Row],[GWh '[2035'] SP]]/1000</f>
        <v>-12.771082952626521</v>
      </c>
      <c r="E7">
        <v>4058.2</v>
      </c>
      <c r="F7">
        <f>Table151718[[#This Row],[TWh '[2023']]]*1000</f>
        <v>-12771.082952626521</v>
      </c>
      <c r="G7">
        <f>IF(Table151718[[#This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AP]]</f>
        <v>-34211.764765096887</v>
      </c>
      <c r="D8">
        <f>Table151718[[#This Row],[GWh '[2035'] SP]]/1000</f>
        <v>-34.211764765096888</v>
      </c>
      <c r="E8">
        <v>10693.9</v>
      </c>
      <c r="F8">
        <f>Table151718[[#This Row],[TWh '[2023']]]*1000</f>
        <v>-34211.764765096887</v>
      </c>
      <c r="G8">
        <f>IF(Table151718[[#This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AP]]</f>
        <v>-8327.5496497072781</v>
      </c>
      <c r="D9">
        <f>Table151718[[#This Row],[GWh '[2035'] SP]]/1000</f>
        <v>-8.3275496497072776</v>
      </c>
      <c r="E9">
        <v>5822.8</v>
      </c>
      <c r="F9">
        <f>Table151718[[#This Row],[TWh '[2023']]]*1000</f>
        <v>-8327.5496497072781</v>
      </c>
      <c r="G9">
        <f>IF(Table151718[[#This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AP]]</f>
        <v>-1889.4210183124051</v>
      </c>
      <c r="D10">
        <f>Table151718[[#This Row],[GWh '[2035'] SP]]/1000</f>
        <v>-1.8894210183124052</v>
      </c>
      <c r="E10">
        <v>1329</v>
      </c>
      <c r="F10">
        <f>Table151718[[#This Row],[TWh '[2023']]]*1000</f>
        <v>-1889.4210183124051</v>
      </c>
      <c r="G10">
        <f>IF(Table151718[[#This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AP]]</f>
        <v>-6101.2470371797153</v>
      </c>
      <c r="D11">
        <f>Table151718[[#This Row],[GWh '[2035'] SP]]/1000</f>
        <v>-6.1012470371797152</v>
      </c>
      <c r="E11">
        <v>5525.3</v>
      </c>
      <c r="F11">
        <f>Table151718[[#This Row],[TWh '[2023']]]*1000</f>
        <v>-6101.2470371797153</v>
      </c>
      <c r="G11">
        <f>IF(Table151718[[#This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AP]]</f>
        <v>-172982.86783708079</v>
      </c>
      <c r="D12">
        <f>Table151718[[#This Row],[GWh '[2035'] SP]]/1000</f>
        <v>-172.98286783708079</v>
      </c>
      <c r="E12">
        <v>67098.8</v>
      </c>
      <c r="F12">
        <f>Table151718[[#This Row],[TWh '[2023']]]*1000</f>
        <v>-172982.86783708079</v>
      </c>
      <c r="G12">
        <f>IF(Table151718[[#This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AP]]</f>
        <v>-386501.32151462353</v>
      </c>
      <c r="D13">
        <f>Table151718[[#This Row],[GWh '[2035'] SP]]/1000</f>
        <v>-386.50132151462356</v>
      </c>
      <c r="E13">
        <v>83166.7</v>
      </c>
      <c r="F13">
        <f>Table151718[[#This Row],[TWh '[2023']]]*1000</f>
        <v>-386501.32151462353</v>
      </c>
      <c r="G13">
        <f>IF(Table151718[[#This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AP]]</f>
        <v>-27493.028789653519</v>
      </c>
      <c r="D14">
        <f>Table151718[[#This Row],[GWh '[2035'] SP]]/1000</f>
        <v>-27.493028789653518</v>
      </c>
      <c r="E14">
        <v>10709.7</v>
      </c>
      <c r="F14">
        <f>Table151718[[#This Row],[TWh '[2023']]]*1000</f>
        <v>-27493.028789653519</v>
      </c>
      <c r="G14">
        <f>IF(Table151718[[#This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AP]]</f>
        <v>-41809.271017771389</v>
      </c>
      <c r="D15">
        <f>Table151718[[#This Row],[GWh '[2035'] SP]]/1000</f>
        <v>-41.809271017771387</v>
      </c>
      <c r="E15">
        <v>9769.5</v>
      </c>
      <c r="F15">
        <f>Table151718[[#This Row],[TWh '[2023']]]*1000</f>
        <v>-41809.271017771389</v>
      </c>
      <c r="G15">
        <f>IF(Table151718[[#This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AP]]</f>
        <v>-24638.782484204028</v>
      </c>
      <c r="D16">
        <f>Table151718[[#This Row],[GWh '[2035'] SP]]/1000</f>
        <v>-24.638782484204029</v>
      </c>
      <c r="E16">
        <v>4963.8</v>
      </c>
      <c r="F16">
        <f>Table151718[[#This Row],[TWh '[2023']]]*1000</f>
        <v>-24638.782484204028</v>
      </c>
      <c r="G16">
        <f>IF(Table151718[[#This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AP]]</f>
        <v>-299324.92461071879</v>
      </c>
      <c r="D17">
        <f>Table151718[[#This Row],[GWh '[2035'] SP]]/1000</f>
        <v>-299.32492461071877</v>
      </c>
      <c r="E17">
        <v>60244.6</v>
      </c>
      <c r="F17">
        <f>Table151718[[#This Row],[TWh '[2023']]]*1000</f>
        <v>-299324.92461071879</v>
      </c>
      <c r="G17">
        <f>IF(Table151718[[#This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AP]]</f>
        <v>-3918.5177153214463</v>
      </c>
      <c r="D18">
        <f>Table151718[[#This Row],[GWh '[2035'] SP]]/1000</f>
        <v>-3.9185177153214461</v>
      </c>
      <c r="E18">
        <v>1907.7</v>
      </c>
      <c r="F18">
        <f>Table151718[[#This Row],[TWh '[2023']]]*1000</f>
        <v>-3918.5177153214463</v>
      </c>
      <c r="G18">
        <f>IF(Table151718[[#This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AP]]</f>
        <v>-7996.9099828814906</v>
      </c>
      <c r="D19">
        <f>Table151718[[#This Row],[GWh '[2035'] SP]]/1000</f>
        <v>-7.9969099828814905</v>
      </c>
      <c r="E19">
        <v>2794.1</v>
      </c>
      <c r="F19">
        <f>Table151718[[#This Row],[TWh '[2023']]]*1000</f>
        <v>-7996.9099828814906</v>
      </c>
      <c r="G19">
        <f>IF(Table151718[[#This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AP]]</f>
        <v>-2929.2988042171701</v>
      </c>
      <c r="D20">
        <f>Table151718[[#This Row],[GWh '[2035'] SP]]/1000</f>
        <v>-2.9292988042171699</v>
      </c>
      <c r="E20">
        <v>626.1</v>
      </c>
      <c r="F20">
        <f>Table151718[[#This Row],[TWh '[2023']]]*1000</f>
        <v>-2929.2988042171701</v>
      </c>
      <c r="G20">
        <f>IF(Table151718[[#This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AP]]</f>
        <v>-1089.6033074820339</v>
      </c>
      <c r="D21">
        <f>Table151718[[#This Row],[GWh '[2035'] SP]]/1000</f>
        <v>-1.0896033074820339</v>
      </c>
      <c r="E21">
        <v>514.6</v>
      </c>
      <c r="F21">
        <f>Table151718[[#This Row],[TWh '[2023']]]*1000</f>
        <v>-1089.6033074820339</v>
      </c>
      <c r="G21">
        <f>IF(Table151718[[#This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AP]]</f>
        <v>-7935.8769519025072</v>
      </c>
      <c r="D22">
        <f>Table151718[[#This Row],[GWh '[2035'] SP]]/1000</f>
        <v>-7.9358769519025074</v>
      </c>
      <c r="E22">
        <v>2579</v>
      </c>
      <c r="F22">
        <f>Table151718[[#This Row],[TWh '[2023']]]*1000</f>
        <v>-7935.8769519025072</v>
      </c>
      <c r="G22">
        <f>IF(Table151718[[#This Row],[TWh '[2023']]]=0,$D$27*(E22/$E$27),0)</f>
        <v>0</v>
      </c>
    </row>
    <row r="23" spans="1:7">
      <c r="B23" t="s">
        <v>111</v>
      </c>
      <c r="C23" s="2">
        <f>Table1515[[#This Row],[GWh '[2035'] AP]]</f>
        <v>-1913.6571835549316</v>
      </c>
      <c r="D23">
        <f>Table151718[[#This Row],[GWh '[2035'] SP]]/1000</f>
        <v>-1.9136571835549316</v>
      </c>
      <c r="E23">
        <v>621.9</v>
      </c>
      <c r="F23">
        <f>Table151718[[#This Row],[TWh '[2023']]]*1000</f>
        <v>-1913.6571835549316</v>
      </c>
      <c r="G23">
        <f>IF(Table151718[[#This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AP]]</f>
        <v>-131648.10812101071</v>
      </c>
      <c r="D24">
        <f>Table151718[[#This Row],[GWh '[2035'] SP]]/1000</f>
        <v>-131.64810812101069</v>
      </c>
      <c r="E24">
        <v>17407.599999999999</v>
      </c>
      <c r="F24">
        <f>Table151718[[#This Row],[TWh '[2023']]]*1000</f>
        <v>-131648.10812101071</v>
      </c>
      <c r="G24">
        <f>IF(Table151718[[#This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AP]]</f>
        <v>-2619.5437979107442</v>
      </c>
      <c r="D25">
        <f>Table151718[[#This Row],[GWh '[2035'] SP]]/1000</f>
        <v>-2.6195437979107443</v>
      </c>
      <c r="E25">
        <v>2076.3000000000002</v>
      </c>
      <c r="F25">
        <f>Table151718[[#This Row],[TWh '[2023']]]*1000</f>
        <v>-2619.5437979107442</v>
      </c>
      <c r="G25">
        <f>IF(Table151718[[#This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AP]]</f>
        <v>-28158.831536593574</v>
      </c>
      <c r="D26">
        <f>Table151718[[#This Row],[GWh '[2035'] SP]]/1000</f>
        <v>-28.158831536593574</v>
      </c>
      <c r="E26">
        <v>5367.6</v>
      </c>
      <c r="F26">
        <f>Table151718[[#This Row],[TWh '[2023']]]*1000</f>
        <v>-28158.831536593574</v>
      </c>
      <c r="G26">
        <f>IF(Table151718[[#This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AP]]</f>
        <v>-51708.438726312575</v>
      </c>
      <c r="D27">
        <f>Table151718[[#This Row],[GWh '[2035'] SP]]/1000</f>
        <v>-51.708438726312572</v>
      </c>
      <c r="E27">
        <f>SUMIF(D2:D26,"=0",E2:E26)+SUMIF(D28:D42,"=0",E28:E42)</f>
        <v>0</v>
      </c>
      <c r="F27">
        <f>Table151718[[#This Row],[TWh '[2023']]]*1000</f>
        <v>-51708.438726312575</v>
      </c>
      <c r="G27">
        <f>IF(Table151718[[#This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AP]]</f>
        <v>-100031.23094251544</v>
      </c>
      <c r="D28">
        <f>Table151718[[#This Row],[GWh '[2035'] SP]]/1000</f>
        <v>-100.03123094251544</v>
      </c>
      <c r="E28">
        <v>37958.1</v>
      </c>
      <c r="F28">
        <f>Table151718[[#This Row],[TWh '[2023']]]*1000</f>
        <v>-100031.23094251544</v>
      </c>
      <c r="G28">
        <f>IF(Table151718[[#This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AP]]</f>
        <v>-22886.974711156723</v>
      </c>
      <c r="D29">
        <f>Table151718[[#This Row],[GWh '[2035'] SP]]/1000</f>
        <v>-22.886974711156721</v>
      </c>
      <c r="E29">
        <v>10295.9</v>
      </c>
      <c r="F29">
        <f>Table151718[[#This Row],[TWh '[2023']]]*1000</f>
        <v>-22886.974711156723</v>
      </c>
      <c r="G29">
        <f>IF(Table151718[[#This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AP]]</f>
        <v>-46412.513569814968</v>
      </c>
      <c r="D30">
        <f>Table151718[[#This Row],[GWh '[2035'] SP]]/1000</f>
        <v>-46.412513569814969</v>
      </c>
      <c r="E30">
        <v>19318</v>
      </c>
      <c r="F30">
        <f>Table151718[[#This Row],[TWh '[2023']]]*1000</f>
        <v>-46412.513569814968</v>
      </c>
      <c r="G30">
        <f>IF(Table151718[[#This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AP]]</f>
        <v>0</v>
      </c>
      <c r="D31">
        <f>Table151718[[#This Row],[GWh '[2035'] SP]]/1000</f>
        <v>0</v>
      </c>
      <c r="E31">
        <v>0</v>
      </c>
      <c r="F31">
        <f>Table151718[[#This Row],[TWh '[2023']]]*1000</f>
        <v>0</v>
      </c>
      <c r="G31" t="e">
        <f>IF(Table151718[[#This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AP]]</f>
        <v>-21314.245398504492</v>
      </c>
      <c r="D32">
        <f>Table151718[[#This Row],[GWh '[2035'] SP]]/1000</f>
        <v>-21.314245398504493</v>
      </c>
      <c r="E32">
        <v>6926.7</v>
      </c>
      <c r="F32">
        <f>Table151718[[#This Row],[TWh '[2023']]]*1000</f>
        <v>-21314.245398504492</v>
      </c>
      <c r="G32">
        <f>IF(Table151718[[#This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AP]]</f>
        <v>-21444.248273465477</v>
      </c>
      <c r="D33">
        <f>Table151718[[#This Row],[GWh '[2035'] SP]]/1000</f>
        <v>-21.444248273465476</v>
      </c>
      <c r="E33">
        <v>5457.9</v>
      </c>
      <c r="F33">
        <f>Table151718[[#This Row],[TWh '[2023']]]*1000</f>
        <v>-21444.248273465477</v>
      </c>
      <c r="G33">
        <f>IF(Table151718[[#This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AP]]</f>
        <v>-3916.2721571697116</v>
      </c>
      <c r="D34">
        <f>Table151718[[#This Row],[GWh '[2035'] SP]]/1000</f>
        <v>-3.9162721571697117</v>
      </c>
      <c r="E34">
        <v>2095.9</v>
      </c>
      <c r="F34">
        <f>Table151718[[#This Row],[TWh '[2023']]]*1000</f>
        <v>-3916.2721571697116</v>
      </c>
      <c r="G34">
        <f>IF(Table151718[[#This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AP]]</f>
        <v>-149659.8284052345</v>
      </c>
      <c r="D35">
        <f>Table151718[[#This Row],[GWh '[2035'] SP]]/1000</f>
        <v>-149.65982840523449</v>
      </c>
      <c r="E35">
        <v>47330</v>
      </c>
      <c r="F35">
        <f>Table151718[[#This Row],[TWh '[2023']]]*1000</f>
        <v>-149659.8284052345</v>
      </c>
      <c r="G35">
        <f>IF(Table151718[[#This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AP]]</f>
        <v>-3658.4453488404279</v>
      </c>
      <c r="D36">
        <f>Table151718[[#This Row],[GWh '[2035'] SP]]/1000</f>
        <v>-3.658445348840428</v>
      </c>
      <c r="E36">
        <v>10327.6</v>
      </c>
      <c r="F36">
        <f>Table151718[[#This Row],[TWh '[2023']]]*1000</f>
        <v>-3658.4453488404279</v>
      </c>
      <c r="G36">
        <f>IF(Table151718[[#This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AP]]</f>
        <v>-20370.948403154693</v>
      </c>
      <c r="D37">
        <f>Table151718[[#This Row],[GWh '[2035'] SP]]/1000</f>
        <v>-20.370948403154692</v>
      </c>
      <c r="E37">
        <v>8606</v>
      </c>
      <c r="F37">
        <f>Table151718[[#This Row],[TWh '[2023']]]*1000</f>
        <v>-20370.948403154693</v>
      </c>
      <c r="G37">
        <f>IF(Table151718[[#This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AP]]</f>
        <v>-359514.43663514714</v>
      </c>
      <c r="D38">
        <f>Table151718[[#This Row],[GWh '[2035'] SP]]/1000</f>
        <v>-359.51443663514715</v>
      </c>
      <c r="E38">
        <v>83155</v>
      </c>
      <c r="F38">
        <f>Table151718[[#This Row],[TWh '[2023']]]*1000</f>
        <v>-359514.43663514714</v>
      </c>
      <c r="G38">
        <f>IF(Table151718[[#This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AP]]</f>
        <v>-471417.32466488611</v>
      </c>
      <c r="D39">
        <f>Table151718[[#This Row],[GWh '[2035'] SP]]/1000</f>
        <v>-471.41732466488611</v>
      </c>
      <c r="E39">
        <v>67025.5</v>
      </c>
      <c r="F39">
        <f>Table151718[[#This Row],[TWh '[2023']]]*1000</f>
        <v>-471417.32466488611</v>
      </c>
      <c r="G39">
        <f>IF(Table151718[[#This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AP]]</f>
        <v>-139108.1844964326</v>
      </c>
      <c r="D40">
        <f>Table151718[[#This Row],[GWh '[2035'] SP]]/1000</f>
        <v>-139.10818449643261</v>
      </c>
      <c r="E40">
        <v>41733</v>
      </c>
      <c r="F40">
        <f>Table151718[[#This Row],[TWh '[2023']]]*1000</f>
        <v>-139108.1844964326</v>
      </c>
      <c r="G40">
        <f>IF(Table151718[[#This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AP]]</f>
        <v>-1880.2326798368563</v>
      </c>
      <c r="D41">
        <f>Table151718[[#This Row],[GWh '[2035'] SP]]/1000</f>
        <v>-1.8802326798368563</v>
      </c>
      <c r="E41">
        <v>888</v>
      </c>
      <c r="F41">
        <f>Table151718[[#This Row],[TWh '[2023']]]*1000</f>
        <v>-1880.2326798368563</v>
      </c>
      <c r="G41">
        <f>IF(Table151718[[#This Row],[TWh '[2023']]]=0,$D$27*(E41/$E$27),0)</f>
        <v>0</v>
      </c>
    </row>
    <row r="42" spans="1:7">
      <c r="B42" t="s">
        <v>117</v>
      </c>
      <c r="C42" s="2">
        <f>Table1515[[#This Row],[GWh '[2035'] AP]]</f>
        <v>-5483.4171106204976</v>
      </c>
      <c r="D42">
        <f>Table151718[[#This Row],[GWh '[2035'] SP]]/1000</f>
        <v>-5.4834171106204979</v>
      </c>
      <c r="E42">
        <v>1782</v>
      </c>
      <c r="F42">
        <f>Table151718[[#This Row],[TWh '[2023']]]*1000</f>
        <v>-5483.4171106204976</v>
      </c>
      <c r="G42">
        <f>IF(Table151718[[#This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G25"/>
  <sheetViews>
    <sheetView topLeftCell="B1" workbookViewId="0">
      <selection activeCell="F26" sqref="F26"/>
    </sheetView>
  </sheetViews>
  <sheetFormatPr defaultColWidth="9.81640625" defaultRowHeight="14.5"/>
  <cols>
    <col min="2" max="2" width="90.81640625" bestFit="1" customWidth="1"/>
    <col min="3" max="3" width="15.453125" bestFit="1" customWidth="1"/>
    <col min="4" max="4" width="14.81640625" bestFit="1" customWidth="1"/>
    <col min="5" max="5" width="16.453125" bestFit="1" customWidth="1"/>
    <col min="6" max="6" width="13.1796875" bestFit="1" customWidth="1"/>
    <col min="7" max="7" width="12.81640625" bestFit="1" customWidth="1"/>
    <col min="9" max="9" width="6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850.99992679322679</v>
      </c>
      <c r="D2" s="7"/>
      <c r="E2" s="7">
        <f>Table7910[[#This Row],[Mil m3 '[2020']]]/1000</f>
        <v>0</v>
      </c>
      <c r="F2" s="14">
        <f>Table7910[[#This Row],[TWh '[2020']]]*1000</f>
        <v>-8314269.2847698256</v>
      </c>
      <c r="G2" s="3">
        <f>IF(Table7910[[#This Row],[Mil m3 '[2020']]]&gt;0,Table7910[[#This Row],[Mrd m3 '[2020']2]],Table7910[[#This Row],[Mrd m3 '[2020']]])*9.77*(-1)</f>
        <v>-8314.2692847698254</v>
      </c>
    </row>
    <row r="3" spans="1:7">
      <c r="A3" t="s">
        <v>196</v>
      </c>
      <c r="B3" t="s">
        <v>160</v>
      </c>
      <c r="C3" s="2">
        <f>1063.04352865135-C2</f>
        <v>212.04360185812322</v>
      </c>
      <c r="E3" s="2">
        <f>Table7910[[#This Row],[Mil m3 '[2020']]]/1000</f>
        <v>0</v>
      </c>
      <c r="F3" s="2">
        <f>Table7910[[#This Row],[TWh '[2020']]]*1000</f>
        <v>-2071665.9901538638</v>
      </c>
      <c r="G3" s="3">
        <f>IF(Table7910[[#This Row],[Mil m3 '[2020']]]&gt;0,Table7910[[#This Row],[Mrd m3 '[2020']2]],Table7910[[#This Row],[Mrd m3 '[2020']]])*9.77*(-1)</f>
        <v>-2071.6659901538637</v>
      </c>
    </row>
    <row r="4" spans="1:7">
      <c r="A4" t="s">
        <v>150</v>
      </c>
      <c r="B4" t="s">
        <v>161</v>
      </c>
      <c r="C4">
        <f>162.515665637686-C5</f>
        <v>145.04234959353411</v>
      </c>
      <c r="E4" s="2">
        <f>Table7910[[#This Row],[Mil m3 '[2020']]]/1000</f>
        <v>0</v>
      </c>
      <c r="F4" s="2">
        <f>Table7910[[#This Row],[TWh '[2020']]]*1000</f>
        <v>-1417063.7555288284</v>
      </c>
      <c r="G4" s="3">
        <f>IF(Table7910[[#This Row],[Mil m3 '[2020']]]&gt;0,Table7910[[#This Row],[Mrd m3 '[2020']2]],Table7910[[#This Row],[Mrd m3 '[2020']]])*9.77*(-1)</f>
        <v>-1417.0637555288283</v>
      </c>
    </row>
    <row r="5" spans="1:7">
      <c r="A5" t="s">
        <v>151</v>
      </c>
      <c r="B5" t="s">
        <v>162</v>
      </c>
      <c r="C5">
        <v>17.473316044151876</v>
      </c>
      <c r="E5" s="2">
        <f>Table7910[[#This Row],[Mil m3 '[2020']]]/1000</f>
        <v>0</v>
      </c>
      <c r="F5" s="2">
        <f>Table7910[[#This Row],[TWh '[2020']]]*1000</f>
        <v>-170714.29775136383</v>
      </c>
      <c r="G5" s="3">
        <f>IF(Table7910[[#This Row],[Mil m3 '[2020']]]&gt;0,Table7910[[#This Row],[Mrd m3 '[2020']2]],Table7910[[#This Row],[Mrd m3 '[2020']]])*9.77*(-1)</f>
        <v>-170.71429775136383</v>
      </c>
    </row>
    <row r="6" spans="1:7">
      <c r="A6" t="s">
        <v>152</v>
      </c>
      <c r="B6" t="s">
        <v>163</v>
      </c>
      <c r="C6" s="2">
        <f>534.832833542221-C7</f>
        <v>493.46588544074547</v>
      </c>
      <c r="E6" s="2">
        <f>Table7910[[#This Row],[Mil m3 '[2020']]]/1000</f>
        <v>0</v>
      </c>
      <c r="F6" s="2">
        <f>Table7910[[#This Row],[TWh '[2020']]]*1000</f>
        <v>-4821161.7007560823</v>
      </c>
      <c r="G6" s="3">
        <f>IF(Table7910[[#This Row],[Mil m3 '[2020']]]&gt;0,Table7910[[#This Row],[Mrd m3 '[2020']2]],Table7910[[#This Row],[Mrd m3 '[2020']]])*9.77*(-1)</f>
        <v>-4821.1617007560826</v>
      </c>
    </row>
    <row r="7" spans="1:7">
      <c r="A7" t="s">
        <v>153</v>
      </c>
      <c r="B7" t="s">
        <v>174</v>
      </c>
      <c r="C7">
        <v>41.366948101475543</v>
      </c>
      <c r="E7" s="2">
        <f>Table7910[[#This Row],[Mil m3 '[2020']]]/1000</f>
        <v>0</v>
      </c>
      <c r="F7" s="2">
        <f>Table7910[[#This Row],[TWh '[2020']]]*1000</f>
        <v>-404155.08295141603</v>
      </c>
      <c r="G7" s="3">
        <f>IF(Table7910[[#This Row],[Mil m3 '[2020']]]&gt;0,Table7910[[#This Row],[Mrd m3 '[2020']2]],Table7910[[#This Row],[Mrd m3 '[2020']]])*9.77*(-1)</f>
        <v>-404.15508295141603</v>
      </c>
    </row>
    <row r="8" spans="1:7">
      <c r="A8" t="s">
        <v>154</v>
      </c>
      <c r="B8" t="s">
        <v>164</v>
      </c>
      <c r="C8" s="2">
        <f>157.650937165631-C16-C17-C18-C19-C20</f>
        <v>39.007631852890142</v>
      </c>
      <c r="E8" s="2">
        <f>Table7910[[#This Row],[Mil m3 '[2020']]]/1000</f>
        <v>0</v>
      </c>
      <c r="F8" s="2">
        <f>Table7910[[#This Row],[TWh '[2020']]]*1000</f>
        <v>-381104.56320273672</v>
      </c>
      <c r="G8" s="3">
        <f>IF(Table7910[[#This Row],[Mil m3 '[2020']]]&gt;0,Table7910[[#This Row],[Mrd m3 '[2020']2]],Table7910[[#This Row],[Mrd m3 '[2020']]])*9.77*(-1)</f>
        <v>-381.1045632027367</v>
      </c>
    </row>
    <row r="9" spans="1:7">
      <c r="A9" t="s">
        <v>155</v>
      </c>
      <c r="B9" t="s">
        <v>165</v>
      </c>
      <c r="C9">
        <v>44.057039885341503</v>
      </c>
      <c r="E9" s="2">
        <f>Table7910[[#This Row],[Mil m3 '[2020']]]/1000</f>
        <v>0</v>
      </c>
      <c r="F9" s="2">
        <f>Table7910[[#This Row],[TWh '[2020']]]*1000</f>
        <v>-430437.27967978647</v>
      </c>
      <c r="G9" s="3">
        <f>IF(Table7910[[#This Row],[Mil m3 '[2020']]]&gt;0,Table7910[[#This Row],[Mrd m3 '[2020']2]],Table7910[[#This Row],[Mrd m3 '[2020']]])*9.77*(-1)</f>
        <v>-430.43727967978646</v>
      </c>
    </row>
    <row r="10" spans="1:7">
      <c r="A10" t="s">
        <v>156</v>
      </c>
      <c r="B10" t="s">
        <v>166</v>
      </c>
      <c r="C10">
        <v>308.37684365781701</v>
      </c>
      <c r="E10" s="2">
        <f>Table7910[[#This Row],[Mil m3 '[2020']]]/1000</f>
        <v>0</v>
      </c>
      <c r="F10" s="2">
        <f>Table7910[[#This Row],[TWh '[2020']]]*1000</f>
        <v>-3012841.7625368722</v>
      </c>
      <c r="G10" s="3">
        <f>IF(Table7910[[#This Row],[Mil m3 '[2020']]]&gt;0,Table7910[[#This Row],[Mrd m3 '[2020']2]],Table7910[[#This Row],[Mrd m3 '[2020']]])*9.77*(-1)</f>
        <v>-3012.841762536872</v>
      </c>
    </row>
    <row r="11" spans="1:7">
      <c r="A11" t="s">
        <v>157</v>
      </c>
      <c r="B11" t="s">
        <v>167</v>
      </c>
      <c r="C11">
        <f>108.123277376453+56.03382846</f>
        <v>164.15710583645301</v>
      </c>
      <c r="E11" s="2">
        <f>Table7910[[#This Row],[Mil m3 '[2020']]]/1000</f>
        <v>0</v>
      </c>
      <c r="F11" s="2">
        <f>Table7910[[#This Row],[TWh '[2020']]]*1000</f>
        <v>-1603814.9240221458</v>
      </c>
      <c r="G11" s="3">
        <f>IF(Table7910[[#This Row],[Mil m3 '[2020']]]&gt;0,Table7910[[#This Row],[Mrd m3 '[2020']2]],Table7910[[#This Row],[Mrd m3 '[2020']]])*9.77*(-1)</f>
        <v>-1603.8149240221458</v>
      </c>
    </row>
    <row r="12" spans="1:7">
      <c r="A12" t="s">
        <v>158</v>
      </c>
      <c r="B12" t="s">
        <v>168</v>
      </c>
      <c r="C12">
        <v>59.249841718906403</v>
      </c>
      <c r="E12" s="2">
        <f>Table7910[[#This Row],[Mil m3 '[2020']]]/1000</f>
        <v>0</v>
      </c>
      <c r="F12" s="2">
        <f>Table7910[[#This Row],[TWh '[2020']]]*1000</f>
        <v>-578870.95359371556</v>
      </c>
      <c r="G12" s="3">
        <f>IF(Table7910[[#This Row],[Mil m3 '[2020']]]&gt;0,Table7910[[#This Row],[Mrd m3 '[2020']2]],Table7910[[#This Row],[Mrd m3 '[2020']]])*9.77*(-1)</f>
        <v>-578.87095359371551</v>
      </c>
    </row>
    <row r="13" spans="1:7">
      <c r="A13" t="s">
        <v>159</v>
      </c>
      <c r="B13" t="s">
        <v>169</v>
      </c>
      <c r="C13">
        <f>862.088293228517-C12-C10-C9-C11-C21</f>
        <v>195.56390860277332</v>
      </c>
      <c r="E13" s="2">
        <f>Table7910[[#This Row],[Mil m3 '[2020']]]/1000</f>
        <v>0</v>
      </c>
      <c r="F13" s="2">
        <f>Table7910[[#This Row],[TWh '[2020']]]*1000</f>
        <v>-1910659.3870490955</v>
      </c>
      <c r="G13" s="3">
        <f>IF(Table7910[[#This Row],[Mil m3 '[2020']]]&gt;0,Table7910[[#This Row],[Mrd m3 '[2020']2]],Table7910[[#This Row],[Mrd m3 '[2020']]])*9.77*(-1)</f>
        <v>-1910.6593870490954</v>
      </c>
    </row>
    <row r="14" spans="1:7">
      <c r="A14" t="s">
        <v>172</v>
      </c>
      <c r="B14" t="s">
        <v>173</v>
      </c>
      <c r="C14">
        <f>572.868477573696-C15-C22</f>
        <v>109.39125682640014</v>
      </c>
      <c r="E14" s="2">
        <f>Table7910[[#This Row],[Mil m3 '[2020']]]/1000</f>
        <v>0</v>
      </c>
      <c r="F14" s="2">
        <f>Table7910[[#This Row],[TWh '[2020']]]*1000</f>
        <v>-1068752.5791939292</v>
      </c>
      <c r="G14" s="3">
        <f>IF(Table7910[[#This Row],[Mil m3 '[2020']]]&gt;0,Table7910[[#This Row],[Mrd m3 '[2020']2]],Table7910[[#This Row],[Mrd m3 '[2020']]])*9.77*(-1)</f>
        <v>-1068.7525791939293</v>
      </c>
    </row>
    <row r="15" spans="1:7">
      <c r="A15" t="s">
        <v>40</v>
      </c>
      <c r="B15" t="s">
        <v>69</v>
      </c>
      <c r="C15">
        <v>444.31272123893802</v>
      </c>
      <c r="E15" s="2">
        <f>Table7910[[#This Row],[Mil m3 '[2020']]]/1000</f>
        <v>0</v>
      </c>
      <c r="F15" s="2">
        <f>Table7910[[#This Row],[TWh '[2020']]]*1000</f>
        <v>-4340935.2865044251</v>
      </c>
      <c r="G15" s="3">
        <f>IF(Table7910[[#This Row],[Mil m3 '[2020']]]&gt;0,Table7910[[#This Row],[Mrd m3 '[2020']2]],Table7910[[#This Row],[Mrd m3 '[2020']]])*9.77*(-1)</f>
        <v>-4340.9352865044248</v>
      </c>
    </row>
    <row r="16" spans="1:7">
      <c r="A16" t="s">
        <v>49</v>
      </c>
      <c r="B16" t="s">
        <v>78</v>
      </c>
      <c r="C16">
        <v>45.054625000000001</v>
      </c>
      <c r="E16" s="2">
        <f>Table7910[[#This Row],[Mil m3 '[2020']]]/1000</f>
        <v>0</v>
      </c>
      <c r="F16" s="2">
        <f>Table7910[[#This Row],[TWh '[2020']]]*1000</f>
        <v>-440183.68624999997</v>
      </c>
      <c r="G16" s="3">
        <f>IF(Table7910[[#This Row],[Mil m3 '[2020']]]&gt;0,Table7910[[#This Row],[Mrd m3 '[2020']2]],Table7910[[#This Row],[Mrd m3 '[2020']]])*9.77*(-1)</f>
        <v>-440.18368624999999</v>
      </c>
    </row>
    <row r="17" spans="1:7">
      <c r="A17" t="s">
        <v>51</v>
      </c>
      <c r="B17" t="s">
        <v>80</v>
      </c>
      <c r="C17" s="19">
        <v>8.4</v>
      </c>
      <c r="E17" s="2">
        <f>Table7910[[#This Row],[Mil m3 '[2020']]]/1000</f>
        <v>0</v>
      </c>
      <c r="F17" s="2">
        <f>Table7910[[#This Row],[TWh '[2020']]]*1000</f>
        <v>-82068</v>
      </c>
      <c r="G17" s="3">
        <f>IF(Table7910[[#This Row],[Mil m3 '[2020']]]&gt;0,Table7910[[#This Row],[Mrd m3 '[2020']2]],Table7910[[#This Row],[Mrd m3 '[2020']]])*9.77*(-1)</f>
        <v>-82.067999999999998</v>
      </c>
    </row>
    <row r="18" spans="1:7">
      <c r="A18" t="s">
        <v>50</v>
      </c>
      <c r="B18" t="s">
        <v>79</v>
      </c>
      <c r="C18" s="19">
        <f>(442.7+414.6+420.5+482.9+617.7+642.8+506.6+442.5+447)/1000*1.163</f>
        <v>5.1373198999999987</v>
      </c>
      <c r="E18" s="2">
        <f>Table7910[[#This Row],[Mil m3 '[2020']]]/1000</f>
        <v>0</v>
      </c>
      <c r="F18" s="2">
        <f>Table7910[[#This Row],[TWh '[2020']]]*1000</f>
        <v>-50191.615422999988</v>
      </c>
      <c r="G18" s="3">
        <f>IF(Table7910[[#This Row],[Mil m3 '[2020']]]&gt;0,Table7910[[#This Row],[Mrd m3 '[2020']2]],Table7910[[#This Row],[Mrd m3 '[2020']]])*9.77*(-1)</f>
        <v>-50.191615422999988</v>
      </c>
    </row>
    <row r="19" spans="1:7">
      <c r="A19" t="s">
        <v>96</v>
      </c>
      <c r="B19" t="s">
        <v>175</v>
      </c>
      <c r="C19">
        <v>1.0126818444677308</v>
      </c>
      <c r="E19" s="2">
        <f>Table7910[[#This Row],[Mil m3 '[2020']]]/1000</f>
        <v>0</v>
      </c>
      <c r="F19" s="2">
        <f>Table7910[[#This Row],[TWh '[2020']]]*1000</f>
        <v>-9893.9016204497311</v>
      </c>
      <c r="G19" s="3">
        <f>IF(Table7910[[#This Row],[Mil m3 '[2020']]]&gt;0,Table7910[[#This Row],[Mrd m3 '[2020']2]],Table7910[[#This Row],[Mrd m3 '[2020']]])*9.77*(-1)</f>
        <v>-9.8939016204497303</v>
      </c>
    </row>
    <row r="20" spans="1:7">
      <c r="A20" t="s">
        <v>177</v>
      </c>
      <c r="B20" t="s">
        <v>178</v>
      </c>
      <c r="C20">
        <v>59.038678568273127</v>
      </c>
      <c r="E20" s="2">
        <f>Table7910[[#This Row],[Mil m3 '[2020']]]/1000</f>
        <v>0</v>
      </c>
      <c r="F20" s="2">
        <f>Table7910[[#This Row],[TWh '[2020']]]*1000</f>
        <v>-576807.88961202849</v>
      </c>
      <c r="G20" s="3">
        <f>IF(Table7910[[#This Row],[Mil m3 '[2020']]]&gt;0,Table7910[[#This Row],[Mrd m3 '[2020']2]],Table7910[[#This Row],[Mrd m3 '[2020']]])*9.77*(-1)</f>
        <v>-576.80788961202848</v>
      </c>
    </row>
    <row r="21" spans="1:7">
      <c r="A21" t="s">
        <v>192</v>
      </c>
      <c r="B21" t="s">
        <v>195</v>
      </c>
      <c r="C21">
        <f>45.4684395272258+45.215114</f>
        <v>90.683553527225797</v>
      </c>
      <c r="E21" s="2">
        <f>Table7910[[#This Row],[Mil m3 '[2020']]]/1000</f>
        <v>0</v>
      </c>
      <c r="F21" s="2">
        <f>Table7910[[#This Row],[TWh '[2020']]]*1000</f>
        <v>-885978.31796099606</v>
      </c>
      <c r="G21" s="3">
        <f>IF(Table7910[[#This Row],[Mil m3 '[2020']]]&gt;0,Table7910[[#This Row],[Mrd m3 '[2020']2]],Table7910[[#This Row],[Mrd m3 '[2020']]])*9.77*(-1)</f>
        <v>-885.97831796099604</v>
      </c>
    </row>
    <row r="22" spans="1:7">
      <c r="A22" t="s">
        <v>52</v>
      </c>
      <c r="B22" t="s">
        <v>81</v>
      </c>
      <c r="C22">
        <v>19.164499508357899</v>
      </c>
      <c r="E22" s="2">
        <f>Table7910[[#This Row],[Mil m3 '[2020']]]/1000</f>
        <v>0</v>
      </c>
      <c r="F22" s="2">
        <f>Table7910[[#This Row],[TWh '[2020']]]*1000</f>
        <v>-187237.16019665668</v>
      </c>
      <c r="G22" s="3">
        <f>IF(Table7910[[#This Row],[Mil m3 '[2020']]]&gt;0,Table7910[[#This Row],[Mrd m3 '[2020']2]],Table7910[[#This Row],[Mrd m3 '[2020']]])*9.77*(-1)</f>
        <v>-187.23716019665667</v>
      </c>
    </row>
    <row r="24" spans="1:7">
      <c r="A24" t="s">
        <v>79</v>
      </c>
      <c r="B24" s="16" t="s">
        <v>313</v>
      </c>
      <c r="C24" t="s">
        <v>316</v>
      </c>
    </row>
    <row r="25" spans="1:7">
      <c r="A25" t="s">
        <v>80</v>
      </c>
      <c r="B25" s="16" t="s">
        <v>176</v>
      </c>
    </row>
  </sheetData>
  <phoneticPr fontId="20" type="noConversion"/>
  <hyperlinks>
    <hyperlink ref="B24" r:id="rId1" xr:uid="{78C886A4-208F-4045-A77F-066D4C1A470E}"/>
    <hyperlink ref="B25" r:id="rId2" xr:uid="{907025BC-4C27-FE48-8CF9-641367C8372F}"/>
  </hyperlinks>
  <pageMargins left="0.7" right="0.7" top="0.75" bottom="0.75" header="0.3" footer="0.3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720E1-C274-E14C-804F-8ABF207EEF3F}">
  <dimension ref="A1:I25"/>
  <sheetViews>
    <sheetView topLeftCell="C1" workbookViewId="0">
      <selection activeCell="F2" sqref="F2"/>
    </sheetView>
  </sheetViews>
  <sheetFormatPr defaultColWidth="10.1796875" defaultRowHeight="14.5"/>
  <cols>
    <col min="1" max="1" width="9.81640625" bestFit="1" customWidth="1"/>
    <col min="2" max="2" width="90.81640625" bestFit="1" customWidth="1"/>
    <col min="3" max="3" width="15.453125" bestFit="1" customWidth="1"/>
    <col min="4" max="4" width="14.81640625" bestFit="1" customWidth="1"/>
    <col min="5" max="5" width="16.453125" bestFit="1" customWidth="1"/>
    <col min="6" max="6" width="13.1796875" bestFit="1" customWidth="1"/>
    <col min="7" max="7" width="12.81640625" bestFit="1" customWidth="1"/>
    <col min="9" max="9" width="6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Table791028[[#This Row],[Mil m3 '[2020']]]/1000</f>
        <v>0</v>
      </c>
      <c r="F2" s="14">
        <f>Table791028[[#This Row],[TWh '[2020']]]*1000</f>
        <v>-8153549.8638127027</v>
      </c>
      <c r="G2" s="3">
        <f>IF(Table791028[[#This Row],[Mil m3 '[2020']]]&gt;0,Table791028[[#This Row],[Mrd m3 '[2020']2]],Table791028[[#This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Table791028[[#This Row],[Mil m3 '[2020']]]/1000</f>
        <v>0</v>
      </c>
      <c r="F3" s="2">
        <f>Table791028[[#This Row],[TWh '[2020']]]*1000</f>
        <v>-2027620.4220686874</v>
      </c>
      <c r="G3" s="3">
        <f>IF(Table791028[[#This Row],[Mil m3 '[2020']]]&gt;0,Table791028[[#This Row],[Mrd m3 '[2020']2]],Table791028[[#This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Table791028[[#This Row],[Mil m3 '[2020']]]/1000</f>
        <v>0</v>
      </c>
      <c r="F4" s="2">
        <f>Table791028[[#This Row],[TWh '[2020']]]*1000</f>
        <v>-1303165.7124974753</v>
      </c>
      <c r="G4" s="3">
        <f>IF(Table791028[[#This Row],[Mil m3 '[2020']]]&gt;0,Table791028[[#This Row],[Mrd m3 '[2020']2]],Table791028[[#This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Table791028[[#This Row],[Mil m3 '[2020']]]/1000</f>
        <v>0</v>
      </c>
      <c r="F5" s="2">
        <f>Table791028[[#This Row],[TWh '[2020']]]*1000</f>
        <v>-148363.77291714353</v>
      </c>
      <c r="G5" s="3">
        <f>IF(Table791028[[#This Row],[Mil m3 '[2020']]]&gt;0,Table791028[[#This Row],[Mrd m3 '[2020']2]],Table791028[[#This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Table791028[[#This Row],[Mil m3 '[2020']]]/1000</f>
        <v>0</v>
      </c>
      <c r="F6" s="2">
        <f>Table791028[[#This Row],[TWh '[2020']]]*1000</f>
        <v>-5026511.2714781221</v>
      </c>
      <c r="G6" s="3">
        <f>IF(Table791028[[#This Row],[Mil m3 '[2020']]]&gt;0,Table791028[[#This Row],[Mrd m3 '[2020']2]],Table791028[[#This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Table791028[[#This Row],[Mil m3 '[2020']]]/1000</f>
        <v>0</v>
      </c>
      <c r="F7" s="2">
        <f>Table791028[[#This Row],[TWh '[2020']]]*1000</f>
        <v>-375297.30310748302</v>
      </c>
      <c r="G7" s="3">
        <f>IF(Table791028[[#This Row],[Mil m3 '[2020']]]&gt;0,Table791028[[#This Row],[Mrd m3 '[2020']2]],Table791028[[#This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Table791028[[#This Row],[Mil m3 '[2020']]]/1000</f>
        <v>0</v>
      </c>
      <c r="F8" s="2">
        <f>Table791028[[#This Row],[TWh '[2020']]]*1000</f>
        <v>-395189.40186607011</v>
      </c>
      <c r="G8" s="3">
        <f>IF(Table791028[[#This Row],[Mil m3 '[2020']]]&gt;0,Table791028[[#This Row],[Mrd m3 '[2020']2]],Table791028[[#This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Table791028[[#This Row],[Mil m3 '[2020']]]/1000</f>
        <v>0</v>
      </c>
      <c r="F9" s="2">
        <f>Table791028[[#This Row],[TWh '[2020']]]*1000</f>
        <v>-413440.4101272542</v>
      </c>
      <c r="G9" s="3">
        <f>IF(Table791028[[#This Row],[Mil m3 '[2020']]]&gt;0,Table791028[[#This Row],[Mrd m3 '[2020']2]],Table791028[[#This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Table791028[[#This Row],[Mil m3 '[2020']]]/1000</f>
        <v>0</v>
      </c>
      <c r="F10" s="2">
        <f>Table791028[[#This Row],[TWh '[2020']]]*1000</f>
        <v>-3288750.5973451314</v>
      </c>
      <c r="G10" s="3">
        <f>IF(Table791028[[#This Row],[Mil m3 '[2020']]]&gt;0,Table791028[[#This Row],[Mrd m3 '[2020']2]],Table791028[[#This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Table791028[[#This Row],[Mil m3 '[2020']]]/1000</f>
        <v>0</v>
      </c>
      <c r="F11" s="2">
        <f>Table791028[[#This Row],[TWh '[2020']]]*1000</f>
        <v>-1579465.226022091</v>
      </c>
      <c r="G11" s="3">
        <f>IF(Table791028[[#This Row],[Mil m3 '[2020']]]&gt;0,Table791028[[#This Row],[Mrd m3 '[2020']2]],Table791028[[#This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Table791028[[#This Row],[Mil m3 '[2020']]]/1000</f>
        <v>0</v>
      </c>
      <c r="F12" s="2">
        <f>Table791028[[#This Row],[TWh '[2020']]]*1000</f>
        <v>-589718.3853294109</v>
      </c>
      <c r="G12" s="3">
        <f>IF(Table791028[[#This Row],[Mil m3 '[2020']]]&gt;0,Table791028[[#This Row],[Mrd m3 '[2020']2]],Table791028[[#This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Table791028[[#This Row],[Mil m3 '[2020']]]/1000</f>
        <v>0</v>
      </c>
      <c r="F13" s="2">
        <f>Table791028[[#This Row],[TWh '[2020']]]*1000</f>
        <v>-1854223.9789296088</v>
      </c>
      <c r="G13" s="3">
        <f>IF(Table791028[[#This Row],[Mil m3 '[2020']]]&gt;0,Table791028[[#This Row],[Mrd m3 '[2020']2]],Table791028[[#This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Table791028[[#This Row],[Mil m3 '[2020']]]/1000</f>
        <v>0</v>
      </c>
      <c r="F14" s="2">
        <f>Table791028[[#This Row],[TWh '[2020']]]*1000</f>
        <v>-1111052.9491422991</v>
      </c>
      <c r="G14" s="3">
        <f>IF(Table791028[[#This Row],[Mil m3 '[2020']]]&gt;0,Table791028[[#This Row],[Mrd m3 '[2020']2]],Table791028[[#This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Table791028[[#This Row],[Mil m3 '[2020']]]/1000</f>
        <v>0</v>
      </c>
      <c r="F15" s="2">
        <f>Table791028[[#This Row],[TWh '[2020']]]*1000</f>
        <v>-4137432.8871681411</v>
      </c>
      <c r="G15" s="3">
        <f>IF(Table791028[[#This Row],[Mil m3 '[2020']]]&gt;0,Table791028[[#This Row],[Mrd m3 '[2020']2]],Table791028[[#This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Table791028[[#This Row],[Mil m3 '[2020']]]/1000</f>
        <v>0</v>
      </c>
      <c r="F16" s="2">
        <f>Table791028[[#This Row],[TWh '[2020']]]*1000</f>
        <v>-423529.86637499998</v>
      </c>
      <c r="G16" s="3">
        <f>IF(Table791028[[#This Row],[Mil m3 '[2020']]]&gt;0,Table791028[[#This Row],[Mrd m3 '[2020']2]],Table791028[[#This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Table791028[[#This Row],[Mil m3 '[2020']]]/1000</f>
        <v>0</v>
      </c>
      <c r="F17" s="2">
        <f>Table791028[[#This Row],[TWh '[2020']]]*1000</f>
        <v>-75229</v>
      </c>
      <c r="G17" s="3">
        <f>IF(Table791028[[#This Row],[Mil m3 '[2020']]]&gt;0,Table791028[[#This Row],[Mrd m3 '[2020']2]],Table791028[[#This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Table791028[[#This Row],[Mil m3 '[2020']]]/1000</f>
        <v>0</v>
      </c>
      <c r="F18" s="2">
        <f>Table791028[[#This Row],[TWh '[2020']]]*1000</f>
        <v>-35078.727272727272</v>
      </c>
      <c r="G18" s="3">
        <f>IF(Table791028[[#This Row],[Mil m3 '[2020']]]&gt;0,Table791028[[#This Row],[Mrd m3 '[2020']2]],Table791028[[#This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Table791028[[#This Row],[Mil m3 '[2020']]]/1000</f>
        <v>0</v>
      </c>
      <c r="F19" s="2">
        <f>Table791028[[#This Row],[TWh '[2020']]]*1000</f>
        <v>-7685.681042743664</v>
      </c>
      <c r="G19" s="3">
        <f>IF(Table791028[[#This Row],[Mil m3 '[2020']]]&gt;0,Table791028[[#This Row],[Mrd m3 '[2020']2]],Table791028[[#This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Table791028[[#This Row],[Mil m3 '[2020']]]/1000</f>
        <v>0</v>
      </c>
      <c r="F20" s="2">
        <f>Table791028[[#This Row],[TWh '[2020']]]*1000</f>
        <v>-569668.41625963582</v>
      </c>
      <c r="G20" s="3">
        <f>IF(Table791028[[#This Row],[Mil m3 '[2020']]]&gt;0,Table791028[[#This Row],[Mrd m3 '[2020']2]],Table791028[[#This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Table791028[[#This Row],[Mil m3 '[2020']]]/1000</f>
        <v>0</v>
      </c>
      <c r="F21" s="2">
        <f>Table791028[[#This Row],[TWh '[2020']]]*1000</f>
        <v>-842117.28647519497</v>
      </c>
      <c r="G21" s="3">
        <f>IF(Table791028[[#This Row],[Mil m3 '[2020']]]&gt;0,Table791028[[#This Row],[Mrd m3 '[2020']2]],Table791028[[#This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Table791028[[#This Row],[Mil m3 '[2020']]]/1000</f>
        <v>0</v>
      </c>
      <c r="F22" s="2">
        <f>Table791028[[#This Row],[TWh '[2020']]]*1000</f>
        <v>-173427.35646017679</v>
      </c>
      <c r="G22" s="3">
        <f>IF(Table791028[[#This Row],[Mil m3 '[2020']]]&gt;0,Table791028[[#This Row],[Mrd m3 '[2020']2]],Table791028[[#This Row],[Mrd m3 '[2020']]])*9.77*(-1)</f>
        <v>-173.42735646017678</v>
      </c>
    </row>
    <row r="24" spans="1:9">
      <c r="A24" t="s">
        <v>79</v>
      </c>
      <c r="B24" s="16" t="s">
        <v>136</v>
      </c>
      <c r="I24" t="s">
        <v>137</v>
      </c>
    </row>
    <row r="25" spans="1:9">
      <c r="A25" t="s">
        <v>80</v>
      </c>
      <c r="B25" t="s">
        <v>176</v>
      </c>
    </row>
  </sheetData>
  <hyperlinks>
    <hyperlink ref="B24" r:id="rId1" xr:uid="{CAB1F079-68FE-074D-BA13-1BF36A2843A2}"/>
  </hyperlinks>
  <pageMargins left="0.7" right="0.7" top="0.75" bottom="0.75" header="0.3" footer="0.3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F5" sqref="F5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5"/>
  <sheetViews>
    <sheetView topLeftCell="A16" workbookViewId="0">
      <selection activeCell="A23" sqref="A23:B23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297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Table79101116[[#This Row],[Mrd m3 '[2035']]]*9.77*(-1)</f>
        <v>-7728.07</v>
      </c>
    </row>
    <row r="3" spans="1:7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Table79101116[[#This Row],[Mrd m3 '[2035']]]*9.77*(-1)</f>
        <v>-2315.4899999999998</v>
      </c>
    </row>
    <row r="4" spans="1:7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-1600862.8199399505</v>
      </c>
      <c r="G4" s="3">
        <f>Table79101116[[#This Row],[Mrd m3 '[2035']]]*9.77*(-1)</f>
        <v>-1600.8628199399504</v>
      </c>
    </row>
    <row r="5" spans="1:7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-157737.18006004932</v>
      </c>
      <c r="G5" s="3">
        <f>Table79101116[[#This Row],[Mrd m3 '[2035']]]*9.77*(-1)</f>
        <v>-157.73718006004933</v>
      </c>
    </row>
    <row r="6" spans="1:7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-6766870.294499794</v>
      </c>
      <c r="G6" s="3">
        <f>Table79101116[[#This Row],[Mrd m3 '[2035']]]*9.77*(-1)</f>
        <v>-6766.870294499794</v>
      </c>
    </row>
    <row r="7" spans="1:7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-560629.70550020493</v>
      </c>
      <c r="G7" s="3">
        <f>Table79101116[[#This Row],[Mrd m3 '[2035']]]*9.77*(-1)</f>
        <v>-560.62970550020498</v>
      </c>
    </row>
    <row r="8" spans="1:7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-586458.88075657142</v>
      </c>
      <c r="G8" s="3">
        <f>Table79101116[[#This Row],[Mrd m3 '[2035']]]*9.77*(-1)</f>
        <v>-586.45888075657138</v>
      </c>
    </row>
    <row r="9" spans="1:7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-473963.08244764997</v>
      </c>
      <c r="G9" s="3">
        <f>Table79101116[[#This Row],[Mrd m3 '[2035']]]*9.77*(-1)</f>
        <v>-473.96308244764998</v>
      </c>
    </row>
    <row r="10" spans="1:7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-5099940</v>
      </c>
      <c r="G10" s="3">
        <f>Table79101116[[#This Row],[Mrd m3 '[2035']]]*9.77*(-1)</f>
        <v>-5099.9399999999996</v>
      </c>
    </row>
    <row r="11" spans="1:7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-789910.65817671013</v>
      </c>
      <c r="G11" s="3">
        <f>Table79101116[[#This Row],[Mrd m3 '[2035']]]*9.77*(-1)</f>
        <v>-789.91065817671017</v>
      </c>
    </row>
    <row r="12" spans="1:7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-1221250</v>
      </c>
      <c r="G12" s="3">
        <f>Table79101116[[#This Row],[Mrd m3 '[2035']]]*9.77*(-1)</f>
        <v>-1221.25</v>
      </c>
    </row>
    <row r="13" spans="1:7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-2114031.4594009854</v>
      </c>
      <c r="G13" s="3">
        <f>Table79101116[[#This Row],[Mrd m3 '[2035']]]*9.77*(-1)</f>
        <v>-2114.0314594009856</v>
      </c>
    </row>
    <row r="14" spans="1:7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-1384377.7498771138</v>
      </c>
      <c r="G14" s="3">
        <f>Table79101116[[#This Row],[Mrd m3 '[2035']]]*9.77*(-1)</f>
        <v>-1384.377749877114</v>
      </c>
    </row>
    <row r="15" spans="1:7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-5012010</v>
      </c>
      <c r="G15" s="3">
        <f>Table79101116[[#This Row],[Mrd m3 '[2035']]]*9.77*(-1)</f>
        <v>-5012.01</v>
      </c>
    </row>
    <row r="16" spans="1:7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-629018.72810794401</v>
      </c>
      <c r="G16" s="3">
        <f>Table79101116[[#This Row],[Mrd m3 '[2035']]]*9.77*(-1)</f>
        <v>-629.01872810794407</v>
      </c>
    </row>
    <row r="17" spans="1:7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-126206.73246535193</v>
      </c>
      <c r="G17" s="3">
        <f>Table79101116[[#This Row],[Mrd m3 '[2035']]]*9.77*(-1)</f>
        <v>-126.20673246535193</v>
      </c>
    </row>
    <row r="18" spans="1:7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-44865.283177783429</v>
      </c>
      <c r="G18" s="3">
        <f>Table79101116[[#This Row],[Mrd m3 '[2035']]]*9.77*(-1)</f>
        <v>-44.865283177783432</v>
      </c>
    </row>
    <row r="19" spans="1:7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-2782.7429185559263</v>
      </c>
      <c r="G19" s="3">
        <f>Table79101116[[#This Row],[Mrd m3 '[2035']]]*9.77*(-1)</f>
        <v>-2.7827429185559263</v>
      </c>
    </row>
    <row r="20" spans="1:7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-750297.63257379329</v>
      </c>
      <c r="G20" s="3">
        <f>Table79101116[[#This Row],[Mrd m3 '[2035']]]*9.77*(-1)</f>
        <v>-750.29763257379329</v>
      </c>
    </row>
    <row r="21" spans="1:7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-1081102.0174849315</v>
      </c>
      <c r="G21" s="3">
        <f>Table79101116[[#This Row],[Mrd m3 '[2035']]]*9.77*(-1)</f>
        <v>-1081.1020174849316</v>
      </c>
    </row>
    <row r="22" spans="1:7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-184609.66903794708</v>
      </c>
      <c r="G22" s="3">
        <f>Table79101116[[#This Row],[Mrd m3 '[2035']]]*9.77*(-1)</f>
        <v>-184.60966903794707</v>
      </c>
    </row>
    <row r="23" spans="1:7">
      <c r="A23" t="s">
        <v>295</v>
      </c>
      <c r="B23" t="s">
        <v>296</v>
      </c>
      <c r="E23" s="2"/>
      <c r="F23" s="2"/>
      <c r="G23" s="3"/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A37" sqref="A37"/>
    </sheetView>
  </sheetViews>
  <sheetFormatPr defaultColWidth="8.81640625" defaultRowHeight="14.5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 t="shared" ref="D2:D30" si="0">C2*365</f>
        <v>486910</v>
      </c>
      <c r="E2">
        <f t="shared" ref="E2:E30" si="1">D2/1000</f>
        <v>486.91</v>
      </c>
    </row>
    <row r="3" spans="1:5">
      <c r="A3" t="s">
        <v>172</v>
      </c>
      <c r="B3" t="s">
        <v>46</v>
      </c>
      <c r="C3">
        <v>395</v>
      </c>
      <c r="D3">
        <f t="shared" si="0"/>
        <v>144175</v>
      </c>
      <c r="E3">
        <f t="shared" si="1"/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>C33*365</f>
        <v>117493.49999999999</v>
      </c>
      <c r="E33">
        <f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>C34*365</f>
        <v>117493.49999999999</v>
      </c>
      <c r="E34">
        <f>D34/1000</f>
        <v>117.49349999999998</v>
      </c>
      <c r="F34" t="s">
        <v>98</v>
      </c>
    </row>
    <row r="37" spans="1:6">
      <c r="A37" s="16" t="s">
        <v>95</v>
      </c>
    </row>
  </sheetData>
  <autoFilter ref="A1:F34" xr:uid="{58F6DC53-AE01-4DBE-BF9B-43427CD51EF0}"/>
  <hyperlinks>
    <hyperlink ref="A37" r:id="rId1" xr:uid="{1F5393D2-4704-E64C-A047-6C47D46AED32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EEE25-86CF-7A4A-BCC6-4E21BBEBDB95}">
  <dimension ref="A1:H109"/>
  <sheetViews>
    <sheetView topLeftCell="A30" workbookViewId="0">
      <selection activeCell="C30" sqref="C30"/>
    </sheetView>
  </sheetViews>
  <sheetFormatPr defaultColWidth="9" defaultRowHeight="14.5"/>
  <cols>
    <col min="1" max="1" width="7.6328125" bestFit="1" customWidth="1"/>
    <col min="2" max="2" width="5.453125" bestFit="1" customWidth="1"/>
    <col min="3" max="3" width="21.1796875" bestFit="1" customWidth="1"/>
    <col min="4" max="4" width="21.453125" style="18" bestFit="1" customWidth="1"/>
    <col min="5" max="5" width="25" style="18" bestFit="1" customWidth="1"/>
    <col min="6" max="7" width="12.1796875" bestFit="1" customWidth="1"/>
    <col min="8" max="8" width="65.1796875" bestFit="1" customWidth="1"/>
  </cols>
  <sheetData>
    <row r="1" spans="1:8">
      <c r="A1" t="s">
        <v>92</v>
      </c>
      <c r="B1" t="s">
        <v>93</v>
      </c>
      <c r="C1" t="s">
        <v>138</v>
      </c>
      <c r="D1" s="20" t="s">
        <v>139</v>
      </c>
      <c r="E1" s="20" t="s">
        <v>140</v>
      </c>
      <c r="F1" t="s">
        <v>105</v>
      </c>
      <c r="G1" t="s">
        <v>106</v>
      </c>
      <c r="H1" t="s">
        <v>142</v>
      </c>
    </row>
    <row r="2" spans="1:8">
      <c r="A2" s="19" t="s">
        <v>41</v>
      </c>
      <c r="B2" s="19" t="s">
        <v>21</v>
      </c>
      <c r="C2" s="19"/>
      <c r="D2" s="19"/>
      <c r="E2" s="19">
        <f>11*9.77</f>
        <v>107.47</v>
      </c>
      <c r="F2" s="19">
        <f>MIN(Table329[[#This Row],[GWh/d '[capacity map']]:[GWh/d '[transparency map']]])*365</f>
        <v>39226.550000000003</v>
      </c>
      <c r="G2" s="19">
        <f t="shared" ref="G2:G65" si="0">F2/1000</f>
        <v>39.226550000000003</v>
      </c>
      <c r="H2" s="19" t="s">
        <v>327</v>
      </c>
    </row>
    <row r="3" spans="1:8">
      <c r="A3" s="19" t="s">
        <v>20</v>
      </c>
      <c r="B3" s="19" t="s">
        <v>19</v>
      </c>
      <c r="C3" s="19">
        <v>635.44560000000001</v>
      </c>
      <c r="D3" s="19"/>
      <c r="E3" s="19"/>
      <c r="F3" s="19">
        <f>MIN(Table329[[#This Row],[GWh/d '[capacity map']]:[GWh/d '[transparency map']]])*365</f>
        <v>231937.644</v>
      </c>
      <c r="G3" s="19">
        <f t="shared" si="0"/>
        <v>231.93764400000001</v>
      </c>
      <c r="H3" s="19"/>
    </row>
    <row r="4" spans="1:8">
      <c r="A4" s="19" t="s">
        <v>20</v>
      </c>
      <c r="B4" s="19" t="s">
        <v>30</v>
      </c>
      <c r="C4" s="19">
        <v>153.1</v>
      </c>
      <c r="D4" s="19"/>
      <c r="E4" s="19"/>
      <c r="F4" s="19">
        <f>MIN(Table329[[#This Row],[GWh/d '[capacity map']]:[GWh/d '[transparency map']]])*365</f>
        <v>55881.5</v>
      </c>
      <c r="G4" s="19">
        <f t="shared" si="0"/>
        <v>55.881500000000003</v>
      </c>
      <c r="H4" s="19"/>
    </row>
    <row r="5" spans="1:8">
      <c r="A5" s="19" t="s">
        <v>20</v>
      </c>
      <c r="B5" s="19" t="s">
        <v>21</v>
      </c>
      <c r="C5" s="19">
        <v>1148.8</v>
      </c>
      <c r="D5" s="19"/>
      <c r="E5" s="19"/>
      <c r="F5" s="19">
        <f>MIN(Table329[[#This Row],[GWh/d '[capacity map']]:[GWh/d '[transparency map']]])*365</f>
        <v>419312</v>
      </c>
      <c r="G5" s="19">
        <f t="shared" si="0"/>
        <v>419.31200000000001</v>
      </c>
      <c r="H5" s="19"/>
    </row>
    <row r="6" spans="1:8">
      <c r="A6" s="19" t="s">
        <v>20</v>
      </c>
      <c r="B6" s="19" t="s">
        <v>23</v>
      </c>
      <c r="C6" s="19">
        <v>112.5</v>
      </c>
      <c r="D6" s="19"/>
      <c r="E6" s="19"/>
      <c r="F6" s="19">
        <f>MIN(Table329[[#This Row],[GWh/d '[capacity map']]:[GWh/d '[transparency map']]])*365</f>
        <v>41062.5</v>
      </c>
      <c r="G6" s="19">
        <f t="shared" si="0"/>
        <v>41.0625</v>
      </c>
      <c r="H6" s="19"/>
    </row>
    <row r="7" spans="1:8">
      <c r="A7" s="19" t="s">
        <v>20</v>
      </c>
      <c r="B7" s="19" t="s">
        <v>29</v>
      </c>
      <c r="C7" s="19">
        <v>384.8</v>
      </c>
      <c r="D7" s="19"/>
      <c r="E7" s="19"/>
      <c r="F7" s="19">
        <f>MIN(Table329[[#This Row],[GWh/d '[capacity map']]:[GWh/d '[transparency map']]])*365</f>
        <v>140452</v>
      </c>
      <c r="G7" s="19">
        <f t="shared" si="0"/>
        <v>140.452</v>
      </c>
      <c r="H7" s="19"/>
    </row>
    <row r="8" spans="1:8">
      <c r="A8" s="19" t="s">
        <v>17</v>
      </c>
      <c r="B8" s="19" t="s">
        <v>19</v>
      </c>
      <c r="C8" s="19">
        <v>289.5</v>
      </c>
      <c r="D8" s="19"/>
      <c r="E8" s="19"/>
      <c r="F8" s="19">
        <f>MIN(Table329[[#This Row],[GWh/d '[capacity map']]:[GWh/d '[transparency map']]])*365</f>
        <v>105667.5</v>
      </c>
      <c r="G8" s="19">
        <f t="shared" si="0"/>
        <v>105.6675</v>
      </c>
      <c r="H8" s="19"/>
    </row>
    <row r="9" spans="1:8">
      <c r="A9" s="19" t="s">
        <v>17</v>
      </c>
      <c r="B9" s="19" t="s">
        <v>25</v>
      </c>
      <c r="C9" s="19">
        <v>850</v>
      </c>
      <c r="D9" s="19"/>
      <c r="E9" s="19"/>
      <c r="F9" s="19">
        <f>MIN(Table329[[#This Row],[GWh/d '[capacity map']]:[GWh/d '[transparency map']]])*365</f>
        <v>310250</v>
      </c>
      <c r="G9" s="19">
        <f t="shared" si="0"/>
        <v>310.25</v>
      </c>
      <c r="H9" s="19"/>
    </row>
    <row r="10" spans="1:8">
      <c r="A10" s="19" t="s">
        <v>17</v>
      </c>
      <c r="B10" s="19" t="s">
        <v>42</v>
      </c>
      <c r="C10" s="19"/>
      <c r="D10" s="19"/>
      <c r="E10" s="19">
        <v>41.973541999999995</v>
      </c>
      <c r="F10" s="19">
        <f>MIN(Table329[[#This Row],[GWh/d '[capacity map']]:[GWh/d '[transparency map']]])*365</f>
        <v>15320.342829999998</v>
      </c>
      <c r="G10" s="19">
        <f t="shared" si="0"/>
        <v>15.320342829999998</v>
      </c>
      <c r="H10" s="19"/>
    </row>
    <row r="11" spans="1:8">
      <c r="A11" t="s">
        <v>17</v>
      </c>
      <c r="B11" t="s">
        <v>18</v>
      </c>
      <c r="C11">
        <v>393</v>
      </c>
      <c r="F11">
        <f>MIN(Table329[[#This Row],[GWh/d '[capacity map']]:[GWh/d '[transparency map']]])*365</f>
        <v>143445</v>
      </c>
      <c r="G11">
        <f t="shared" si="0"/>
        <v>143.44499999999999</v>
      </c>
    </row>
    <row r="12" spans="1:8">
      <c r="A12" t="s">
        <v>17</v>
      </c>
      <c r="B12" t="s">
        <v>11</v>
      </c>
      <c r="C12">
        <v>803.4</v>
      </c>
      <c r="F12">
        <f>MIN(Table329[[#This Row],[GWh/d '[capacity map']]:[GWh/d '[transparency map']]])*365</f>
        <v>293241</v>
      </c>
      <c r="G12">
        <f t="shared" si="0"/>
        <v>293.24099999999999</v>
      </c>
    </row>
    <row r="13" spans="1:8">
      <c r="A13" t="s">
        <v>32</v>
      </c>
      <c r="B13" t="s">
        <v>264</v>
      </c>
      <c r="C13">
        <v>117.05</v>
      </c>
      <c r="D13"/>
      <c r="E13"/>
      <c r="F13">
        <f>MIN(Table329[[#This Row],[GWh/d '[capacity map']]:[GWh/d '[transparency map']]])*365</f>
        <v>42723.25</v>
      </c>
      <c r="G13">
        <f t="shared" si="0"/>
        <v>42.72325</v>
      </c>
    </row>
    <row r="14" spans="1:8">
      <c r="A14" t="s">
        <v>32</v>
      </c>
      <c r="B14" t="s">
        <v>45</v>
      </c>
      <c r="C14">
        <v>20.38</v>
      </c>
      <c r="F14">
        <f>MIN(Table329[[#This Row],[GWh/d '[capacity map']]:[GWh/d '[transparency map']]])*365</f>
        <v>7438.7</v>
      </c>
      <c r="G14">
        <f t="shared" si="0"/>
        <v>7.4386999999999999</v>
      </c>
    </row>
    <row r="15" spans="1:8">
      <c r="A15" t="s">
        <v>32</v>
      </c>
      <c r="B15" t="s">
        <v>33</v>
      </c>
      <c r="C15">
        <v>7.9</v>
      </c>
      <c r="F15">
        <f>MIN(Table329[[#This Row],[GWh/d '[capacity map']]:[GWh/d '[transparency map']]])*365</f>
        <v>2883.5</v>
      </c>
      <c r="G15">
        <f>F15/1000</f>
        <v>2.8835000000000002</v>
      </c>
    </row>
    <row r="16" spans="1:8">
      <c r="A16" t="s">
        <v>32</v>
      </c>
      <c r="B16" t="s">
        <v>31</v>
      </c>
      <c r="C16">
        <v>0</v>
      </c>
      <c r="D16"/>
      <c r="E16"/>
      <c r="F16">
        <f>MIN(Table329[[#This Row],[GWh/d '[capacity map']]:[GWh/d '[transparency map']]])*365</f>
        <v>0</v>
      </c>
      <c r="G16">
        <f t="shared" si="0"/>
        <v>0</v>
      </c>
    </row>
    <row r="17" spans="1:8">
      <c r="A17" t="s">
        <v>32</v>
      </c>
      <c r="B17" t="s">
        <v>46</v>
      </c>
      <c r="C17">
        <v>477</v>
      </c>
      <c r="D17" s="19"/>
      <c r="F17">
        <f>MIN(Table329[[#This Row],[GWh/d '[capacity map']]:[GWh/d '[transparency map']]])*365</f>
        <v>174105</v>
      </c>
      <c r="G17">
        <f t="shared" si="0"/>
        <v>174.10499999999999</v>
      </c>
    </row>
    <row r="18" spans="1:8">
      <c r="A18" t="s">
        <v>52</v>
      </c>
      <c r="B18" t="s">
        <v>34</v>
      </c>
      <c r="C18">
        <v>325.39999999999998</v>
      </c>
      <c r="F18">
        <f>MIN(Table329[[#This Row],[GWh/d '[capacity map']]:[GWh/d '[transparency map']]])*365</f>
        <v>118770.99999999999</v>
      </c>
      <c r="G18">
        <f t="shared" si="0"/>
        <v>118.77099999999999</v>
      </c>
    </row>
    <row r="19" spans="1:8">
      <c r="A19" t="s">
        <v>52</v>
      </c>
      <c r="B19" t="s">
        <v>27</v>
      </c>
      <c r="C19">
        <v>1200.6999999999998</v>
      </c>
      <c r="F19">
        <f>MIN(Table329[[#This Row],[GWh/d '[capacity map']]:[GWh/d '[transparency map']]])*365</f>
        <v>438255.49999999994</v>
      </c>
      <c r="G19">
        <f t="shared" si="0"/>
        <v>438.25549999999993</v>
      </c>
    </row>
    <row r="20" spans="1:8">
      <c r="A20" s="19" t="s">
        <v>52</v>
      </c>
      <c r="B20" s="19" t="s">
        <v>38</v>
      </c>
      <c r="C20" s="19"/>
      <c r="D20" s="19"/>
      <c r="E20" s="19">
        <v>35.53171072</v>
      </c>
      <c r="F20" s="19">
        <f>MIN(Table329[[#This Row],[GWh/d '[capacity map']]:[GWh/d '[transparency map']]])*365</f>
        <v>12969.074412800001</v>
      </c>
      <c r="G20" s="19">
        <f t="shared" si="0"/>
        <v>12.969074412800001</v>
      </c>
      <c r="H20" s="18"/>
    </row>
    <row r="21" spans="1:8">
      <c r="A21" t="s">
        <v>22</v>
      </c>
      <c r="B21" t="s">
        <v>19</v>
      </c>
      <c r="C21">
        <v>172.8</v>
      </c>
      <c r="F21">
        <f>MIN(Table329[[#This Row],[GWh/d '[capacity map']]:[GWh/d '[transparency map']]])*365</f>
        <v>63072.000000000007</v>
      </c>
      <c r="G21">
        <f t="shared" si="0"/>
        <v>63.07200000000001</v>
      </c>
    </row>
    <row r="22" spans="1:8">
      <c r="A22" t="s">
        <v>22</v>
      </c>
      <c r="B22" t="s">
        <v>25</v>
      </c>
      <c r="C22">
        <v>100</v>
      </c>
      <c r="F22">
        <f>MIN(Table329[[#This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635.4</v>
      </c>
      <c r="F23">
        <f>MIN(Table329[[#This Row],[GWh/d '[capacity map']]:[GWh/d '[transparency map']]])*365</f>
        <v>231921</v>
      </c>
      <c r="G23">
        <f t="shared" si="0"/>
        <v>231.92099999999999</v>
      </c>
    </row>
    <row r="24" spans="1:8">
      <c r="A24" t="s">
        <v>28</v>
      </c>
      <c r="B24" t="s">
        <v>19</v>
      </c>
      <c r="C24">
        <v>1105.2242999999999</v>
      </c>
      <c r="F24">
        <f>MIN(Table329[[#This Row],[GWh/d '[capacity map']]:[GWh/d '[transparency map']]])*365</f>
        <v>403406.86949999997</v>
      </c>
      <c r="G24">
        <f t="shared" si="0"/>
        <v>403.40686949999997</v>
      </c>
    </row>
    <row r="25" spans="1:8">
      <c r="A25" t="s">
        <v>28</v>
      </c>
      <c r="B25" t="s">
        <v>27</v>
      </c>
      <c r="C25">
        <v>28</v>
      </c>
      <c r="F25">
        <f>MIN(Table329[[#This Row],[GWh/d '[capacity map']]:[GWh/d '[transparency map']]])*365</f>
        <v>10220</v>
      </c>
      <c r="G25">
        <f t="shared" si="0"/>
        <v>10.220000000000001</v>
      </c>
    </row>
    <row r="26" spans="1:8">
      <c r="A26" t="s">
        <v>28</v>
      </c>
      <c r="B26" t="s">
        <v>29</v>
      </c>
      <c r="C26">
        <v>1009.2800000000001</v>
      </c>
      <c r="F26">
        <f>MIN(Table329[[#This Row],[GWh/d '[capacity map']]:[GWh/d '[transparency map']]])*365</f>
        <v>368387.2</v>
      </c>
      <c r="G26">
        <f t="shared" si="0"/>
        <v>368.38720000000001</v>
      </c>
    </row>
    <row r="27" spans="1:8">
      <c r="A27" t="s">
        <v>19</v>
      </c>
      <c r="B27" t="s">
        <v>20</v>
      </c>
      <c r="C27">
        <v>611.98399999999992</v>
      </c>
      <c r="F27">
        <f>MIN(Table329[[#This Row],[GWh/d '[capacity map']]:[GWh/d '[transparency map']]])*365</f>
        <v>223374.15999999997</v>
      </c>
      <c r="G27">
        <f t="shared" si="0"/>
        <v>223.37415999999996</v>
      </c>
    </row>
    <row r="28" spans="1:8">
      <c r="A28" t="s">
        <v>19</v>
      </c>
      <c r="B28" t="s">
        <v>17</v>
      </c>
      <c r="C28">
        <v>400.5</v>
      </c>
      <c r="F28">
        <f>MIN(Table329[[#This Row],[GWh/d '[capacity map']]:[GWh/d '[transparency map']]])*365</f>
        <v>146182.5</v>
      </c>
      <c r="G28">
        <f t="shared" si="0"/>
        <v>146.1825</v>
      </c>
    </row>
    <row r="29" spans="1:8">
      <c r="A29" t="s">
        <v>19</v>
      </c>
      <c r="B29" t="s">
        <v>22</v>
      </c>
      <c r="C29">
        <v>326.74</v>
      </c>
      <c r="F29">
        <f>MIN(Table329[[#This Row],[GWh/d '[capacity map']]:[GWh/d '[transparency map']]])*365</f>
        <v>119260.1</v>
      </c>
      <c r="G29">
        <f t="shared" si="0"/>
        <v>119.26010000000001</v>
      </c>
    </row>
    <row r="30" spans="1:8">
      <c r="A30" t="s">
        <v>19</v>
      </c>
      <c r="B30" t="s">
        <v>28</v>
      </c>
      <c r="C30">
        <v>1406.8140000000001</v>
      </c>
      <c r="F30">
        <f>MIN(Table329[[#This Row],[GWh/d '[capacity map']]:[GWh/d '[transparency map']]])*365</f>
        <v>513487.11000000004</v>
      </c>
      <c r="G30">
        <f t="shared" si="0"/>
        <v>513.48711000000003</v>
      </c>
    </row>
    <row r="31" spans="1:8">
      <c r="A31" t="s">
        <v>19</v>
      </c>
      <c r="B31" t="s">
        <v>26</v>
      </c>
      <c r="C31">
        <v>166.5</v>
      </c>
      <c r="F31">
        <f>MIN(Table329[[#This Row],[GWh/d '[capacity map']]:[GWh/d '[transparency map']]])*365</f>
        <v>60772.5</v>
      </c>
      <c r="G31">
        <f t="shared" si="0"/>
        <v>60.772500000000001</v>
      </c>
    </row>
    <row r="32" spans="1:8">
      <c r="A32" s="19" t="s">
        <v>19</v>
      </c>
      <c r="B32" s="19" t="s">
        <v>25</v>
      </c>
      <c r="C32" s="19">
        <v>605.70000000000005</v>
      </c>
      <c r="D32" s="19"/>
      <c r="E32" s="19"/>
      <c r="F32" s="19">
        <f>MIN(Table329[[#This Row],[GWh/d '[capacity map']]:[GWh/d '[transparency map']]])*365</f>
        <v>221080.50000000003</v>
      </c>
      <c r="G32" s="19">
        <f t="shared" si="0"/>
        <v>221.08050000000003</v>
      </c>
      <c r="H32" s="19"/>
    </row>
    <row r="33" spans="1:8">
      <c r="A33" s="19" t="s">
        <v>19</v>
      </c>
      <c r="B33" s="19" t="s">
        <v>42</v>
      </c>
      <c r="C33" s="19">
        <v>38.4</v>
      </c>
      <c r="D33" s="19"/>
      <c r="E33" s="19"/>
      <c r="F33" s="19">
        <f>MIN(Table329[[#This Row],[GWh/d '[capacity map']]:[GWh/d '[transparency map']]])*365</f>
        <v>14016</v>
      </c>
      <c r="G33" s="19">
        <f t="shared" si="0"/>
        <v>14.016</v>
      </c>
      <c r="H33" s="19"/>
    </row>
    <row r="34" spans="1:8">
      <c r="A34" s="19" t="s">
        <v>19</v>
      </c>
      <c r="B34" s="19" t="s">
        <v>18</v>
      </c>
      <c r="C34" s="19">
        <v>664.51011499999993</v>
      </c>
      <c r="D34" s="19"/>
      <c r="E34" s="19"/>
      <c r="F34" s="19">
        <f>MIN(Table329[[#This Row],[GWh/d '[capacity map']]:[GWh/d '[transparency map']]])*365</f>
        <v>242546.19197499997</v>
      </c>
      <c r="G34" s="19">
        <f t="shared" si="0"/>
        <v>242.54619197499997</v>
      </c>
      <c r="H34" s="19"/>
    </row>
    <row r="35" spans="1:8">
      <c r="A35" s="19" t="s">
        <v>19</v>
      </c>
      <c r="B35" s="19" t="s">
        <v>27</v>
      </c>
      <c r="C35" s="19">
        <v>233.5</v>
      </c>
      <c r="D35" s="19"/>
      <c r="E35" s="19"/>
      <c r="F35" s="19">
        <f>MIN(Table329[[#This Row],[GWh/d '[capacity map']]:[GWh/d '[transparency map']]])*365</f>
        <v>85227.5</v>
      </c>
      <c r="G35" s="19">
        <f t="shared" si="0"/>
        <v>85.227500000000006</v>
      </c>
      <c r="H35" s="19"/>
    </row>
    <row r="36" spans="1:8">
      <c r="A36" s="19" t="s">
        <v>26</v>
      </c>
      <c r="B36" s="19" t="s">
        <v>19</v>
      </c>
      <c r="C36" s="19">
        <v>91</v>
      </c>
      <c r="D36" s="19"/>
      <c r="E36" s="19"/>
      <c r="F36" s="19">
        <f>MIN(Table329[[#This Row],[GWh/d '[capacity map']]:[GWh/d '[transparency map']]])*365</f>
        <v>33215</v>
      </c>
      <c r="G36" s="19">
        <f t="shared" si="0"/>
        <v>33.215000000000003</v>
      </c>
      <c r="H36" s="19"/>
    </row>
    <row r="37" spans="1:8">
      <c r="A37" s="19" t="s">
        <v>26</v>
      </c>
      <c r="B37" s="19" t="s">
        <v>82</v>
      </c>
      <c r="C37" s="19"/>
      <c r="D37" s="19"/>
      <c r="E37" s="19">
        <v>41</v>
      </c>
      <c r="F37" s="19">
        <f>MIN(Table329[[#This Row],[GWh/d '[capacity map']]:[GWh/d '[transparency map']]])*365</f>
        <v>14965</v>
      </c>
      <c r="G37" s="19">
        <f t="shared" si="0"/>
        <v>14.965</v>
      </c>
      <c r="H37" s="19" t="s">
        <v>145</v>
      </c>
    </row>
    <row r="38" spans="1:8">
      <c r="A38" s="19" t="s">
        <v>49</v>
      </c>
      <c r="B38" s="19" t="s">
        <v>36</v>
      </c>
      <c r="C38" s="19">
        <v>731.7</v>
      </c>
      <c r="D38" s="19">
        <v>337.1</v>
      </c>
      <c r="E38" s="19"/>
      <c r="F38" s="19">
        <f>MIN(Table329[[#This Row],[GWh/d '[capacity map']]:[GWh/d '[transparency map']]])*365</f>
        <v>123041.50000000001</v>
      </c>
      <c r="G38" s="19">
        <f t="shared" si="0"/>
        <v>123.04150000000001</v>
      </c>
      <c r="H38" s="19" t="s">
        <v>318</v>
      </c>
    </row>
    <row r="39" spans="1:8">
      <c r="A39" s="19" t="s">
        <v>49</v>
      </c>
      <c r="B39" s="19" t="s">
        <v>96</v>
      </c>
      <c r="C39" s="19"/>
      <c r="D39" s="19">
        <v>337.1</v>
      </c>
      <c r="E39" s="19"/>
      <c r="F39" s="19">
        <f>MIN(Table329[[#This Row],[GWh/d '[capacity map']]:[GWh/d '[transparency map']]])*365</f>
        <v>123041.50000000001</v>
      </c>
      <c r="G39" s="19">
        <f t="shared" si="0"/>
        <v>123.04150000000001</v>
      </c>
      <c r="H39" s="19" t="s">
        <v>317</v>
      </c>
    </row>
    <row r="40" spans="1:8">
      <c r="A40" s="19" t="s">
        <v>49</v>
      </c>
      <c r="B40" s="19" t="s">
        <v>50</v>
      </c>
      <c r="C40" s="19"/>
      <c r="D40" s="19">
        <v>1154</v>
      </c>
      <c r="E40" s="19"/>
      <c r="F40" s="19">
        <f>MIN(Table329[[#This Row],[GWh/d '[capacity map']]:[GWh/d '[transparency map']]])*365</f>
        <v>421210</v>
      </c>
      <c r="G40" s="19">
        <f t="shared" si="0"/>
        <v>421.21</v>
      </c>
      <c r="H40" s="19" t="s">
        <v>319</v>
      </c>
    </row>
    <row r="41" spans="1:8">
      <c r="A41" s="19" t="s">
        <v>53</v>
      </c>
      <c r="B41" s="19" t="s">
        <v>54</v>
      </c>
      <c r="C41" s="19">
        <v>0</v>
      </c>
      <c r="D41" s="19"/>
      <c r="E41" s="19"/>
      <c r="F41" s="19">
        <f>MIN(Table329[[#This Row],[GWh/d '[capacity map']]:[GWh/d '[transparency map']]])*365</f>
        <v>0</v>
      </c>
      <c r="G41" s="19">
        <f t="shared" si="0"/>
        <v>0</v>
      </c>
      <c r="H41" s="19"/>
    </row>
    <row r="42" spans="1:8">
      <c r="A42" s="19" t="s">
        <v>53</v>
      </c>
      <c r="B42" s="19" t="s">
        <v>35</v>
      </c>
      <c r="C42" s="19">
        <v>178.5</v>
      </c>
      <c r="D42" s="19"/>
      <c r="E42" s="19"/>
      <c r="F42" s="19">
        <f>MIN(Table329[[#This Row],[GWh/d '[capacity map']]:[GWh/d '[transparency map']]])*365</f>
        <v>65152.5</v>
      </c>
      <c r="G42" s="19">
        <f t="shared" si="0"/>
        <v>65.152500000000003</v>
      </c>
      <c r="H42" s="19"/>
    </row>
    <row r="43" spans="1:8">
      <c r="A43" s="19" t="s">
        <v>264</v>
      </c>
      <c r="B43" s="19" t="s">
        <v>41</v>
      </c>
      <c r="C43" s="19"/>
      <c r="D43" s="19"/>
      <c r="E43" s="19">
        <f>11*9.77</f>
        <v>107.47</v>
      </c>
      <c r="F43" s="19">
        <f>MIN(Table329[[#This Row],[GWh/d '[capacity map']]:[GWh/d '[transparency map']]])*365</f>
        <v>39226.550000000003</v>
      </c>
      <c r="G43" s="19">
        <f t="shared" si="0"/>
        <v>39.226550000000003</v>
      </c>
      <c r="H43" s="19" t="s">
        <v>327</v>
      </c>
    </row>
    <row r="44" spans="1:8">
      <c r="A44" t="s">
        <v>264</v>
      </c>
      <c r="B44" t="s">
        <v>32</v>
      </c>
      <c r="C44">
        <v>0</v>
      </c>
      <c r="F44">
        <f>MIN(Table329[[#This Row],[GWh/d '[capacity map']]:[GWh/d '[transparency map']]])*365</f>
        <v>0</v>
      </c>
      <c r="G44">
        <f t="shared" si="0"/>
        <v>0</v>
      </c>
    </row>
    <row r="45" spans="1:8">
      <c r="A45" t="s">
        <v>36</v>
      </c>
      <c r="B45" t="s">
        <v>25</v>
      </c>
      <c r="C45">
        <v>224.4</v>
      </c>
      <c r="F45">
        <f>MIN(Table329[[#This Row],[GWh/d '[capacity map']]:[GWh/d '[transparency map']]])*365</f>
        <v>81906</v>
      </c>
      <c r="G45">
        <f t="shared" si="0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MIN(Table329[[#This Row],[GWh/d '[capacity map']]:[GWh/d '[transparency map']]])*365</f>
        <v>52560</v>
      </c>
      <c r="G46">
        <f t="shared" si="0"/>
        <v>52.56</v>
      </c>
    </row>
    <row r="47" spans="1:8">
      <c r="A47" t="s">
        <v>54</v>
      </c>
      <c r="B47" t="s">
        <v>53</v>
      </c>
      <c r="C47">
        <v>0</v>
      </c>
      <c r="F47">
        <f>MIN(Table329[[#This Row],[GWh/d '[capacity map']]:[GWh/d '[transparency map']]])*365</f>
        <v>0</v>
      </c>
      <c r="G47">
        <f t="shared" si="0"/>
        <v>0</v>
      </c>
    </row>
    <row r="48" spans="1:8">
      <c r="A48" t="s">
        <v>25</v>
      </c>
      <c r="B48" t="s">
        <v>17</v>
      </c>
      <c r="C48">
        <v>270</v>
      </c>
      <c r="F48">
        <f>MIN(Table329[[#This Row],[GWh/d '[capacity map']]:[GWh/d '[transparency map']]])*365</f>
        <v>98550</v>
      </c>
      <c r="G48">
        <f t="shared" si="0"/>
        <v>98.55</v>
      </c>
    </row>
    <row r="49" spans="1:8">
      <c r="A49" t="s">
        <v>25</v>
      </c>
      <c r="B49" t="s">
        <v>22</v>
      </c>
      <c r="C49">
        <v>260.39999999999998</v>
      </c>
      <c r="F49">
        <f>MIN(Table329[[#This Row],[GWh/d '[capacity map']]:[GWh/d '[transparency map']]])*365</f>
        <v>95045.999999999985</v>
      </c>
      <c r="G49">
        <f t="shared" si="0"/>
        <v>95.045999999999992</v>
      </c>
    </row>
    <row r="50" spans="1:8">
      <c r="A50" t="s">
        <v>25</v>
      </c>
      <c r="B50" t="s">
        <v>36</v>
      </c>
      <c r="C50">
        <v>165</v>
      </c>
      <c r="F50">
        <f>MIN(Table329[[#This Row],[GWh/d '[capacity map']]:[GWh/d '[transparency map']]])*365</f>
        <v>60225</v>
      </c>
      <c r="G50">
        <f t="shared" si="0"/>
        <v>60.225000000000001</v>
      </c>
    </row>
    <row r="51" spans="1:8">
      <c r="A51" t="s">
        <v>24</v>
      </c>
      <c r="B51" t="s">
        <v>30</v>
      </c>
      <c r="C51">
        <v>0</v>
      </c>
      <c r="F51">
        <f>MIN(Table329[[#This Row],[GWh/d '[capacity map']]:[GWh/d '[transparency map']]])*365</f>
        <v>0</v>
      </c>
      <c r="G51">
        <f t="shared" si="0"/>
        <v>0</v>
      </c>
    </row>
    <row r="52" spans="1:8">
      <c r="A52" t="s">
        <v>24</v>
      </c>
      <c r="B52" t="s">
        <v>23</v>
      </c>
      <c r="C52">
        <v>7.7</v>
      </c>
      <c r="F52">
        <f>MIN(Table329[[#This Row],[GWh/d '[capacity map']]:[GWh/d '[transparency map']]])*365</f>
        <v>2810.5</v>
      </c>
      <c r="G52">
        <f t="shared" si="0"/>
        <v>2.8105000000000002</v>
      </c>
    </row>
    <row r="53" spans="1:8">
      <c r="A53" t="s">
        <v>30</v>
      </c>
      <c r="B53" t="s">
        <v>24</v>
      </c>
      <c r="C53">
        <v>78.3</v>
      </c>
      <c r="F53">
        <f>MIN(Table329[[#This Row],[GWh/d '[capacity map']]:[GWh/d '[transparency map']]])*365</f>
        <v>28579.5</v>
      </c>
      <c r="G53">
        <f t="shared" si="0"/>
        <v>28.579499999999999</v>
      </c>
    </row>
    <row r="54" spans="1:8">
      <c r="A54" t="s">
        <v>30</v>
      </c>
      <c r="B54" t="s">
        <v>33</v>
      </c>
      <c r="C54">
        <v>52.1</v>
      </c>
      <c r="F54">
        <f>MIN(Table329[[#This Row],[GWh/d '[capacity map']]:[GWh/d '[transparency map']]])*365</f>
        <v>19016.5</v>
      </c>
      <c r="G54">
        <f t="shared" si="0"/>
        <v>19.016500000000001</v>
      </c>
    </row>
    <row r="55" spans="1:8">
      <c r="A55" t="s">
        <v>30</v>
      </c>
      <c r="B55" t="s">
        <v>31</v>
      </c>
      <c r="C55" s="19">
        <v>142</v>
      </c>
      <c r="F55">
        <f>MIN(Table329[[#This Row],[GWh/d '[capacity map']]:[GWh/d '[transparency map']]])*365</f>
        <v>51830</v>
      </c>
      <c r="G55">
        <f t="shared" si="0"/>
        <v>51.83</v>
      </c>
    </row>
    <row r="56" spans="1:8">
      <c r="A56" t="s">
        <v>30</v>
      </c>
      <c r="B56" t="s">
        <v>29</v>
      </c>
      <c r="C56">
        <v>50.883000000000003</v>
      </c>
      <c r="D56"/>
      <c r="E56"/>
      <c r="F56">
        <f>MIN(Table329[[#This Row],[GWh/d '[capacity map']]:[GWh/d '[transparency map']]])*365</f>
        <v>18572.295000000002</v>
      </c>
      <c r="G56">
        <f t="shared" si="0"/>
        <v>18.572295</v>
      </c>
      <c r="H56" t="s">
        <v>320</v>
      </c>
    </row>
    <row r="57" spans="1:8">
      <c r="A57" t="s">
        <v>21</v>
      </c>
      <c r="B57" t="s">
        <v>20</v>
      </c>
      <c r="C57">
        <v>193.3</v>
      </c>
      <c r="F57">
        <f>MIN(Table329[[#This Row],[GWh/d '[capacity map']]:[GWh/d '[transparency map']]])*365</f>
        <v>70554.5</v>
      </c>
      <c r="G57">
        <f t="shared" si="0"/>
        <v>70.554500000000004</v>
      </c>
    </row>
    <row r="58" spans="1:8">
      <c r="A58" t="s">
        <v>21</v>
      </c>
      <c r="B58" t="s">
        <v>22</v>
      </c>
      <c r="C58">
        <v>428.5</v>
      </c>
      <c r="F58">
        <f>MIN(Table329[[#This Row],[GWh/d '[capacity map']]:[GWh/d '[transparency map']]])*365</f>
        <v>156402.5</v>
      </c>
      <c r="G58">
        <f t="shared" si="0"/>
        <v>156.4025</v>
      </c>
    </row>
    <row r="59" spans="1:8">
      <c r="A59" t="s">
        <v>21</v>
      </c>
      <c r="B59" t="s">
        <v>23</v>
      </c>
      <c r="C59">
        <v>28.3</v>
      </c>
      <c r="F59">
        <f>MIN(Table329[[#This Row],[GWh/d '[capacity map']]:[GWh/d '[transparency map']]])*365</f>
        <v>10329.5</v>
      </c>
      <c r="G59">
        <f t="shared" si="0"/>
        <v>10.329499999999999</v>
      </c>
    </row>
    <row r="60" spans="1:8">
      <c r="A60" t="s">
        <v>34</v>
      </c>
      <c r="B60" t="s">
        <v>35</v>
      </c>
      <c r="C60">
        <v>67.599999999999994</v>
      </c>
      <c r="F60">
        <f>MIN(Table329[[#This Row],[GWh/d '[capacity map']]:[GWh/d '[transparency map']]])*365</f>
        <v>24673.999999999996</v>
      </c>
      <c r="G60">
        <f t="shared" si="0"/>
        <v>24.673999999999996</v>
      </c>
    </row>
    <row r="61" spans="1:8">
      <c r="A61" t="s">
        <v>34</v>
      </c>
      <c r="B61" t="s">
        <v>40</v>
      </c>
      <c r="C61">
        <v>114.2</v>
      </c>
      <c r="F61">
        <f>MIN(Table329[[#This Row],[GWh/d '[capacity map']]:[GWh/d '[transparency map']]])*365</f>
        <v>41683</v>
      </c>
      <c r="G61">
        <f t="shared" si="0"/>
        <v>41.683</v>
      </c>
    </row>
    <row r="62" spans="1:8">
      <c r="A62" t="s">
        <v>42</v>
      </c>
      <c r="B62" t="s">
        <v>17</v>
      </c>
      <c r="E62" s="19">
        <v>41.973541999999995</v>
      </c>
      <c r="F62">
        <f>MIN(Table329[[#This Row],[GWh/d '[capacity map']]:[GWh/d '[transparency map']]])*365</f>
        <v>15320.342829999998</v>
      </c>
      <c r="G62">
        <f t="shared" si="0"/>
        <v>15.320342829999998</v>
      </c>
      <c r="H62" t="s">
        <v>320</v>
      </c>
    </row>
    <row r="63" spans="1:8">
      <c r="A63" t="s">
        <v>35</v>
      </c>
      <c r="B63" t="s">
        <v>53</v>
      </c>
      <c r="C63">
        <v>168</v>
      </c>
      <c r="F63">
        <f>MIN(Table329[[#This Row],[GWh/d '[capacity map']]:[GWh/d '[transparency map']]])*365</f>
        <v>61320</v>
      </c>
      <c r="G63">
        <f t="shared" si="0"/>
        <v>61.32</v>
      </c>
    </row>
    <row r="64" spans="1:8">
      <c r="A64" t="s">
        <v>35</v>
      </c>
      <c r="B64" t="s">
        <v>34</v>
      </c>
      <c r="C64">
        <v>65.099999999999994</v>
      </c>
      <c r="F64">
        <f>MIN(Table329[[#This Row],[GWh/d '[capacity map']]:[GWh/d '[transparency map']]])*365</f>
        <v>23761.499999999996</v>
      </c>
      <c r="G64">
        <f t="shared" si="0"/>
        <v>23.761499999999998</v>
      </c>
    </row>
    <row r="65" spans="1:8">
      <c r="A65" t="s">
        <v>35</v>
      </c>
      <c r="B65" t="s">
        <v>40</v>
      </c>
      <c r="D65">
        <v>118</v>
      </c>
      <c r="E65"/>
      <c r="F65">
        <f>MIN(Table329[[#This Row],[GWh/d '[capacity map']]:[GWh/d '[transparency map']]])*365</f>
        <v>43070</v>
      </c>
      <c r="G65">
        <f t="shared" si="0"/>
        <v>43.07</v>
      </c>
      <c r="H65" t="s">
        <v>320</v>
      </c>
    </row>
    <row r="66" spans="1:8">
      <c r="A66" t="s">
        <v>51</v>
      </c>
      <c r="B66" t="s">
        <v>21</v>
      </c>
      <c r="C66">
        <v>499</v>
      </c>
      <c r="F66">
        <f>MIN(Table329[[#This Row],[GWh/d '[capacity map']]:[GWh/d '[transparency map']]])*365</f>
        <v>182135</v>
      </c>
      <c r="G66">
        <f t="shared" ref="G66:G109" si="1">F66/1000</f>
        <v>182.13499999999999</v>
      </c>
    </row>
    <row r="67" spans="1:8">
      <c r="A67" t="s">
        <v>96</v>
      </c>
      <c r="B67" t="s">
        <v>36</v>
      </c>
      <c r="D67">
        <v>442.8</v>
      </c>
      <c r="E67"/>
      <c r="F67">
        <f>MIN(Table329[[#This Row],[GWh/d '[capacity map']]:[GWh/d '[transparency map']]])*365</f>
        <v>161622</v>
      </c>
      <c r="G67">
        <f t="shared" si="1"/>
        <v>161.62200000000001</v>
      </c>
      <c r="H67" t="s">
        <v>320</v>
      </c>
    </row>
    <row r="68" spans="1:8">
      <c r="A68" t="s">
        <v>39</v>
      </c>
      <c r="B68" t="s">
        <v>33</v>
      </c>
      <c r="C68">
        <v>0</v>
      </c>
      <c r="F68">
        <f>MIN(Table329[[#This Row],[GWh/d '[capacity map']]:[GWh/d '[transparency map']]])*365</f>
        <v>0</v>
      </c>
      <c r="G68">
        <f t="shared" si="1"/>
        <v>0</v>
      </c>
    </row>
    <row r="69" spans="1:8">
      <c r="A69" t="s">
        <v>39</v>
      </c>
      <c r="B69" t="s">
        <v>38</v>
      </c>
      <c r="D69"/>
      <c r="E69">
        <v>80.846503979999994</v>
      </c>
      <c r="F69">
        <f>MIN(Table329[[#This Row],[GWh/d '[capacity map']]:[GWh/d '[transparency map']]])*365</f>
        <v>29508.973952699998</v>
      </c>
      <c r="G69">
        <f t="shared" si="1"/>
        <v>29.5089739527</v>
      </c>
      <c r="H69" t="s">
        <v>321</v>
      </c>
    </row>
    <row r="70" spans="1:8">
      <c r="A70" t="s">
        <v>18</v>
      </c>
      <c r="B70" t="s">
        <v>17</v>
      </c>
      <c r="C70">
        <v>1436.831788</v>
      </c>
      <c r="F70">
        <f>MIN(Table329[[#This Row],[GWh/d '[capacity map']]:[GWh/d '[transparency map']]])*365</f>
        <v>524443.60262000002</v>
      </c>
      <c r="G70">
        <f t="shared" si="1"/>
        <v>524.44360261999998</v>
      </c>
    </row>
    <row r="71" spans="1:8">
      <c r="A71" t="s">
        <v>18</v>
      </c>
      <c r="B71" t="s">
        <v>19</v>
      </c>
      <c r="C71">
        <v>1511.8433379999999</v>
      </c>
      <c r="F71">
        <f>MIN(Table329[[#This Row],[GWh/d '[capacity map']]:[GWh/d '[transparency map']]])*365</f>
        <v>551822.81836999999</v>
      </c>
      <c r="G71">
        <f t="shared" si="1"/>
        <v>551.82281837000005</v>
      </c>
    </row>
    <row r="72" spans="1:8">
      <c r="A72" t="s">
        <v>18</v>
      </c>
      <c r="B72" t="s">
        <v>11</v>
      </c>
      <c r="C72">
        <v>0</v>
      </c>
      <c r="F72">
        <f>MIN(Table329[[#This Row],[GWh/d '[capacity map']]:[GWh/d '[transparency map']]])*365</f>
        <v>0</v>
      </c>
      <c r="G72">
        <f t="shared" si="1"/>
        <v>0</v>
      </c>
    </row>
    <row r="73" spans="1:8">
      <c r="A73" t="s">
        <v>48</v>
      </c>
      <c r="B73" t="s">
        <v>17</v>
      </c>
      <c r="C73">
        <v>488</v>
      </c>
      <c r="F73">
        <f>MIN(Table329[[#This Row],[GWh/d '[capacity map']]:[GWh/d '[transparency map']]])*365</f>
        <v>178120</v>
      </c>
      <c r="G73">
        <f t="shared" si="1"/>
        <v>178.12</v>
      </c>
    </row>
    <row r="74" spans="1:8">
      <c r="A74" t="s">
        <v>48</v>
      </c>
      <c r="B74" t="s">
        <v>19</v>
      </c>
      <c r="C74">
        <v>1904.258</v>
      </c>
      <c r="F74">
        <f>MIN(Table329[[#This Row],[GWh/d '[capacity map']]:[GWh/d '[transparency map']]])*365</f>
        <v>695054.17</v>
      </c>
      <c r="G74">
        <f t="shared" si="1"/>
        <v>695.05417</v>
      </c>
    </row>
    <row r="75" spans="1:8">
      <c r="A75" t="s">
        <v>48</v>
      </c>
      <c r="B75" t="s">
        <v>25</v>
      </c>
      <c r="C75">
        <v>570</v>
      </c>
      <c r="F75">
        <f>MIN(Table329[[#This Row],[GWh/d '[capacity map']]:[GWh/d '[transparency map']]])*365</f>
        <v>208050</v>
      </c>
      <c r="G75">
        <f t="shared" si="1"/>
        <v>208.05</v>
      </c>
    </row>
    <row r="76" spans="1:8">
      <c r="A76" t="s">
        <v>48</v>
      </c>
      <c r="B76" t="s">
        <v>18</v>
      </c>
      <c r="D76">
        <v>963.6</v>
      </c>
      <c r="E76"/>
      <c r="F76">
        <f>MIN(Table329[[#This Row],[GWh/d '[capacity map']]:[GWh/d '[transparency map']]])*365</f>
        <v>351714</v>
      </c>
      <c r="G76">
        <f t="shared" si="1"/>
        <v>351.714</v>
      </c>
      <c r="H76" t="s">
        <v>320</v>
      </c>
    </row>
    <row r="77" spans="1:8">
      <c r="A77" t="s">
        <v>48</v>
      </c>
      <c r="B77" t="s">
        <v>11</v>
      </c>
      <c r="C77">
        <v>1499.1</v>
      </c>
      <c r="D77"/>
      <c r="E77"/>
      <c r="F77">
        <f>MIN(Table329[[#This Row],[GWh/d '[capacity map']]:[GWh/d '[transparency map']]])*365</f>
        <v>547171.5</v>
      </c>
      <c r="G77">
        <f t="shared" si="1"/>
        <v>547.17150000000004</v>
      </c>
    </row>
    <row r="78" spans="1:8">
      <c r="A78" t="s">
        <v>27</v>
      </c>
      <c r="B78" t="s">
        <v>19</v>
      </c>
      <c r="C78">
        <v>931.6</v>
      </c>
      <c r="F78">
        <f>MIN(Table329[[#This Row],[GWh/d '[capacity map']]:[GWh/d '[transparency map']]])*365</f>
        <v>340034</v>
      </c>
      <c r="G78">
        <f t="shared" si="1"/>
        <v>340.03399999999999</v>
      </c>
    </row>
    <row r="79" spans="1:8">
      <c r="A79" t="s">
        <v>37</v>
      </c>
      <c r="B79" t="s">
        <v>36</v>
      </c>
      <c r="C79">
        <v>80</v>
      </c>
      <c r="F79">
        <f>MIN(Table329[[#This Row],[GWh/d '[capacity map']]:[GWh/d '[transparency map']]])*365</f>
        <v>29200</v>
      </c>
      <c r="G79">
        <f t="shared" si="1"/>
        <v>29.2</v>
      </c>
    </row>
    <row r="80" spans="1:8">
      <c r="A80" t="s">
        <v>33</v>
      </c>
      <c r="B80" t="s">
        <v>32</v>
      </c>
      <c r="C80">
        <v>730.5</v>
      </c>
      <c r="F80">
        <f>MIN(Table329[[#This Row],[GWh/d '[capacity map']]:[GWh/d '[transparency map']]])*365</f>
        <v>266632.5</v>
      </c>
      <c r="G80">
        <f t="shared" si="1"/>
        <v>266.63249999999999</v>
      </c>
    </row>
    <row r="81" spans="1:8">
      <c r="A81" t="s">
        <v>33</v>
      </c>
      <c r="B81" t="s">
        <v>30</v>
      </c>
      <c r="C81">
        <v>2.5</v>
      </c>
      <c r="F81">
        <f>MIN(Table329[[#This Row],[GWh/d '[capacity map']]:[GWh/d '[transparency map']]])*365</f>
        <v>912.5</v>
      </c>
      <c r="G81">
        <f t="shared" si="1"/>
        <v>0.91249999999999998</v>
      </c>
    </row>
    <row r="82" spans="1:8">
      <c r="A82" t="s">
        <v>33</v>
      </c>
      <c r="B82" t="s">
        <v>39</v>
      </c>
      <c r="C82">
        <v>1.3</v>
      </c>
      <c r="F82">
        <f>MIN(Table329[[#This Row],[GWh/d '[capacity map']]:[GWh/d '[transparency map']]])*365</f>
        <v>474.5</v>
      </c>
      <c r="G82">
        <f t="shared" si="1"/>
        <v>0.47449999999999998</v>
      </c>
    </row>
    <row r="83" spans="1:8">
      <c r="A83" t="s">
        <v>33</v>
      </c>
      <c r="B83" t="s">
        <v>38</v>
      </c>
      <c r="C83">
        <v>0</v>
      </c>
      <c r="F83">
        <f>MIN(Table329[[#This Row],[GWh/d '[capacity map']]:[GWh/d '[transparency map']]])*365</f>
        <v>0</v>
      </c>
      <c r="G83">
        <f t="shared" si="1"/>
        <v>0</v>
      </c>
    </row>
    <row r="84" spans="1:8">
      <c r="A84" t="s">
        <v>31</v>
      </c>
      <c r="B84" t="s">
        <v>44</v>
      </c>
      <c r="C84">
        <v>17.98</v>
      </c>
      <c r="F84">
        <f>MIN(Table329[[#This Row],[GWh/d '[capacity map']]:[GWh/d '[transparency map']]])*365</f>
        <v>6562.7</v>
      </c>
      <c r="G84">
        <f t="shared" si="1"/>
        <v>6.5626999999999995</v>
      </c>
    </row>
    <row r="85" spans="1:8">
      <c r="A85" t="s">
        <v>31</v>
      </c>
      <c r="B85" t="s">
        <v>32</v>
      </c>
      <c r="C85">
        <v>0</v>
      </c>
      <c r="F85">
        <f>MIN(Table329[[#This Row],[GWh/d '[capacity map']]:[GWh/d '[transparency map']]])*365</f>
        <v>0</v>
      </c>
      <c r="G85">
        <f t="shared" si="1"/>
        <v>0</v>
      </c>
    </row>
    <row r="86" spans="1:8">
      <c r="A86" t="s">
        <v>31</v>
      </c>
      <c r="B86" t="s">
        <v>30</v>
      </c>
      <c r="C86">
        <v>0</v>
      </c>
      <c r="D86"/>
      <c r="E86"/>
      <c r="F86">
        <f>MIN(Table329[[#This Row],[GWh/d '[capacity map']]:[GWh/d '[transparency map']]])*365</f>
        <v>0</v>
      </c>
      <c r="G86">
        <f t="shared" si="1"/>
        <v>0</v>
      </c>
    </row>
    <row r="87" spans="1:8">
      <c r="A87" t="s">
        <v>40</v>
      </c>
      <c r="B87" t="s">
        <v>52</v>
      </c>
      <c r="C87">
        <v>0</v>
      </c>
      <c r="F87">
        <f>MIN(Table329[[#This Row],[GWh/d '[capacity map']]:[GWh/d '[transparency map']]])*365</f>
        <v>0</v>
      </c>
      <c r="G87">
        <f t="shared" si="1"/>
        <v>0</v>
      </c>
    </row>
    <row r="88" spans="1:8">
      <c r="A88" t="s">
        <v>40</v>
      </c>
      <c r="B88" t="s">
        <v>19</v>
      </c>
      <c r="C88">
        <v>1742</v>
      </c>
      <c r="F88">
        <f>MIN(Table329[[#This Row],[GWh/d '[capacity map']]:[GWh/d '[transparency map']]])*365</f>
        <v>635830</v>
      </c>
      <c r="G88">
        <f t="shared" si="1"/>
        <v>635.83000000000004</v>
      </c>
    </row>
    <row r="89" spans="1:8">
      <c r="A89" t="s">
        <v>40</v>
      </c>
      <c r="B89" t="s">
        <v>54</v>
      </c>
      <c r="C89">
        <v>220</v>
      </c>
      <c r="D89"/>
      <c r="E89"/>
      <c r="F89">
        <f>MIN(Table329[[#This Row],[GWh/d '[capacity map']]:[GWh/d '[transparency map']]])*365</f>
        <v>80300</v>
      </c>
      <c r="G89">
        <f t="shared" si="1"/>
        <v>80.3</v>
      </c>
    </row>
    <row r="90" spans="1:8">
      <c r="A90" t="s">
        <v>40</v>
      </c>
      <c r="B90" t="s">
        <v>35</v>
      </c>
      <c r="D90">
        <v>168</v>
      </c>
      <c r="E90"/>
      <c r="F90">
        <f>MIN(Table329[[#This Row],[GWh/d '[capacity map']]:[GWh/d '[transparency map']]])*365</f>
        <v>61320</v>
      </c>
      <c r="G90">
        <f t="shared" si="1"/>
        <v>61.32</v>
      </c>
    </row>
    <row r="91" spans="1:8">
      <c r="A91" t="s">
        <v>40</v>
      </c>
      <c r="B91" t="s">
        <v>46</v>
      </c>
      <c r="E91" s="19">
        <f>16*9.77</f>
        <v>156.32</v>
      </c>
      <c r="F91">
        <f>MIN(Table329[[#This Row],[GWh/d '[capacity map']]:[GWh/d '[transparency map']]])*365</f>
        <v>57056.799999999996</v>
      </c>
      <c r="G91">
        <f t="shared" si="1"/>
        <v>57.056799999999996</v>
      </c>
      <c r="H91" t="s">
        <v>323</v>
      </c>
    </row>
    <row r="92" spans="1:8">
      <c r="A92" t="s">
        <v>40</v>
      </c>
      <c r="B92" t="s">
        <v>38</v>
      </c>
      <c r="D92"/>
      <c r="E92">
        <v>5459.5088498999994</v>
      </c>
      <c r="F92">
        <f>MIN(Table329[[#This Row],[GWh/d '[capacity map']]:[GWh/d '[transparency map']]])*365</f>
        <v>1992720.7302134999</v>
      </c>
      <c r="G92">
        <f t="shared" si="1"/>
        <v>1992.7207302134998</v>
      </c>
      <c r="H92" t="s">
        <v>322</v>
      </c>
    </row>
    <row r="93" spans="1:8">
      <c r="A93" t="s">
        <v>23</v>
      </c>
      <c r="B93" t="s">
        <v>24</v>
      </c>
      <c r="C93">
        <v>53.7</v>
      </c>
      <c r="F93">
        <f>MIN(Table329[[#This Row],[GWh/d '[capacity map']]:[GWh/d '[transparency map']]])*365</f>
        <v>19600.5</v>
      </c>
      <c r="G93">
        <f t="shared" si="1"/>
        <v>19.6005</v>
      </c>
    </row>
    <row r="94" spans="1:8">
      <c r="A94" t="s">
        <v>23</v>
      </c>
      <c r="B94" t="s">
        <v>21</v>
      </c>
      <c r="C94">
        <v>21.4</v>
      </c>
      <c r="F94">
        <f>MIN(Table329[[#This Row],[GWh/d '[capacity map']]:[GWh/d '[transparency map']]])*365</f>
        <v>7810.9999999999991</v>
      </c>
      <c r="G94">
        <f t="shared" si="1"/>
        <v>7.8109999999999991</v>
      </c>
    </row>
    <row r="95" spans="1:8">
      <c r="A95" t="s">
        <v>29</v>
      </c>
      <c r="B95" t="s">
        <v>20</v>
      </c>
      <c r="C95">
        <v>1708.7</v>
      </c>
      <c r="F95">
        <f>MIN(Table329[[#This Row],[GWh/d '[capacity map']]:[GWh/d '[transparency map']]])*365</f>
        <v>623675.5</v>
      </c>
      <c r="G95">
        <f t="shared" si="1"/>
        <v>623.67550000000006</v>
      </c>
    </row>
    <row r="96" spans="1:8">
      <c r="A96" t="s">
        <v>29</v>
      </c>
      <c r="B96" t="s">
        <v>28</v>
      </c>
      <c r="C96">
        <v>474.74</v>
      </c>
      <c r="F96">
        <f>MIN(Table329[[#This Row],[GWh/d '[capacity map']]:[GWh/d '[transparency map']]])*365</f>
        <v>173280.1</v>
      </c>
      <c r="G96">
        <f t="shared" si="1"/>
        <v>173.2801</v>
      </c>
    </row>
    <row r="97" spans="1:8">
      <c r="A97" t="s">
        <v>29</v>
      </c>
      <c r="B97" t="s">
        <v>30</v>
      </c>
      <c r="C97">
        <v>126.965</v>
      </c>
      <c r="F97">
        <f>MIN(Table329[[#This Row],[GWh/d '[capacity map']]:[GWh/d '[transparency map']]])*365</f>
        <v>46342.224999999999</v>
      </c>
      <c r="G97">
        <f t="shared" si="1"/>
        <v>46.342224999999999</v>
      </c>
    </row>
    <row r="98" spans="1:8">
      <c r="A98" t="s">
        <v>29</v>
      </c>
      <c r="B98" t="s">
        <v>38</v>
      </c>
      <c r="C98">
        <v>416</v>
      </c>
      <c r="D98"/>
      <c r="E98"/>
      <c r="F98">
        <f>MIN(Table329[[#This Row],[GWh/d '[capacity map']]:[GWh/d '[transparency map']]])*365</f>
        <v>151840</v>
      </c>
      <c r="G98">
        <f t="shared" si="1"/>
        <v>151.84</v>
      </c>
    </row>
    <row r="99" spans="1:8">
      <c r="A99" t="s">
        <v>50</v>
      </c>
      <c r="B99" t="s">
        <v>21</v>
      </c>
      <c r="D99">
        <v>1154</v>
      </c>
      <c r="E99"/>
      <c r="F99">
        <f>MIN(Table329[[#This Row],[GWh/d '[capacity map']]:[GWh/d '[transparency map']]])*365</f>
        <v>421210</v>
      </c>
      <c r="G99">
        <f t="shared" si="1"/>
        <v>421.21</v>
      </c>
    </row>
    <row r="100" spans="1:8">
      <c r="A100" t="s">
        <v>46</v>
      </c>
      <c r="B100" t="s">
        <v>32</v>
      </c>
      <c r="C100">
        <v>0</v>
      </c>
      <c r="D100"/>
      <c r="E100">
        <f>27*9.77</f>
        <v>263.78999999999996</v>
      </c>
      <c r="F100">
        <f>MIN(Table329[[#This Row],[GWh/d '[capacity map']]:[GWh/d '[transparency map']]])*365</f>
        <v>0</v>
      </c>
      <c r="G100">
        <f t="shared" si="1"/>
        <v>0</v>
      </c>
      <c r="H100" t="s">
        <v>324</v>
      </c>
    </row>
    <row r="101" spans="1:8">
      <c r="A101" t="s">
        <v>46</v>
      </c>
      <c r="B101" t="s">
        <v>264</v>
      </c>
      <c r="D101">
        <f>395-10*9.77</f>
        <v>297.3</v>
      </c>
      <c r="E101"/>
      <c r="F101">
        <f>MIN(Table329[[#This Row],[GWh/d '[capacity map']]:[GWh/d '[transparency map']]])*365</f>
        <v>108514.5</v>
      </c>
      <c r="G101">
        <f t="shared" si="1"/>
        <v>108.5145</v>
      </c>
      <c r="H101" t="s">
        <v>325</v>
      </c>
    </row>
    <row r="102" spans="1:8">
      <c r="A102" t="s">
        <v>38</v>
      </c>
      <c r="B102" t="s">
        <v>30</v>
      </c>
      <c r="C102">
        <v>516.6</v>
      </c>
      <c r="D102"/>
      <c r="E102"/>
      <c r="F102">
        <f>MIN(Table329[[#This Row],[GWh/d '[capacity map']]:[GWh/d '[transparency map']]])*365</f>
        <v>188559</v>
      </c>
      <c r="G102">
        <f t="shared" si="1"/>
        <v>188.559</v>
      </c>
    </row>
    <row r="103" spans="1:8">
      <c r="A103" t="s">
        <v>38</v>
      </c>
      <c r="B103" t="s">
        <v>39</v>
      </c>
      <c r="D103"/>
      <c r="E103">
        <v>255.46047452000005</v>
      </c>
      <c r="F103">
        <f>MIN(Table329[[#This Row],[GWh/d '[capacity map']]:[GWh/d '[transparency map']]])*365</f>
        <v>93243.073199800012</v>
      </c>
      <c r="G103">
        <f t="shared" si="1"/>
        <v>93.243073199800008</v>
      </c>
      <c r="H103" t="s">
        <v>320</v>
      </c>
    </row>
    <row r="104" spans="1:8">
      <c r="A104" t="s">
        <v>38</v>
      </c>
      <c r="B104" t="s">
        <v>27</v>
      </c>
      <c r="C104">
        <v>135.6</v>
      </c>
      <c r="F104">
        <f>MIN(Table329[[#This Row],[GWh/d '[capacity map']]:[GWh/d '[transparency map']]])*365</f>
        <v>49494</v>
      </c>
      <c r="G104">
        <f t="shared" si="1"/>
        <v>49.494</v>
      </c>
    </row>
    <row r="105" spans="1:8">
      <c r="A105" t="s">
        <v>38</v>
      </c>
      <c r="B105" t="s">
        <v>33</v>
      </c>
      <c r="C105">
        <v>1114.0999999999999</v>
      </c>
      <c r="F105">
        <f>MIN(Table329[[#This Row],[GWh/d '[capacity map']]:[GWh/d '[transparency map']]])*365</f>
        <v>406646.49999999994</v>
      </c>
      <c r="G105">
        <f t="shared" si="1"/>
        <v>406.64649999999995</v>
      </c>
      <c r="H105" t="s">
        <v>326</v>
      </c>
    </row>
    <row r="106" spans="1:8">
      <c r="A106" t="s">
        <v>38</v>
      </c>
      <c r="B106" t="s">
        <v>29</v>
      </c>
      <c r="C106">
        <v>2277.6</v>
      </c>
      <c r="F106">
        <f>MIN(Table329[[#This Row],[GWh/d '[capacity map']]:[GWh/d '[transparency map']]])*365</f>
        <v>831324</v>
      </c>
      <c r="G106">
        <f t="shared" si="1"/>
        <v>831.32399999999996</v>
      </c>
    </row>
    <row r="107" spans="1:8">
      <c r="A107" t="s">
        <v>11</v>
      </c>
      <c r="B107" t="s">
        <v>17</v>
      </c>
      <c r="C107">
        <v>651.70000000000005</v>
      </c>
      <c r="F107">
        <f>MIN(Table329[[#This Row],[GWh/d '[capacity map']]:[GWh/d '[transparency map']]])*365</f>
        <v>237870.50000000003</v>
      </c>
      <c r="G107">
        <f t="shared" si="1"/>
        <v>237.87050000000002</v>
      </c>
    </row>
    <row r="108" spans="1:8">
      <c r="A108" t="s">
        <v>11</v>
      </c>
      <c r="B108" t="s">
        <v>43</v>
      </c>
      <c r="C108">
        <v>476.2</v>
      </c>
      <c r="F108">
        <f>MIN(Table329[[#This Row],[GWh/d '[capacity map']]:[GWh/d '[transparency map']]])*365</f>
        <v>173813</v>
      </c>
      <c r="G108">
        <f t="shared" si="1"/>
        <v>173.81299999999999</v>
      </c>
    </row>
    <row r="109" spans="1:8">
      <c r="A109" t="s">
        <v>11</v>
      </c>
      <c r="B109" t="s">
        <v>18</v>
      </c>
      <c r="D109">
        <v>184.8</v>
      </c>
      <c r="E109"/>
      <c r="F109">
        <f>MIN(Table329[[#This Row],[GWh/d '[capacity map']]:[GWh/d '[transparency map']]])*365</f>
        <v>67452</v>
      </c>
      <c r="G109">
        <f t="shared" si="1"/>
        <v>67.451999999999998</v>
      </c>
      <c r="H109" t="s">
        <v>320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workbookViewId="0">
      <selection activeCell="E13" sqref="E13"/>
    </sheetView>
  </sheetViews>
  <sheetFormatPr defaultColWidth="9" defaultRowHeight="14.5"/>
  <cols>
    <col min="1" max="1" width="7.6328125" bestFit="1" customWidth="1"/>
    <col min="2" max="2" width="5.453125" bestFit="1" customWidth="1"/>
    <col min="3" max="3" width="21.1796875" bestFit="1" customWidth="1"/>
    <col min="4" max="4" width="21.453125" bestFit="1" customWidth="1"/>
    <col min="5" max="5" width="25" bestFit="1" customWidth="1"/>
    <col min="6" max="7" width="12.1796875" bestFit="1" customWidth="1"/>
    <col min="8" max="8" width="45" bestFit="1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workbookViewId="0">
      <selection activeCell="D12" sqref="D12"/>
    </sheetView>
  </sheetViews>
  <sheetFormatPr defaultColWidth="8.81640625"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76F9-722D-4157-A59B-8345FC848DDC}">
  <dimension ref="A1:H116"/>
  <sheetViews>
    <sheetView topLeftCell="A70" workbookViewId="0">
      <selection activeCell="I73" sqref="I73"/>
    </sheetView>
  </sheetViews>
  <sheetFormatPr defaultColWidth="8.81640625"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MIN(Table3722[[#This Row],[GWh/d '[capacity map']]:[GWh/d '[transparency map']]])*365</f>
        <v>180430.44999999998</v>
      </c>
      <c r="G2">
        <f t="shared" ref="G2:G65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MIN(Table3722[[#This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MIN(Table3722[[#This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MIN(Table3722[[#This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MIN(Table3722[[#This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MIN(Table3722[[#This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MIN(Table3722[[#This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MIN(Table3722[[#This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MIN(Table3722[[#This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MIN(Table3722[[#This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MIN(Table3722[[#This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MIN(Table3722[[#This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MIN(Table3722[[#This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MIN(Table3722[[#This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MIN(Table3722[[#This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MIN(Table3722[[#This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MIN(Table3722[[#This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MIN(Table3722[[#This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MIN(Table3722[[#This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MIN(Table3722[[#This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MIN(Table3722[[#This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MIN(Table3722[[#This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MIN(Table3722[[#This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MIN(Table3722[[#This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MIN(Table3722[[#This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MIN(Table3722[[#This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MIN(Table3722[[#This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MIN(Table3722[[#This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MIN(Table3722[[#This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MIN(Table3722[[#This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MIN(Table3722[[#This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MIN(Table3722[[#This Row],[GWh/d '[capacity map']]:[GWh/d '[transparency map']]])*365</f>
        <v>8760</v>
      </c>
      <c r="G33">
        <f t="shared" si="0"/>
        <v>8.76</v>
      </c>
    </row>
    <row r="34" spans="1:8">
      <c r="A34" t="s">
        <v>19</v>
      </c>
      <c r="B34" t="s">
        <v>18</v>
      </c>
      <c r="C34">
        <v>1513.9</v>
      </c>
      <c r="F34">
        <f>MIN(Table3722[[#This Row],[GWh/d '[capacity map']]:[GWh/d '[transparency map']]])*365</f>
        <v>552573.5</v>
      </c>
      <c r="G34">
        <f t="shared" si="0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MIN(Table3722[[#This Row],[GWh/d '[capacity map']]:[GWh/d '[transparency map']]])*365</f>
        <v>119092.2</v>
      </c>
      <c r="G35">
        <f t="shared" si="0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MIN(Table3722[[#This Row],[GWh/d '[capacity map']]:[GWh/d '[transparency map']]])*365</f>
        <v>5730.5</v>
      </c>
      <c r="G36">
        <f t="shared" si="0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MIN(Table3722[[#This Row],[GWh/d '[capacity map']]:[GWh/d '[transparency map']]])*365</f>
        <v>117384.00000000001</v>
      </c>
      <c r="G37">
        <f t="shared" si="0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MIN(Table3722[[#This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MIN(Table3722[[#This Row],[GWh/d '[capacity map']]:[GWh/d '[transparency map']]])*365</f>
        <v>10950</v>
      </c>
      <c r="G39">
        <f t="shared" si="0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MIN(Table3722[[#This Row],[GWh/d '[capacity map']]:[GWh/d '[transparency map']]])*365</f>
        <v>123041.50000000001</v>
      </c>
      <c r="G40">
        <f t="shared" si="0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MIN(Table3722[[#This Row],[GWh/d '[capacity map']]:[GWh/d '[transparency map']]])*365</f>
        <v>11650.800000000001</v>
      </c>
      <c r="G41">
        <f t="shared" si="0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MIN(Table3722[[#This Row],[GWh/d '[capacity map']]:[GWh/d '[transparency map']]])*365</f>
        <v>421381.55</v>
      </c>
      <c r="G42">
        <f t="shared" si="0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MIN(Table3722[[#This Row],[GWh/d '[capacity map']]:[GWh/d '[transparency map']]])*365</f>
        <v>22389.582165</v>
      </c>
      <c r="G43">
        <f t="shared" si="0"/>
        <v>22.389582165</v>
      </c>
    </row>
    <row r="44" spans="1:8">
      <c r="A44" t="s">
        <v>53</v>
      </c>
      <c r="B44" t="s">
        <v>35</v>
      </c>
      <c r="E44">
        <v>67.7</v>
      </c>
      <c r="F44">
        <f>MIN(Table3722[[#This Row],[GWh/d '[capacity map']]:[GWh/d '[transparency map']]])*365</f>
        <v>24710.5</v>
      </c>
      <c r="G44">
        <f t="shared" si="0"/>
        <v>24.7105</v>
      </c>
    </row>
    <row r="45" spans="1:8">
      <c r="A45" t="s">
        <v>264</v>
      </c>
      <c r="B45" t="s">
        <v>41</v>
      </c>
      <c r="C45">
        <v>487.1</v>
      </c>
      <c r="F45">
        <f>MIN(Table3722[[#This Row],[GWh/d '[capacity map']]:[GWh/d '[transparency map']]])*365</f>
        <v>177791.5</v>
      </c>
      <c r="G45">
        <f t="shared" si="0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MIN(Table3722[[#This Row],[GWh/d '[capacity map']]:[GWh/d '[transparency map']]])*365</f>
        <v>62988.049999999996</v>
      </c>
      <c r="G46">
        <f t="shared" si="0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MIN(Table3722[[#This Row],[GWh/d '[capacity map']]:[GWh/d '[transparency map']]])*365</f>
        <v>81906</v>
      </c>
      <c r="G47">
        <f t="shared" si="0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MIN(Table3722[[#This Row],[GWh/d '[capacity map']]:[GWh/d '[transparency map']]])*365</f>
        <v>52560</v>
      </c>
      <c r="G48">
        <f t="shared" si="0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MIN(Table3722[[#This Row],[GWh/d '[capacity map']]:[GWh/d '[transparency map']]])*365</f>
        <v>11972.821250000003</v>
      </c>
      <c r="G49">
        <f t="shared" si="0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MIN(Table3722[[#This Row],[GWh/d '[capacity map']]:[GWh/d '[transparency map']]])*365</f>
        <v>98550</v>
      </c>
      <c r="G50">
        <f t="shared" si="0"/>
        <v>98.55</v>
      </c>
    </row>
    <row r="51" spans="1:7">
      <c r="A51" t="s">
        <v>25</v>
      </c>
      <c r="B51" t="s">
        <v>22</v>
      </c>
      <c r="C51">
        <v>259.02</v>
      </c>
      <c r="F51">
        <f>MIN(Table3722[[#This Row],[GWh/d '[capacity map']]:[GWh/d '[transparency map']]])*365</f>
        <v>94542.299999999988</v>
      </c>
      <c r="G51">
        <f t="shared" si="0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MIN(Table3722[[#This Row],[GWh/d '[capacity map']]:[GWh/d '[transparency map']]])*365</f>
        <v>36500</v>
      </c>
      <c r="G52">
        <f t="shared" si="0"/>
        <v>36.5</v>
      </c>
    </row>
    <row r="53" spans="1:7">
      <c r="A53" t="s">
        <v>25</v>
      </c>
      <c r="B53" t="s">
        <v>36</v>
      </c>
      <c r="C53">
        <v>164.57</v>
      </c>
      <c r="F53">
        <f>MIN(Table3722[[#This Row],[GWh/d '[capacity map']]:[GWh/d '[transparency map']]])*365</f>
        <v>60068.049999999996</v>
      </c>
      <c r="G53">
        <f t="shared" si="0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MIN(Table3722[[#This Row],[GWh/d '[capacity map']]:[GWh/d '[transparency map']]])*365</f>
        <v>18578.5</v>
      </c>
      <c r="G54">
        <f t="shared" si="0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MIN(Table3722[[#This Row],[GWh/d '[capacity map']]:[GWh/d '[transparency map']]])*365</f>
        <v>2810.5</v>
      </c>
      <c r="G55">
        <f t="shared" si="0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MIN(Table3722[[#This Row],[GWh/d '[capacity map']]:[GWh/d '[transparency map']]])*365</f>
        <v>28178</v>
      </c>
      <c r="G56">
        <f t="shared" si="0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MIN(Table3722[[#This Row],[GWh/d '[capacity map']]:[GWh/d '[transparency map']]])*365</f>
        <v>28272.899999999998</v>
      </c>
      <c r="G57">
        <f t="shared" si="0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MIN(Table3722[[#This Row],[GWh/d '[capacity map']]:[GWh/d '[transparency map']]])*365</f>
        <v>51822.7</v>
      </c>
      <c r="G58">
        <f t="shared" si="0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MIN(Table3722[[#This Row],[GWh/d '[capacity map']]:[GWh/d '[transparency map']]])*365</f>
        <v>18571.2</v>
      </c>
      <c r="G59">
        <f t="shared" si="0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MIN(Table3722[[#This Row],[GWh/d '[capacity map']]:[GWh/d '[transparency map']]])*365</f>
        <v>70828.25</v>
      </c>
      <c r="G60">
        <f t="shared" si="0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MIN(Table3722[[#This Row],[GWh/d '[capacity map']]:[GWh/d '[transparency map']]])*365</f>
        <v>141565.25</v>
      </c>
      <c r="G61">
        <f t="shared" si="0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MIN(Table3722[[#This Row],[GWh/d '[capacity map']]:[GWh/d '[transparency map']]])*365</f>
        <v>14231.35</v>
      </c>
      <c r="G62">
        <f t="shared" si="0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MIN(Table3722[[#This Row],[GWh/d '[capacity map']]:[GWh/d '[transparency map']]])*365</f>
        <v>32850</v>
      </c>
      <c r="G63">
        <f t="shared" si="0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MIN(Table3722[[#This Row],[GWh/d '[capacity map']]:[GWh/d '[transparency map']]])*365</f>
        <v>21195.258000000002</v>
      </c>
      <c r="G64">
        <f t="shared" si="0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MIN(Table3722[[#This Row],[GWh/d '[capacity map']]:[GWh/d '[transparency map']]])*365</f>
        <v>0</v>
      </c>
      <c r="G65">
        <f t="shared" si="0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MIN(Table3722[[#This Row],[GWh/d '[capacity map']]:[GWh/d '[transparency map']]])*365</f>
        <v>15320.342829999998</v>
      </c>
      <c r="G66">
        <f t="shared" ref="G66:G116" si="1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MIN(Table3722[[#This Row],[GWh/d '[capacity map']]:[GWh/d '[transparency map']]])*365</f>
        <v>24710.5</v>
      </c>
      <c r="G67">
        <f t="shared" si="1"/>
        <v>24.7105</v>
      </c>
    </row>
    <row r="68" spans="1:8">
      <c r="A68" t="s">
        <v>35</v>
      </c>
      <c r="B68" t="s">
        <v>34</v>
      </c>
      <c r="C68">
        <v>82</v>
      </c>
      <c r="F68">
        <f>MIN(Table3722[[#This Row],[GWh/d '[capacity map']]:[GWh/d '[transparency map']]])*365</f>
        <v>29930</v>
      </c>
      <c r="G68">
        <f t="shared" si="1"/>
        <v>29.93</v>
      </c>
    </row>
    <row r="69" spans="1:8">
      <c r="A69" t="s">
        <v>35</v>
      </c>
      <c r="B69" t="s">
        <v>40</v>
      </c>
      <c r="D69">
        <v>0</v>
      </c>
      <c r="F69">
        <f>MIN(Table3722[[#This Row],[GWh/d '[capacity map']]:[GWh/d '[transparency map']]])*365</f>
        <v>0</v>
      </c>
      <c r="G69">
        <f t="shared" si="1"/>
        <v>0</v>
      </c>
    </row>
    <row r="70" spans="1:8">
      <c r="A70" t="s">
        <v>51</v>
      </c>
      <c r="B70" t="s">
        <v>21</v>
      </c>
      <c r="D70">
        <v>493.7</v>
      </c>
      <c r="F70">
        <f>MIN(Table3722[[#This Row],[GWh/d '[capacity map']]:[GWh/d '[transparency map']]])*365</f>
        <v>180200.5</v>
      </c>
      <c r="G70">
        <f t="shared" si="1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MIN(Table3722[[#This Row],[GWh/d '[capacity map']]:[GWh/d '[transparency map']]])*365</f>
        <v>11650.800000000001</v>
      </c>
      <c r="G71">
        <f t="shared" si="1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MIN(Table3722[[#This Row],[GWh/d '[capacity map']]:[GWh/d '[transparency map']]])*365</f>
        <v>803.00000000000011</v>
      </c>
      <c r="G72">
        <f t="shared" si="1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MIN(Table3722[[#This Row],[GWh/d '[capacity map']]:[GWh/d '[transparency map']]])*365</f>
        <v>29508.973952699998</v>
      </c>
      <c r="G73">
        <f t="shared" si="1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MIN(Table3722[[#This Row],[GWh/d '[capacity map']]:[GWh/d '[transparency map']]])*365</f>
        <v>506460.66143999994</v>
      </c>
      <c r="G74">
        <f t="shared" si="1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MIN(Table3722[[#This Row],[GWh/d '[capacity map']]:[GWh/d '[transparency map']]])*365</f>
        <v>674939.75000000012</v>
      </c>
      <c r="G75">
        <f t="shared" si="1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MIN(Table3722[[#This Row],[GWh/d '[capacity map']]:[GWh/d '[transparency map']]])*365</f>
        <v>180456</v>
      </c>
      <c r="G76">
        <f t="shared" si="1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MIN(Table3722[[#This Row],[GWh/d '[capacity map']]:[GWh/d '[transparency map']]])*365</f>
        <v>165418</v>
      </c>
      <c r="G77">
        <f t="shared" si="1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MIN(Table3722[[#This Row],[GWh/d '[capacity map']]:[GWh/d '[transparency map']]])*365</f>
        <v>447490</v>
      </c>
      <c r="G78">
        <f t="shared" si="1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MIN(Table3722[[#This Row],[GWh/d '[capacity map']]:[GWh/d '[transparency map']]])*365</f>
        <v>207502.5</v>
      </c>
      <c r="G79">
        <f t="shared" si="1"/>
        <v>207.5025</v>
      </c>
    </row>
    <row r="80" spans="1:8">
      <c r="A80" t="s">
        <v>48</v>
      </c>
      <c r="B80" t="s">
        <v>18</v>
      </c>
      <c r="D80">
        <v>963.6</v>
      </c>
      <c r="F80">
        <f>MIN(Table3722[[#This Row],[GWh/d '[capacity map']]:[GWh/d '[transparency map']]])*365</f>
        <v>351714</v>
      </c>
      <c r="G80">
        <f t="shared" si="1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MIN(Table3722[[#This Row],[GWh/d '[capacity map']]:[GWh/d '[transparency map']]])*365</f>
        <v>513190</v>
      </c>
      <c r="G81">
        <f t="shared" si="1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MIN(Table3722[[#This Row],[GWh/d '[capacity map']]:[GWh/d '[transparency map']]])*365</f>
        <v>32.85</v>
      </c>
      <c r="G82">
        <f t="shared" si="1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MIN(Table3722[[#This Row],[GWh/d '[capacity map']]:[GWh/d '[transparency map']]])*365</f>
        <v>33288</v>
      </c>
      <c r="G83">
        <f t="shared" si="1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MIN(Table3722[[#This Row],[GWh/d '[capacity map']]:[GWh/d '[transparency map']]])*365</f>
        <v>63488.1</v>
      </c>
      <c r="G84">
        <f t="shared" si="1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MIN(Table3722[[#This Row],[GWh/d '[capacity map']]:[GWh/d '[transparency map']]])*365</f>
        <v>29200</v>
      </c>
      <c r="G85">
        <f t="shared" si="1"/>
        <v>29.2</v>
      </c>
    </row>
    <row r="86" spans="1:7">
      <c r="A86" t="s">
        <v>33</v>
      </c>
      <c r="B86" t="s">
        <v>32</v>
      </c>
      <c r="C86">
        <v>231.417</v>
      </c>
      <c r="F86">
        <f>MIN(Table3722[[#This Row],[GWh/d '[capacity map']]:[GWh/d '[transparency map']]])*365</f>
        <v>84467.205000000002</v>
      </c>
      <c r="G86">
        <f t="shared" si="1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MIN(Table3722[[#This Row],[GWh/d '[capacity map']]:[GWh/d '[transparency map']]])*365</f>
        <v>26780.050000000003</v>
      </c>
      <c r="G87">
        <f t="shared" si="1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MIN(Table3722[[#This Row],[GWh/d '[capacity map']]:[GWh/d '[transparency map']]])*365</f>
        <v>20330.5</v>
      </c>
      <c r="G88">
        <f t="shared" si="1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MIN(Table3722[[#This Row],[GWh/d '[capacity map']]:[GWh/d '[transparency map']]])*365</f>
        <v>44603</v>
      </c>
      <c r="G89">
        <f t="shared" si="1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MIN(Table3722[[#This Row],[GWh/d '[capacity map']]:[GWh/d '[transparency map']]])*365</f>
        <v>5110</v>
      </c>
      <c r="G90">
        <f t="shared" si="1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MIN(Table3722[[#This Row],[GWh/d '[capacity map']]:[GWh/d '[transparency map']]])*365</f>
        <v>127790.88</v>
      </c>
      <c r="G91">
        <f t="shared" si="1"/>
        <v>127.79088</v>
      </c>
    </row>
    <row r="92" spans="1:7">
      <c r="A92" t="s">
        <v>31</v>
      </c>
      <c r="B92" t="s">
        <v>30</v>
      </c>
      <c r="D92">
        <v>245.8</v>
      </c>
      <c r="F92">
        <f>MIN(Table3722[[#This Row],[GWh/d '[capacity map']]:[GWh/d '[transparency map']]])*365</f>
        <v>89717</v>
      </c>
      <c r="G92">
        <f t="shared" si="1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MIN(Table3722[[#This Row],[GWh/d '[capacity map']]:[GWh/d '[transparency map']]])*365</f>
        <v>439277.49999999994</v>
      </c>
      <c r="G93">
        <f t="shared" si="1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MIN(Table3722[[#This Row],[GWh/d '[capacity map']]:[GWh/d '[transparency map']]])*365</f>
        <v>0</v>
      </c>
      <c r="G94">
        <f t="shared" si="1"/>
        <v>0</v>
      </c>
    </row>
    <row r="95" spans="1:7">
      <c r="A95" t="s">
        <v>40</v>
      </c>
      <c r="B95" t="s">
        <v>54</v>
      </c>
      <c r="D95">
        <v>0</v>
      </c>
      <c r="F95">
        <f>MIN(Table3722[[#This Row],[GWh/d '[capacity map']]:[GWh/d '[transparency map']]])*365</f>
        <v>0</v>
      </c>
      <c r="G95">
        <f t="shared" si="1"/>
        <v>0</v>
      </c>
    </row>
    <row r="96" spans="1:7">
      <c r="A96" t="s">
        <v>40</v>
      </c>
      <c r="B96" t="s">
        <v>35</v>
      </c>
      <c r="D96">
        <v>0</v>
      </c>
      <c r="F96">
        <f>MIN(Table3722[[#This Row],[GWh/d '[capacity map']]:[GWh/d '[transparency map']]])*365</f>
        <v>0</v>
      </c>
      <c r="G96">
        <f t="shared" si="1"/>
        <v>0</v>
      </c>
    </row>
    <row r="97" spans="1:8">
      <c r="A97" t="s">
        <v>40</v>
      </c>
      <c r="B97" t="s">
        <v>46</v>
      </c>
      <c r="E97">
        <v>958.9</v>
      </c>
      <c r="F97">
        <f>MIN(Table3722[[#This Row],[GWh/d '[capacity map']]:[GWh/d '[transparency map']]])*365</f>
        <v>349998.5</v>
      </c>
      <c r="G97">
        <f t="shared" si="1"/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MIN(Table3722[[#This Row],[GWh/d '[capacity map']]:[GWh/d '[transparency map']]])*365</f>
        <v>1992720.7302134999</v>
      </c>
      <c r="G98">
        <f t="shared" si="1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MIN(Table3722[[#This Row],[GWh/d '[capacity map']]:[GWh/d '[transparency map']]])*365</f>
        <v>19600.5</v>
      </c>
      <c r="G99">
        <f t="shared" si="1"/>
        <v>19.6005</v>
      </c>
    </row>
    <row r="100" spans="1:8">
      <c r="A100" t="s">
        <v>23</v>
      </c>
      <c r="B100" t="s">
        <v>21</v>
      </c>
      <c r="C100">
        <v>25.77</v>
      </c>
      <c r="F100">
        <f>MIN(Table3722[[#This Row],[GWh/d '[capacity map']]:[GWh/d '[transparency map']]])*365</f>
        <v>9406.0499999999993</v>
      </c>
      <c r="G100">
        <f t="shared" si="1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MIN(Table3722[[#This Row],[GWh/d '[capacity map']]:[GWh/d '[transparency map']]])*365</f>
        <v>623675.5</v>
      </c>
      <c r="G101">
        <f t="shared" si="1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MIN(Table3722[[#This Row],[GWh/d '[capacity map']]:[GWh/d '[transparency map']]])*365</f>
        <v>144248</v>
      </c>
      <c r="G102">
        <f t="shared" si="1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MIN(Table3722[[#This Row],[GWh/d '[capacity map']]:[GWh/d '[transparency map']]])*365</f>
        <v>47074.05</v>
      </c>
      <c r="G103">
        <f t="shared" si="1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MIN(Table3722[[#This Row],[GWh/d '[capacity map']]:[GWh/d '[transparency map']]])*365</f>
        <v>52743.96</v>
      </c>
      <c r="G104">
        <f t="shared" si="1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MIN(Table3722[[#This Row],[GWh/d '[capacity map']]:[GWh/d '[transparency map']]])*365</f>
        <v>102492</v>
      </c>
      <c r="G105">
        <f t="shared" si="1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MIN(Table3722[[#This Row],[GWh/d '[capacity map']]:[GWh/d '[transparency map']]])*365</f>
        <v>421210</v>
      </c>
      <c r="G106">
        <f t="shared" si="1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MIN(Table3722[[#This Row],[GWh/d '[capacity map']]:[GWh/d '[transparency map']]])*365</f>
        <v>210250.94999999998</v>
      </c>
      <c r="G107">
        <f t="shared" si="1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MIN(Table3722[[#This Row],[GWh/d '[capacity map']]:[GWh/d '[transparency map']]])*365</f>
        <v>145489</v>
      </c>
      <c r="G108">
        <f t="shared" si="1"/>
        <v>145.489</v>
      </c>
    </row>
    <row r="109" spans="1:8">
      <c r="A109" t="s">
        <v>38</v>
      </c>
      <c r="B109" t="s">
        <v>30</v>
      </c>
      <c r="D109">
        <v>84.77</v>
      </c>
      <c r="F109">
        <f>MIN(Table3722[[#This Row],[GWh/d '[capacity map']]:[GWh/d '[transparency map']]])*365</f>
        <v>30941.05</v>
      </c>
      <c r="G109">
        <f t="shared" si="1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MIN(Table3722[[#This Row],[GWh/d '[capacity map']]:[GWh/d '[transparency map']]])*365</f>
        <v>93243.073199800012</v>
      </c>
      <c r="G110">
        <f t="shared" si="1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MIN(Table3722[[#This Row],[GWh/d '[capacity map']]:[GWh/d '[transparency map']]])*365</f>
        <v>49494</v>
      </c>
      <c r="G111">
        <f t="shared" si="1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MIN(Table3722[[#This Row],[GWh/d '[capacity map']]:[GWh/d '[transparency map']]])*365</f>
        <v>0</v>
      </c>
      <c r="G112">
        <f t="shared" si="1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MIN(Table3722[[#This Row],[GWh/d '[capacity map']]:[GWh/d '[transparency map']]])*365</f>
        <v>91104</v>
      </c>
      <c r="G113">
        <f t="shared" si="1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MIN(Table3722[[#This Row],[GWh/d '[capacity map']]:[GWh/d '[transparency map']]])*365</f>
        <v>75153.5</v>
      </c>
      <c r="G114">
        <f t="shared" si="1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MIN(Table3722[[#This Row],[GWh/d '[capacity map']]:[GWh/d '[transparency map']]])*365</f>
        <v>140525</v>
      </c>
      <c r="G115">
        <f t="shared" si="1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MIN(Table3722[[#This Row],[GWh/d '[capacity map']]:[GWh/d '[transparency map']]])*365</f>
        <v>61320</v>
      </c>
      <c r="G116">
        <f t="shared" si="1"/>
        <v>61.32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ColWidth="8.81640625" defaultRowHeight="14.5"/>
  <cols>
    <col min="3" max="3" width="17.453125" customWidth="1"/>
    <col min="4" max="4" width="8.81640625" customWidth="1"/>
    <col min="6" max="6" width="16.1796875" customWidth="1"/>
    <col min="7" max="7" width="14.36328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E41D-075A-3044-98B8-5C9EF96DD632}">
  <dimension ref="A1:M161"/>
  <sheetViews>
    <sheetView workbookViewId="0">
      <selection activeCell="N27" sqref="N27"/>
    </sheetView>
  </sheetViews>
  <sheetFormatPr defaultColWidth="8.81640625" defaultRowHeight="14.5"/>
  <cols>
    <col min="3" max="3" width="21.81640625" customWidth="1"/>
    <col min="4" max="4" width="9" customWidth="1"/>
    <col min="6" max="6" width="16.453125" customWidth="1"/>
    <col min="7" max="7" width="15.453125" customWidth="1"/>
    <col min="9" max="9" width="13.1796875" bestFit="1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184</v>
      </c>
      <c r="B2" t="s">
        <v>186</v>
      </c>
      <c r="E2">
        <f t="shared" ref="E2:E33" si="0">D2/1000</f>
        <v>0</v>
      </c>
      <c r="F2">
        <v>3392</v>
      </c>
      <c r="G2">
        <f>LNG_global27[[#This Row],[Distance '[miles']]]*1.60934449789256</f>
        <v>5458.8965368515637</v>
      </c>
      <c r="I2" t="s">
        <v>238</v>
      </c>
      <c r="M2" t="s">
        <v>234</v>
      </c>
    </row>
    <row r="3" spans="1:13">
      <c r="A3" t="s">
        <v>184</v>
      </c>
      <c r="B3" t="s">
        <v>187</v>
      </c>
      <c r="E3">
        <f t="shared" si="0"/>
        <v>0</v>
      </c>
      <c r="F3">
        <v>9306</v>
      </c>
      <c r="G3">
        <f>LNG_global27[[#This Row],[Distance '[miles']]]*1.60934449789256</f>
        <v>14976.559897388162</v>
      </c>
      <c r="I3" t="s">
        <v>241</v>
      </c>
      <c r="M3" t="s">
        <v>235</v>
      </c>
    </row>
    <row r="4" spans="1:13">
      <c r="A4" t="s">
        <v>184</v>
      </c>
      <c r="B4" t="s">
        <v>188</v>
      </c>
      <c r="E4">
        <f t="shared" si="0"/>
        <v>0</v>
      </c>
      <c r="F4">
        <v>10752</v>
      </c>
      <c r="G4">
        <f>LNG_global27[[#This Row],[Distance '[miles']]]*1.60934449789256</f>
        <v>17303.672041340804</v>
      </c>
      <c r="I4" t="s">
        <v>242</v>
      </c>
      <c r="M4" t="s">
        <v>245</v>
      </c>
    </row>
    <row r="5" spans="1:13">
      <c r="A5" t="s">
        <v>184</v>
      </c>
      <c r="B5" t="s">
        <v>189</v>
      </c>
      <c r="E5">
        <f t="shared" si="0"/>
        <v>0</v>
      </c>
      <c r="F5">
        <v>7030</v>
      </c>
      <c r="G5">
        <f>LNG_global27[[#This Row],[Distance '[miles']]]*1.60934449789256</f>
        <v>11313.691820184697</v>
      </c>
      <c r="I5" t="s">
        <v>243</v>
      </c>
      <c r="M5" t="s">
        <v>246</v>
      </c>
    </row>
    <row r="6" spans="1:13">
      <c r="A6" t="s">
        <v>184</v>
      </c>
      <c r="B6" t="s">
        <v>190</v>
      </c>
      <c r="E6">
        <f t="shared" si="0"/>
        <v>0</v>
      </c>
      <c r="F6">
        <v>8808</v>
      </c>
      <c r="G6">
        <f>LNG_global27[[#This Row],[Distance '[miles']]]*1.60934449789256</f>
        <v>14175.106337437668</v>
      </c>
      <c r="I6" t="s">
        <v>244</v>
      </c>
      <c r="M6" t="s">
        <v>281</v>
      </c>
    </row>
    <row r="7" spans="1:13">
      <c r="A7" t="s">
        <v>184</v>
      </c>
      <c r="B7" t="s">
        <v>191</v>
      </c>
      <c r="E7">
        <f t="shared" si="0"/>
        <v>0</v>
      </c>
      <c r="F7">
        <v>5391</v>
      </c>
      <c r="G7">
        <f>LNG_global27[[#This Row],[Distance '[miles']]]*1.60934449789256</f>
        <v>8675.9761881387913</v>
      </c>
      <c r="H7" t="s">
        <v>212</v>
      </c>
      <c r="I7" t="s">
        <v>277</v>
      </c>
      <c r="M7" t="s">
        <v>248</v>
      </c>
    </row>
    <row r="8" spans="1:13">
      <c r="A8" t="s">
        <v>184</v>
      </c>
      <c r="B8" t="s">
        <v>200</v>
      </c>
      <c r="E8">
        <f t="shared" si="0"/>
        <v>0</v>
      </c>
      <c r="F8">
        <v>4348</v>
      </c>
      <c r="G8">
        <f>LNG_global27[[#This Row],[Distance '[miles']]]*1.60934449789256</f>
        <v>6997.4298768368508</v>
      </c>
      <c r="I8" t="s">
        <v>233</v>
      </c>
      <c r="M8" t="s">
        <v>283</v>
      </c>
    </row>
    <row r="9" spans="1:13">
      <c r="A9" t="s">
        <v>184</v>
      </c>
      <c r="B9" t="s">
        <v>201</v>
      </c>
      <c r="E9">
        <f t="shared" si="0"/>
        <v>0</v>
      </c>
      <c r="F9">
        <v>3980</v>
      </c>
      <c r="G9">
        <f>LNG_global27[[#This Row],[Distance '[miles']]]*1.60934449789256</f>
        <v>6405.1911016123886</v>
      </c>
      <c r="I9" t="s">
        <v>278</v>
      </c>
      <c r="M9" t="s">
        <v>250</v>
      </c>
    </row>
    <row r="10" spans="1:13">
      <c r="A10" t="s">
        <v>184</v>
      </c>
      <c r="B10" t="s">
        <v>267</v>
      </c>
      <c r="E10">
        <f t="shared" si="0"/>
        <v>0</v>
      </c>
      <c r="F10">
        <v>4824</v>
      </c>
      <c r="G10">
        <f>LNG_global27[[#This Row],[Distance '[miles']]]*1.60934449789256</f>
        <v>7763.4778578337091</v>
      </c>
      <c r="I10" t="s">
        <v>214</v>
      </c>
      <c r="M10" t="s">
        <v>287</v>
      </c>
    </row>
    <row r="11" spans="1:13">
      <c r="A11" t="s">
        <v>184</v>
      </c>
      <c r="B11" t="s">
        <v>202</v>
      </c>
      <c r="E11">
        <f t="shared" si="0"/>
        <v>0</v>
      </c>
      <c r="F11">
        <v>4172</v>
      </c>
      <c r="G11">
        <f>LNG_global27[[#This Row],[Distance '[miles']]]*1.60934449789256</f>
        <v>6714.1852452077601</v>
      </c>
      <c r="I11" t="s">
        <v>275</v>
      </c>
    </row>
    <row r="12" spans="1:13">
      <c r="A12" t="s">
        <v>184</v>
      </c>
      <c r="B12" t="s">
        <v>204</v>
      </c>
      <c r="E12">
        <f t="shared" si="0"/>
        <v>0</v>
      </c>
      <c r="F12">
        <v>5282</v>
      </c>
      <c r="G12">
        <f>LNG_global27[[#This Row],[Distance '[miles']]]*1.60934449789256</f>
        <v>8500.5576378685018</v>
      </c>
      <c r="I12" t="s">
        <v>217</v>
      </c>
      <c r="M12" s="21"/>
    </row>
    <row r="13" spans="1:13">
      <c r="A13" t="s">
        <v>184</v>
      </c>
      <c r="B13" t="s">
        <v>205</v>
      </c>
      <c r="E13">
        <f t="shared" si="0"/>
        <v>0</v>
      </c>
      <c r="F13">
        <v>4414</v>
      </c>
      <c r="G13">
        <f>LNG_global27[[#This Row],[Distance '[miles']]]*1.60934449789256</f>
        <v>7103.6466136977597</v>
      </c>
      <c r="I13" t="s">
        <v>218</v>
      </c>
    </row>
    <row r="14" spans="1:13">
      <c r="A14" t="s">
        <v>184</v>
      </c>
      <c r="B14" t="s">
        <v>206</v>
      </c>
      <c r="E14">
        <f t="shared" si="0"/>
        <v>0</v>
      </c>
      <c r="F14">
        <v>5091</v>
      </c>
      <c r="G14">
        <f>LNG_global27[[#This Row],[Distance '[miles']]]*1.60934449789256</f>
        <v>8193.1728387710227</v>
      </c>
      <c r="I14" t="s">
        <v>219</v>
      </c>
    </row>
    <row r="15" spans="1:13">
      <c r="A15" t="s">
        <v>184</v>
      </c>
      <c r="B15" t="s">
        <v>207</v>
      </c>
      <c r="E15">
        <f t="shared" si="0"/>
        <v>0</v>
      </c>
      <c r="F15">
        <v>3389</v>
      </c>
      <c r="G15">
        <f>LNG_global27[[#This Row],[Distance '[miles']]]*1.60934449789256</f>
        <v>5454.0685033578857</v>
      </c>
      <c r="I15" t="s">
        <v>220</v>
      </c>
    </row>
    <row r="16" spans="1:13">
      <c r="A16" t="s">
        <v>184</v>
      </c>
      <c r="B16" t="s">
        <v>208</v>
      </c>
      <c r="E16">
        <f t="shared" si="0"/>
        <v>0</v>
      </c>
      <c r="F16">
        <v>3359</v>
      </c>
      <c r="G16">
        <f>LNG_global27[[#This Row],[Distance '[miles']]]*1.60934449789256</f>
        <v>5405.7881684211088</v>
      </c>
      <c r="I16" t="s">
        <v>247</v>
      </c>
    </row>
    <row r="17" spans="1:9">
      <c r="A17" t="s">
        <v>184</v>
      </c>
      <c r="B17" t="s">
        <v>209</v>
      </c>
      <c r="E17">
        <f t="shared" si="0"/>
        <v>0</v>
      </c>
      <c r="F17">
        <v>5109</v>
      </c>
      <c r="G17">
        <f>LNG_global27[[#This Row],[Distance '[miles']]]*1.60934449789256</f>
        <v>8222.1410397330892</v>
      </c>
      <c r="I17" t="s">
        <v>279</v>
      </c>
    </row>
    <row r="18" spans="1:9">
      <c r="A18" t="s">
        <v>184</v>
      </c>
      <c r="B18" t="s">
        <v>210</v>
      </c>
      <c r="E18">
        <f t="shared" si="0"/>
        <v>0</v>
      </c>
      <c r="F18">
        <v>4309</v>
      </c>
      <c r="G18">
        <f>LNG_global27[[#This Row],[Distance '[miles']]]*1.60934449789256</f>
        <v>6934.6654414190407</v>
      </c>
      <c r="I18" t="s">
        <v>280</v>
      </c>
    </row>
    <row r="19" spans="1:9">
      <c r="A19" t="s">
        <v>185</v>
      </c>
      <c r="B19" t="s">
        <v>186</v>
      </c>
      <c r="E19">
        <f t="shared" si="0"/>
        <v>0</v>
      </c>
      <c r="F19">
        <v>8575</v>
      </c>
      <c r="G19">
        <f>LNG_global27[[#This Row],[Distance '[miles']]]*1.60934449789256</f>
        <v>13800.129069428702</v>
      </c>
      <c r="I19" t="s">
        <v>249</v>
      </c>
    </row>
    <row r="20" spans="1:9">
      <c r="A20" t="s">
        <v>185</v>
      </c>
      <c r="B20" t="s">
        <v>184</v>
      </c>
      <c r="E20">
        <f t="shared" si="0"/>
        <v>0</v>
      </c>
      <c r="F20">
        <v>8554</v>
      </c>
      <c r="G20">
        <f>LNG_global27[[#This Row],[Distance '[miles']]]*1.60934449789256</f>
        <v>13766.332834972958</v>
      </c>
      <c r="I20" t="s">
        <v>239</v>
      </c>
    </row>
    <row r="21" spans="1:9">
      <c r="A21" t="s">
        <v>185</v>
      </c>
      <c r="B21" t="s">
        <v>187</v>
      </c>
      <c r="E21">
        <f t="shared" si="0"/>
        <v>0</v>
      </c>
      <c r="F21">
        <v>2353</v>
      </c>
      <c r="G21">
        <f>LNG_global27[[#This Row],[Distance '[miles']]]*1.60934449789256</f>
        <v>3786.7876035411937</v>
      </c>
      <c r="I21" t="s">
        <v>276</v>
      </c>
    </row>
    <row r="22" spans="1:9">
      <c r="A22" t="s">
        <v>185</v>
      </c>
      <c r="B22" t="s">
        <v>188</v>
      </c>
      <c r="E22">
        <f t="shared" si="0"/>
        <v>0</v>
      </c>
      <c r="F22">
        <v>3033</v>
      </c>
      <c r="G22">
        <f>LNG_global27[[#This Row],[Distance '[miles']]]*1.60934449789256</f>
        <v>4881.1418621081348</v>
      </c>
      <c r="I22" t="s">
        <v>242</v>
      </c>
    </row>
    <row r="23" spans="1:9">
      <c r="A23" t="s">
        <v>185</v>
      </c>
      <c r="B23" t="s">
        <v>189</v>
      </c>
      <c r="E23">
        <f t="shared" si="0"/>
        <v>0</v>
      </c>
      <c r="F23">
        <v>4477</v>
      </c>
      <c r="G23">
        <f>LNG_global27[[#This Row],[Distance '[miles']]]*1.60934449789256</f>
        <v>7205.0353170649905</v>
      </c>
      <c r="I23" t="s">
        <v>243</v>
      </c>
    </row>
    <row r="24" spans="1:9">
      <c r="A24" t="s">
        <v>185</v>
      </c>
      <c r="B24" t="s">
        <v>190</v>
      </c>
      <c r="E24">
        <f t="shared" si="0"/>
        <v>0</v>
      </c>
      <c r="F24">
        <v>2612</v>
      </c>
      <c r="G24">
        <f>LNG_global27[[#This Row],[Distance '[miles']]]*1.60934449789256</f>
        <v>4203.6078284953664</v>
      </c>
      <c r="I24" t="s">
        <v>244</v>
      </c>
    </row>
    <row r="25" spans="1:9">
      <c r="A25" t="s">
        <v>185</v>
      </c>
      <c r="B25" t="s">
        <v>191</v>
      </c>
      <c r="E25">
        <f t="shared" si="0"/>
        <v>0</v>
      </c>
      <c r="F25">
        <v>6579</v>
      </c>
      <c r="G25">
        <f>LNG_global27[[#This Row],[Distance '[miles']]]*1.60934449789256</f>
        <v>10587.877451635151</v>
      </c>
      <c r="I25" t="s">
        <v>277</v>
      </c>
    </row>
    <row r="26" spans="1:9">
      <c r="A26" t="s">
        <v>185</v>
      </c>
      <c r="B26" t="s">
        <v>200</v>
      </c>
      <c r="E26">
        <f t="shared" si="0"/>
        <v>0</v>
      </c>
      <c r="F26">
        <v>9950</v>
      </c>
      <c r="G26">
        <f>LNG_global27[[#This Row],[Distance '[miles']]]*1.60934449789256</f>
        <v>16012.977754030971</v>
      </c>
      <c r="H26" t="s">
        <v>212</v>
      </c>
      <c r="I26" t="s">
        <v>233</v>
      </c>
    </row>
    <row r="27" spans="1:9">
      <c r="A27" t="s">
        <v>185</v>
      </c>
      <c r="B27" t="s">
        <v>201</v>
      </c>
      <c r="E27">
        <f t="shared" si="0"/>
        <v>0</v>
      </c>
      <c r="F27">
        <v>8254</v>
      </c>
      <c r="G27">
        <f>LNG_global27[[#This Row],[Distance '[miles']]]*1.60934449789256</f>
        <v>13283.52948560519</v>
      </c>
      <c r="H27" t="s">
        <v>212</v>
      </c>
      <c r="I27" t="s">
        <v>213</v>
      </c>
    </row>
    <row r="28" spans="1:9">
      <c r="A28" t="s">
        <v>185</v>
      </c>
      <c r="B28" t="s">
        <v>267</v>
      </c>
      <c r="E28">
        <f t="shared" si="0"/>
        <v>0</v>
      </c>
      <c r="F28">
        <v>7341</v>
      </c>
      <c r="G28">
        <f>LNG_global27[[#This Row],[Distance '[miles']]]*1.60934449789256</f>
        <v>11814.197959029283</v>
      </c>
      <c r="H28" t="s">
        <v>212</v>
      </c>
      <c r="I28" t="s">
        <v>214</v>
      </c>
    </row>
    <row r="29" spans="1:9">
      <c r="A29" t="s">
        <v>185</v>
      </c>
      <c r="B29" t="s">
        <v>202</v>
      </c>
      <c r="E29">
        <f t="shared" si="0"/>
        <v>0</v>
      </c>
      <c r="F29">
        <v>8125</v>
      </c>
      <c r="G29">
        <f>LNG_global27[[#This Row],[Distance '[miles']]]*1.60934449789256</f>
        <v>13075.924045377049</v>
      </c>
      <c r="H29" t="s">
        <v>212</v>
      </c>
      <c r="I29" t="s">
        <v>215</v>
      </c>
    </row>
    <row r="30" spans="1:9">
      <c r="A30" t="s">
        <v>185</v>
      </c>
      <c r="B30" t="s">
        <v>204</v>
      </c>
      <c r="E30">
        <f t="shared" si="0"/>
        <v>0</v>
      </c>
      <c r="F30">
        <v>10884</v>
      </c>
      <c r="G30">
        <f>LNG_global27[[#This Row],[Distance '[miles']]]*1.60934449789256</f>
        <v>17516.105515062623</v>
      </c>
      <c r="H30" t="s">
        <v>212</v>
      </c>
      <c r="I30" t="s">
        <v>217</v>
      </c>
    </row>
    <row r="31" spans="1:9">
      <c r="A31" t="s">
        <v>185</v>
      </c>
      <c r="B31" t="s">
        <v>205</v>
      </c>
      <c r="E31">
        <f t="shared" si="0"/>
        <v>0</v>
      </c>
      <c r="F31">
        <v>10016</v>
      </c>
      <c r="G31">
        <f>LNG_global27[[#This Row],[Distance '[miles']]]*1.60934449789256</f>
        <v>16119.194490891881</v>
      </c>
      <c r="H31" t="s">
        <v>212</v>
      </c>
      <c r="I31" t="s">
        <v>218</v>
      </c>
    </row>
    <row r="32" spans="1:9">
      <c r="A32" t="s">
        <v>185</v>
      </c>
      <c r="B32" t="s">
        <v>206</v>
      </c>
      <c r="E32">
        <f t="shared" si="0"/>
        <v>0</v>
      </c>
      <c r="F32">
        <v>10693</v>
      </c>
      <c r="G32">
        <f>LNG_global27[[#This Row],[Distance '[miles']]]*1.60934449789256</f>
        <v>17208.720715965144</v>
      </c>
      <c r="H32" t="s">
        <v>212</v>
      </c>
      <c r="I32" t="s">
        <v>219</v>
      </c>
    </row>
    <row r="33" spans="1:9">
      <c r="A33" t="s">
        <v>185</v>
      </c>
      <c r="B33" t="s">
        <v>207</v>
      </c>
      <c r="E33">
        <f t="shared" si="0"/>
        <v>0</v>
      </c>
      <c r="F33">
        <v>8939</v>
      </c>
      <c r="G33">
        <f>LNG_global27[[#This Row],[Distance '[miles']]]*1.60934449789256</f>
        <v>14385.930466661594</v>
      </c>
      <c r="H33" t="s">
        <v>212</v>
      </c>
      <c r="I33" t="s">
        <v>220</v>
      </c>
    </row>
    <row r="34" spans="1:9">
      <c r="A34" t="s">
        <v>185</v>
      </c>
      <c r="B34" t="s">
        <v>208</v>
      </c>
      <c r="E34">
        <f t="shared" ref="E34:E65" si="1">D34/1000</f>
        <v>0</v>
      </c>
      <c r="F34">
        <v>8330</v>
      </c>
      <c r="G34">
        <f>LNG_global27[[#This Row],[Distance '[miles']]]*1.60934449789256</f>
        <v>13405.839667445025</v>
      </c>
      <c r="H34" t="s">
        <v>212</v>
      </c>
      <c r="I34" t="s">
        <v>221</v>
      </c>
    </row>
    <row r="35" spans="1:9">
      <c r="A35" t="s">
        <v>185</v>
      </c>
      <c r="B35" t="s">
        <v>209</v>
      </c>
      <c r="E35">
        <f t="shared" si="1"/>
        <v>0</v>
      </c>
      <c r="F35">
        <v>7340</v>
      </c>
      <c r="G35">
        <f>LNG_global27[[#This Row],[Distance '[miles']]]*1.60934449789256</f>
        <v>11812.588614531391</v>
      </c>
      <c r="H35" t="s">
        <v>212</v>
      </c>
      <c r="I35" t="s">
        <v>222</v>
      </c>
    </row>
    <row r="36" spans="1:9">
      <c r="A36" t="s">
        <v>185</v>
      </c>
      <c r="B36" t="s">
        <v>210</v>
      </c>
      <c r="E36">
        <f t="shared" si="1"/>
        <v>0</v>
      </c>
      <c r="F36">
        <v>9764</v>
      </c>
      <c r="G36">
        <f>LNG_global27[[#This Row],[Distance '[miles']]]*1.60934449789256</f>
        <v>15713.639677422956</v>
      </c>
      <c r="H36" t="s">
        <v>212</v>
      </c>
      <c r="I36" t="s">
        <v>237</v>
      </c>
    </row>
    <row r="37" spans="1:9">
      <c r="A37" t="s">
        <v>191</v>
      </c>
      <c r="B37" t="s">
        <v>186</v>
      </c>
      <c r="E37">
        <f t="shared" si="1"/>
        <v>0</v>
      </c>
      <c r="F37">
        <v>5988</v>
      </c>
      <c r="G37">
        <f>LNG_global27[[#This Row],[Distance '[miles']]]*1.60934449789256</f>
        <v>9636.7548533806494</v>
      </c>
      <c r="I37" t="s">
        <v>238</v>
      </c>
    </row>
    <row r="38" spans="1:9">
      <c r="A38" t="s">
        <v>191</v>
      </c>
      <c r="B38" t="s">
        <v>184</v>
      </c>
      <c r="E38">
        <f t="shared" si="1"/>
        <v>0</v>
      </c>
      <c r="F38">
        <v>5135</v>
      </c>
      <c r="G38">
        <f>LNG_global27[[#This Row],[Distance '[miles']]]*1.60934449789256</f>
        <v>8263.9839966782947</v>
      </c>
      <c r="I38" t="s">
        <v>239</v>
      </c>
    </row>
    <row r="39" spans="1:9">
      <c r="A39" t="s">
        <v>191</v>
      </c>
      <c r="B39" t="s">
        <v>187</v>
      </c>
      <c r="E39">
        <f t="shared" si="1"/>
        <v>0</v>
      </c>
      <c r="F39">
        <v>7934</v>
      </c>
      <c r="G39">
        <f>LNG_global27[[#This Row],[Distance '[miles']]]*1.60934449789256</f>
        <v>12768.53924627957</v>
      </c>
      <c r="H39" t="s">
        <v>212</v>
      </c>
      <c r="I39" t="s">
        <v>274</v>
      </c>
    </row>
    <row r="40" spans="1:9">
      <c r="A40" t="s">
        <v>191</v>
      </c>
      <c r="B40" t="s">
        <v>188</v>
      </c>
      <c r="E40">
        <f t="shared" si="1"/>
        <v>0</v>
      </c>
      <c r="F40">
        <v>8074</v>
      </c>
      <c r="G40">
        <f>LNG_global27[[#This Row],[Distance '[miles']]]*1.60934449789256</f>
        <v>12993.847475984529</v>
      </c>
      <c r="H40" t="s">
        <v>212</v>
      </c>
      <c r="I40" t="s">
        <v>242</v>
      </c>
    </row>
    <row r="41" spans="1:9">
      <c r="A41" t="s">
        <v>191</v>
      </c>
      <c r="B41" t="s">
        <v>189</v>
      </c>
      <c r="E41">
        <f t="shared" si="1"/>
        <v>0</v>
      </c>
      <c r="F41">
        <v>3043</v>
      </c>
      <c r="G41">
        <f>LNG_global27[[#This Row],[Distance '[miles']]]*1.60934449789256</f>
        <v>4897.2353070870604</v>
      </c>
      <c r="H41" t="s">
        <v>212</v>
      </c>
      <c r="I41" t="s">
        <v>243</v>
      </c>
    </row>
    <row r="42" spans="1:9">
      <c r="A42" t="s">
        <v>191</v>
      </c>
      <c r="B42" t="s">
        <v>190</v>
      </c>
      <c r="E42">
        <f t="shared" si="1"/>
        <v>0</v>
      </c>
      <c r="F42">
        <v>6001</v>
      </c>
      <c r="G42">
        <f>LNG_global27[[#This Row],[Distance '[miles']]]*1.60934449789256</f>
        <v>9657.6763318532521</v>
      </c>
      <c r="H42" t="s">
        <v>212</v>
      </c>
      <c r="I42" t="s">
        <v>244</v>
      </c>
    </row>
    <row r="43" spans="1:9">
      <c r="A43" t="s">
        <v>191</v>
      </c>
      <c r="B43" t="s">
        <v>200</v>
      </c>
      <c r="E43">
        <f t="shared" si="1"/>
        <v>0</v>
      </c>
      <c r="F43">
        <v>3208</v>
      </c>
      <c r="G43">
        <f>LNG_global27[[#This Row],[Distance '[miles']]]*1.60934449789256</f>
        <v>5162.7771492393322</v>
      </c>
      <c r="I43" t="s">
        <v>233</v>
      </c>
    </row>
    <row r="44" spans="1:9">
      <c r="A44" t="s">
        <v>191</v>
      </c>
      <c r="B44" t="s">
        <v>201</v>
      </c>
      <c r="E44">
        <f t="shared" si="1"/>
        <v>0</v>
      </c>
      <c r="F44">
        <v>1405</v>
      </c>
      <c r="G44">
        <f>LNG_global27[[#This Row],[Distance '[miles']]]*1.60934449789256</f>
        <v>2261.1290195390466</v>
      </c>
      <c r="I44" t="s">
        <v>213</v>
      </c>
    </row>
    <row r="45" spans="1:9">
      <c r="A45" t="s">
        <v>191</v>
      </c>
      <c r="B45" t="s">
        <v>267</v>
      </c>
      <c r="E45">
        <f t="shared" si="1"/>
        <v>0</v>
      </c>
      <c r="F45">
        <v>518</v>
      </c>
      <c r="G45">
        <f>LNG_global27[[#This Row],[Distance '[miles']]]*1.60934449789256</f>
        <v>833.64044990834611</v>
      </c>
      <c r="I45" t="s">
        <v>214</v>
      </c>
    </row>
    <row r="46" spans="1:9">
      <c r="A46" t="s">
        <v>191</v>
      </c>
      <c r="B46" t="s">
        <v>202</v>
      </c>
      <c r="E46">
        <f t="shared" si="1"/>
        <v>0</v>
      </c>
      <c r="F46">
        <v>1239</v>
      </c>
      <c r="G46">
        <f>LNG_global27[[#This Row],[Distance '[miles']]]*1.60934449789256</f>
        <v>1993.9778328888817</v>
      </c>
      <c r="I46" t="s">
        <v>275</v>
      </c>
    </row>
    <row r="47" spans="1:9">
      <c r="A47" t="s">
        <v>191</v>
      </c>
      <c r="B47" t="s">
        <v>204</v>
      </c>
      <c r="E47">
        <f t="shared" si="1"/>
        <v>0</v>
      </c>
      <c r="F47">
        <v>4142</v>
      </c>
      <c r="G47">
        <f>LNG_global27[[#This Row],[Distance '[miles']]]*1.60934449789256</f>
        <v>6665.9049102709832</v>
      </c>
      <c r="I47" t="s">
        <v>217</v>
      </c>
    </row>
    <row r="48" spans="1:9">
      <c r="A48" t="s">
        <v>191</v>
      </c>
      <c r="B48" t="s">
        <v>205</v>
      </c>
      <c r="E48">
        <f t="shared" si="1"/>
        <v>0</v>
      </c>
      <c r="F48">
        <v>3274</v>
      </c>
      <c r="G48">
        <f>LNG_global27[[#This Row],[Distance '[miles']]]*1.60934449789256</f>
        <v>5268.9938861002411</v>
      </c>
      <c r="I48" t="s">
        <v>218</v>
      </c>
    </row>
    <row r="49" spans="1:9">
      <c r="A49" t="s">
        <v>191</v>
      </c>
      <c r="B49" t="s">
        <v>206</v>
      </c>
      <c r="E49">
        <f t="shared" si="1"/>
        <v>0</v>
      </c>
      <c r="F49">
        <v>3836</v>
      </c>
      <c r="G49">
        <f>LNG_global27[[#This Row],[Distance '[miles']]]*1.60934449789256</f>
        <v>6173.4454939158604</v>
      </c>
      <c r="I49" t="s">
        <v>219</v>
      </c>
    </row>
    <row r="50" spans="1:9">
      <c r="A50" t="s">
        <v>191</v>
      </c>
      <c r="B50" t="s">
        <v>207</v>
      </c>
      <c r="E50">
        <f t="shared" si="1"/>
        <v>0</v>
      </c>
      <c r="F50">
        <v>2082</v>
      </c>
      <c r="G50">
        <f>LNG_global27[[#This Row],[Distance '[miles']]]*1.60934449789256</f>
        <v>3350.6552446123096</v>
      </c>
      <c r="I50" t="s">
        <v>220</v>
      </c>
    </row>
    <row r="51" spans="1:9">
      <c r="A51" t="s">
        <v>191</v>
      </c>
      <c r="B51" t="s">
        <v>208</v>
      </c>
      <c r="E51">
        <f t="shared" si="1"/>
        <v>0</v>
      </c>
      <c r="F51">
        <v>1696</v>
      </c>
      <c r="G51">
        <f>LNG_global27[[#This Row],[Distance '[miles']]]*1.60934449789256</f>
        <v>2729.4482684257819</v>
      </c>
      <c r="I51" t="s">
        <v>282</v>
      </c>
    </row>
    <row r="52" spans="1:9">
      <c r="A52" t="s">
        <v>191</v>
      </c>
      <c r="B52" t="s">
        <v>209</v>
      </c>
      <c r="E52">
        <f t="shared" si="1"/>
        <v>0</v>
      </c>
      <c r="F52">
        <v>722</v>
      </c>
      <c r="G52">
        <f>LNG_global27[[#This Row],[Distance '[miles']]]*1.60934449789256</f>
        <v>1161.9467274784283</v>
      </c>
      <c r="I52" t="s">
        <v>279</v>
      </c>
    </row>
    <row r="53" spans="1:9">
      <c r="A53" t="s">
        <v>191</v>
      </c>
      <c r="B53" t="s">
        <v>210</v>
      </c>
      <c r="E53">
        <f t="shared" si="1"/>
        <v>0</v>
      </c>
      <c r="F53">
        <v>2907</v>
      </c>
      <c r="G53">
        <f>LNG_global27[[#This Row],[Distance '[miles']]]*1.60934449789256</f>
        <v>4678.3644553736722</v>
      </c>
      <c r="I53" t="s">
        <v>237</v>
      </c>
    </row>
    <row r="54" spans="1:9">
      <c r="A54" t="s">
        <v>194</v>
      </c>
      <c r="B54" t="s">
        <v>186</v>
      </c>
      <c r="E54">
        <f t="shared" si="1"/>
        <v>0</v>
      </c>
      <c r="F54">
        <v>9163</v>
      </c>
      <c r="G54">
        <f>LNG_global27[[#This Row],[Distance '[miles']]]*1.60934449789256</f>
        <v>14746.423634189527</v>
      </c>
      <c r="I54" t="s">
        <v>238</v>
      </c>
    </row>
    <row r="55" spans="1:9">
      <c r="A55" t="s">
        <v>194</v>
      </c>
      <c r="B55" t="s">
        <v>184</v>
      </c>
      <c r="E55">
        <f t="shared" si="1"/>
        <v>0</v>
      </c>
      <c r="F55">
        <v>8354</v>
      </c>
      <c r="G55">
        <f>LNG_global27[[#This Row],[Distance '[miles']]]*1.60934449789256</f>
        <v>13444.463935394446</v>
      </c>
      <c r="I55" t="s">
        <v>239</v>
      </c>
    </row>
    <row r="56" spans="1:9">
      <c r="A56" t="s">
        <v>194</v>
      </c>
      <c r="B56" t="s">
        <v>187</v>
      </c>
      <c r="E56">
        <f t="shared" si="1"/>
        <v>0</v>
      </c>
      <c r="F56">
        <v>2186</v>
      </c>
      <c r="G56">
        <f>LNG_global27[[#This Row],[Distance '[miles']]]*1.60934449789256</f>
        <v>3518.0270723931362</v>
      </c>
      <c r="I56" t="s">
        <v>284</v>
      </c>
    </row>
    <row r="57" spans="1:9">
      <c r="A57" t="s">
        <v>194</v>
      </c>
      <c r="B57" t="s">
        <v>188</v>
      </c>
      <c r="E57">
        <f t="shared" si="1"/>
        <v>0</v>
      </c>
      <c r="F57">
        <v>2657</v>
      </c>
      <c r="G57">
        <f>LNG_global27[[#This Row],[Distance '[miles']]]*1.60934449789256</f>
        <v>4276.0283309005317</v>
      </c>
      <c r="I57" t="s">
        <v>242</v>
      </c>
    </row>
    <row r="58" spans="1:9">
      <c r="A58" t="s">
        <v>194</v>
      </c>
      <c r="B58" t="s">
        <v>189</v>
      </c>
      <c r="E58">
        <f t="shared" si="1"/>
        <v>0</v>
      </c>
      <c r="F58">
        <v>3760</v>
      </c>
      <c r="G58">
        <f>LNG_global27[[#This Row],[Distance '[miles']]]*1.60934449789256</f>
        <v>6051.135312076025</v>
      </c>
      <c r="I58" t="s">
        <v>243</v>
      </c>
    </row>
    <row r="59" spans="1:9">
      <c r="A59" t="s">
        <v>194</v>
      </c>
      <c r="B59" t="s">
        <v>190</v>
      </c>
      <c r="E59">
        <f t="shared" si="1"/>
        <v>0</v>
      </c>
      <c r="F59">
        <v>1775</v>
      </c>
      <c r="G59">
        <f>LNG_global27[[#This Row],[Distance '[miles']]]*1.60934449789256</f>
        <v>2856.586483759294</v>
      </c>
      <c r="I59" t="s">
        <v>244</v>
      </c>
    </row>
    <row r="60" spans="1:9">
      <c r="A60" t="s">
        <v>194</v>
      </c>
      <c r="B60" t="s">
        <v>191</v>
      </c>
      <c r="E60">
        <f t="shared" si="1"/>
        <v>0</v>
      </c>
      <c r="F60">
        <v>5866</v>
      </c>
      <c r="G60">
        <f>LNG_global27[[#This Row],[Distance '[miles']]]*1.60934449789256</f>
        <v>9440.4148246377572</v>
      </c>
      <c r="I60" t="s">
        <v>277</v>
      </c>
    </row>
    <row r="61" spans="1:9">
      <c r="A61" t="s">
        <v>194</v>
      </c>
      <c r="B61" t="s">
        <v>200</v>
      </c>
      <c r="E61">
        <f t="shared" si="1"/>
        <v>0</v>
      </c>
      <c r="F61">
        <v>9237</v>
      </c>
      <c r="G61">
        <f>LNG_global27[[#This Row],[Distance '[miles']]]*1.60934449789256</f>
        <v>14865.515127033575</v>
      </c>
      <c r="H61" t="s">
        <v>212</v>
      </c>
      <c r="I61" t="s">
        <v>233</v>
      </c>
    </row>
    <row r="62" spans="1:9">
      <c r="A62" t="s">
        <v>194</v>
      </c>
      <c r="B62" t="s">
        <v>201</v>
      </c>
      <c r="E62">
        <f t="shared" si="1"/>
        <v>0</v>
      </c>
      <c r="F62">
        <v>8897</v>
      </c>
      <c r="G62">
        <f>LNG_global27[[#This Row],[Distance '[miles']]]*1.60934449789256</f>
        <v>14318.337997750106</v>
      </c>
      <c r="H62" t="s">
        <v>212</v>
      </c>
      <c r="I62" t="s">
        <v>278</v>
      </c>
    </row>
    <row r="63" spans="1:9">
      <c r="A63" t="s">
        <v>194</v>
      </c>
      <c r="B63" t="s">
        <v>267</v>
      </c>
      <c r="E63">
        <f t="shared" si="1"/>
        <v>0</v>
      </c>
      <c r="F63">
        <v>6737</v>
      </c>
      <c r="G63">
        <f>LNG_global27[[#This Row],[Distance '[miles']]]*1.60934449789256</f>
        <v>10842.153882302176</v>
      </c>
      <c r="H63" t="s">
        <v>212</v>
      </c>
      <c r="I63" t="s">
        <v>285</v>
      </c>
    </row>
    <row r="64" spans="1:9">
      <c r="A64" t="s">
        <v>194</v>
      </c>
      <c r="B64" t="s">
        <v>202</v>
      </c>
      <c r="E64">
        <f t="shared" si="1"/>
        <v>0</v>
      </c>
      <c r="F64">
        <v>7412</v>
      </c>
      <c r="G64">
        <f>LNG_global27[[#This Row],[Distance '[miles']]]*1.60934449789256</f>
        <v>11928.461418379655</v>
      </c>
      <c r="H64" t="s">
        <v>212</v>
      </c>
      <c r="I64" t="s">
        <v>215</v>
      </c>
    </row>
    <row r="65" spans="1:9">
      <c r="A65" t="s">
        <v>194</v>
      </c>
      <c r="B65" t="s">
        <v>204</v>
      </c>
      <c r="E65">
        <f t="shared" si="1"/>
        <v>0</v>
      </c>
      <c r="F65">
        <v>10171</v>
      </c>
      <c r="G65">
        <f>LNG_global27[[#This Row],[Distance '[miles']]]*1.60934449789256</f>
        <v>16368.642888065227</v>
      </c>
      <c r="H65" t="s">
        <v>212</v>
      </c>
      <c r="I65" t="s">
        <v>217</v>
      </c>
    </row>
    <row r="66" spans="1:9">
      <c r="A66" t="s">
        <v>194</v>
      </c>
      <c r="B66" t="s">
        <v>205</v>
      </c>
      <c r="E66">
        <f t="shared" ref="E66:E97" si="2">D66/1000</f>
        <v>0</v>
      </c>
      <c r="F66">
        <v>9303</v>
      </c>
      <c r="G66">
        <f>LNG_global27[[#This Row],[Distance '[miles']]]*1.60934449789256</f>
        <v>14971.731863894485</v>
      </c>
      <c r="H66" t="s">
        <v>212</v>
      </c>
      <c r="I66" t="s">
        <v>218</v>
      </c>
    </row>
    <row r="67" spans="1:9">
      <c r="A67" t="s">
        <v>194</v>
      </c>
      <c r="B67" t="s">
        <v>206</v>
      </c>
      <c r="E67">
        <f t="shared" si="2"/>
        <v>0</v>
      </c>
      <c r="F67">
        <v>9980</v>
      </c>
      <c r="G67">
        <f>LNG_global27[[#This Row],[Distance '[miles']]]*1.60934449789256</f>
        <v>16061.258088967748</v>
      </c>
      <c r="H67" t="s">
        <v>212</v>
      </c>
      <c r="I67" t="s">
        <v>219</v>
      </c>
    </row>
    <row r="68" spans="1:9">
      <c r="A68" t="s">
        <v>194</v>
      </c>
      <c r="B68" t="s">
        <v>207</v>
      </c>
      <c r="E68">
        <f t="shared" si="2"/>
        <v>0</v>
      </c>
      <c r="F68">
        <v>8226</v>
      </c>
      <c r="G68">
        <f>LNG_global27[[#This Row],[Distance '[miles']]]*1.60934449789256</f>
        <v>13238.467839664198</v>
      </c>
      <c r="H68" t="s">
        <v>212</v>
      </c>
      <c r="I68" t="s">
        <v>220</v>
      </c>
    </row>
    <row r="69" spans="1:9">
      <c r="A69" t="s">
        <v>194</v>
      </c>
      <c r="B69" t="s">
        <v>208</v>
      </c>
      <c r="E69">
        <f t="shared" si="2"/>
        <v>0</v>
      </c>
      <c r="F69">
        <v>7617</v>
      </c>
      <c r="G69">
        <f>LNG_global27[[#This Row],[Distance '[miles']]]*1.60934449789256</f>
        <v>12258.377040447629</v>
      </c>
      <c r="H69" t="s">
        <v>212</v>
      </c>
      <c r="I69" t="s">
        <v>221</v>
      </c>
    </row>
    <row r="70" spans="1:9">
      <c r="A70" t="s">
        <v>194</v>
      </c>
      <c r="B70" t="s">
        <v>209</v>
      </c>
      <c r="E70">
        <f t="shared" si="2"/>
        <v>0</v>
      </c>
      <c r="F70">
        <v>6627</v>
      </c>
      <c r="G70">
        <f>LNG_global27[[#This Row],[Distance '[miles']]]*1.60934449789256</f>
        <v>10665.125987533995</v>
      </c>
      <c r="H70" t="s">
        <v>212</v>
      </c>
      <c r="I70" t="s">
        <v>222</v>
      </c>
    </row>
    <row r="71" spans="1:9">
      <c r="A71" t="s">
        <v>194</v>
      </c>
      <c r="B71" t="s">
        <v>210</v>
      </c>
      <c r="E71">
        <f t="shared" si="2"/>
        <v>0</v>
      </c>
      <c r="F71">
        <v>9051</v>
      </c>
      <c r="G71">
        <f>LNG_global27[[#This Row],[Distance '[miles']]]*1.60934449789256</f>
        <v>14566.17705042556</v>
      </c>
      <c r="H71" t="s">
        <v>212</v>
      </c>
      <c r="I71" t="s">
        <v>237</v>
      </c>
    </row>
    <row r="72" spans="1:9">
      <c r="A72" t="s">
        <v>182</v>
      </c>
      <c r="B72" t="s">
        <v>186</v>
      </c>
      <c r="E72">
        <f t="shared" si="2"/>
        <v>0</v>
      </c>
      <c r="F72">
        <v>8091</v>
      </c>
      <c r="G72">
        <f>LNG_global27[[#This Row],[Distance '[miles']]]*1.60934449789256</f>
        <v>13021.206332448703</v>
      </c>
      <c r="I72" t="s">
        <v>238</v>
      </c>
    </row>
    <row r="73" spans="1:9">
      <c r="A73" t="s">
        <v>182</v>
      </c>
      <c r="B73" t="s">
        <v>184</v>
      </c>
      <c r="E73">
        <f t="shared" si="2"/>
        <v>0</v>
      </c>
      <c r="F73">
        <v>7282</v>
      </c>
      <c r="G73">
        <f>LNG_global27[[#This Row],[Distance '[miles']]]*1.60934449789256</f>
        <v>11719.246633653622</v>
      </c>
      <c r="I73" t="s">
        <v>239</v>
      </c>
    </row>
    <row r="74" spans="1:9">
      <c r="A74" t="s">
        <v>182</v>
      </c>
      <c r="B74" t="s">
        <v>187</v>
      </c>
      <c r="E74">
        <f t="shared" si="2"/>
        <v>0</v>
      </c>
      <c r="F74">
        <v>5001</v>
      </c>
      <c r="G74">
        <f>LNG_global27[[#This Row],[Distance '[miles']]]*1.60934449789256</f>
        <v>8048.3318339606922</v>
      </c>
      <c r="I74" t="s">
        <v>241</v>
      </c>
    </row>
    <row r="75" spans="1:9">
      <c r="A75" t="s">
        <v>182</v>
      </c>
      <c r="B75" t="s">
        <v>188</v>
      </c>
      <c r="E75">
        <f t="shared" si="2"/>
        <v>0</v>
      </c>
      <c r="F75">
        <v>6445</v>
      </c>
      <c r="G75">
        <f>LNG_global27[[#This Row],[Distance '[miles']]]*1.60934449789256</f>
        <v>10372.225288917549</v>
      </c>
      <c r="I75" t="s">
        <v>242</v>
      </c>
    </row>
    <row r="76" spans="1:9">
      <c r="A76" t="s">
        <v>182</v>
      </c>
      <c r="B76" t="s">
        <v>189</v>
      </c>
      <c r="E76">
        <f t="shared" si="2"/>
        <v>0</v>
      </c>
      <c r="F76">
        <v>951</v>
      </c>
      <c r="G76">
        <f>LNG_global27[[#This Row],[Distance '[miles']]]*1.60934449789256</f>
        <v>1530.4866174958245</v>
      </c>
      <c r="I76" t="s">
        <v>243</v>
      </c>
    </row>
    <row r="77" spans="1:9">
      <c r="A77" t="s">
        <v>182</v>
      </c>
      <c r="B77" t="s">
        <v>190</v>
      </c>
      <c r="E77">
        <f t="shared" si="2"/>
        <v>0</v>
      </c>
      <c r="F77">
        <v>4372</v>
      </c>
      <c r="G77">
        <f>LNG_global27[[#This Row],[Distance '[miles']]]*1.60934449789256</f>
        <v>7036.0541447862724</v>
      </c>
      <c r="I77" t="s">
        <v>244</v>
      </c>
    </row>
    <row r="78" spans="1:9">
      <c r="A78" t="s">
        <v>182</v>
      </c>
      <c r="B78" t="s">
        <v>191</v>
      </c>
      <c r="E78">
        <f t="shared" si="2"/>
        <v>0</v>
      </c>
      <c r="F78">
        <v>2915</v>
      </c>
      <c r="G78">
        <f>LNG_global27[[#This Row],[Distance '[miles']]]*1.60934449789256</f>
        <v>4691.2392113568121</v>
      </c>
      <c r="I78" t="s">
        <v>212</v>
      </c>
    </row>
    <row r="79" spans="1:9">
      <c r="A79" t="s">
        <v>182</v>
      </c>
      <c r="B79" t="s">
        <v>200</v>
      </c>
      <c r="E79">
        <f t="shared" si="2"/>
        <v>0</v>
      </c>
      <c r="F79">
        <v>6210</v>
      </c>
      <c r="G79">
        <f>LNG_global27[[#This Row],[Distance '[miles']]]*1.60934449789256</f>
        <v>9994.0293319127977</v>
      </c>
      <c r="H79" t="s">
        <v>212</v>
      </c>
      <c r="I79" t="s">
        <v>233</v>
      </c>
    </row>
    <row r="80" spans="1:9">
      <c r="A80" t="s">
        <v>182</v>
      </c>
      <c r="B80" t="s">
        <v>201</v>
      </c>
      <c r="E80">
        <f t="shared" si="2"/>
        <v>0</v>
      </c>
      <c r="F80">
        <v>6177</v>
      </c>
      <c r="G80">
        <f>LNG_global27[[#This Row],[Distance '[miles']]]*1.60934449789256</f>
        <v>9940.9209634823437</v>
      </c>
      <c r="H80" t="s">
        <v>212</v>
      </c>
      <c r="I80" t="s">
        <v>251</v>
      </c>
    </row>
    <row r="81" spans="1:9">
      <c r="A81" t="s">
        <v>182</v>
      </c>
      <c r="B81" t="s">
        <v>267</v>
      </c>
      <c r="E81">
        <f t="shared" si="2"/>
        <v>0</v>
      </c>
      <c r="F81">
        <v>3601</v>
      </c>
      <c r="G81">
        <f>LNG_global27[[#This Row],[Distance '[miles']]]*1.60934449789256</f>
        <v>5795.2495369111084</v>
      </c>
      <c r="H81" t="s">
        <v>212</v>
      </c>
      <c r="I81" t="s">
        <v>214</v>
      </c>
    </row>
    <row r="82" spans="1:9">
      <c r="A82" t="s">
        <v>182</v>
      </c>
      <c r="B82" t="s">
        <v>202</v>
      </c>
      <c r="E82">
        <f t="shared" si="2"/>
        <v>0</v>
      </c>
      <c r="F82">
        <v>4385</v>
      </c>
      <c r="G82">
        <f>LNG_global27[[#This Row],[Distance '[miles']]]*1.60934449789256</f>
        <v>7056.9756232588752</v>
      </c>
      <c r="H82" t="s">
        <v>212</v>
      </c>
      <c r="I82" t="s">
        <v>215</v>
      </c>
    </row>
    <row r="83" spans="1:9">
      <c r="A83" t="s">
        <v>182</v>
      </c>
      <c r="B83" t="s">
        <v>204</v>
      </c>
      <c r="E83">
        <f t="shared" si="2"/>
        <v>0</v>
      </c>
      <c r="F83">
        <v>7144</v>
      </c>
      <c r="G83">
        <f>LNG_global27[[#This Row],[Distance '[miles']]]*1.60934449789256</f>
        <v>11497.157092944448</v>
      </c>
      <c r="H83" t="s">
        <v>212</v>
      </c>
      <c r="I83" t="s">
        <v>217</v>
      </c>
    </row>
    <row r="84" spans="1:9">
      <c r="A84" t="s">
        <v>182</v>
      </c>
      <c r="B84" t="s">
        <v>205</v>
      </c>
      <c r="E84">
        <f t="shared" si="2"/>
        <v>0</v>
      </c>
      <c r="F84">
        <v>6276</v>
      </c>
      <c r="G84">
        <f>LNG_global27[[#This Row],[Distance '[miles']]]*1.60934449789256</f>
        <v>10100.246068773706</v>
      </c>
      <c r="H84" t="s">
        <v>212</v>
      </c>
      <c r="I84" t="s">
        <v>218</v>
      </c>
    </row>
    <row r="85" spans="1:9">
      <c r="A85" t="s">
        <v>182</v>
      </c>
      <c r="B85" t="s">
        <v>206</v>
      </c>
      <c r="E85">
        <f t="shared" si="2"/>
        <v>0</v>
      </c>
      <c r="F85">
        <v>6953</v>
      </c>
      <c r="G85">
        <f>LNG_global27[[#This Row],[Distance '[miles']]]*1.60934449789256</f>
        <v>11189.772293846969</v>
      </c>
      <c r="H85" t="s">
        <v>212</v>
      </c>
      <c r="I85" t="s">
        <v>219</v>
      </c>
    </row>
    <row r="86" spans="1:9">
      <c r="A86" t="s">
        <v>182</v>
      </c>
      <c r="B86" t="s">
        <v>207</v>
      </c>
      <c r="E86">
        <f t="shared" si="2"/>
        <v>0</v>
      </c>
      <c r="F86">
        <v>5199</v>
      </c>
      <c r="G86">
        <f>LNG_global27[[#This Row],[Distance '[miles']]]*1.60934449789256</f>
        <v>8366.9820445434198</v>
      </c>
      <c r="H86" t="s">
        <v>212</v>
      </c>
      <c r="I86" t="s">
        <v>220</v>
      </c>
    </row>
    <row r="87" spans="1:9">
      <c r="A87" t="s">
        <v>182</v>
      </c>
      <c r="B87" t="s">
        <v>208</v>
      </c>
      <c r="E87">
        <f t="shared" si="2"/>
        <v>0</v>
      </c>
      <c r="F87">
        <v>4590</v>
      </c>
      <c r="G87">
        <f>LNG_global27[[#This Row],[Distance '[miles']]]*1.60934449789256</f>
        <v>7386.8912453268504</v>
      </c>
      <c r="H87" t="s">
        <v>212</v>
      </c>
      <c r="I87" t="s">
        <v>221</v>
      </c>
    </row>
    <row r="88" spans="1:9">
      <c r="A88" t="s">
        <v>182</v>
      </c>
      <c r="B88" t="s">
        <v>209</v>
      </c>
      <c r="E88">
        <f t="shared" si="2"/>
        <v>0</v>
      </c>
      <c r="F88">
        <v>3600</v>
      </c>
      <c r="G88">
        <f>LNG_global27[[#This Row],[Distance '[miles']]]*1.60934449789256</f>
        <v>5793.640192413216</v>
      </c>
      <c r="H88" t="s">
        <v>212</v>
      </c>
      <c r="I88" t="s">
        <v>222</v>
      </c>
    </row>
    <row r="89" spans="1:9">
      <c r="A89" t="s">
        <v>182</v>
      </c>
      <c r="B89" t="s">
        <v>210</v>
      </c>
      <c r="E89">
        <f t="shared" si="2"/>
        <v>0</v>
      </c>
      <c r="F89">
        <v>6024</v>
      </c>
      <c r="G89">
        <f>LNG_global27[[#This Row],[Distance '[miles']]]*1.60934449789256</f>
        <v>9694.6912553047805</v>
      </c>
      <c r="H89" t="s">
        <v>212</v>
      </c>
      <c r="I89" t="s">
        <v>237</v>
      </c>
    </row>
    <row r="90" spans="1:9">
      <c r="A90" t="s">
        <v>183</v>
      </c>
      <c r="B90" t="s">
        <v>186</v>
      </c>
      <c r="E90">
        <f t="shared" si="2"/>
        <v>0</v>
      </c>
      <c r="F90">
        <v>8158</v>
      </c>
      <c r="G90">
        <f>LNG_global27[[#This Row],[Distance '[miles']]]*1.60934449789256</f>
        <v>13129.032413807505</v>
      </c>
      <c r="I90" t="s">
        <v>238</v>
      </c>
    </row>
    <row r="91" spans="1:9">
      <c r="A91" t="s">
        <v>183</v>
      </c>
      <c r="B91" t="s">
        <v>184</v>
      </c>
      <c r="E91">
        <f t="shared" si="2"/>
        <v>0</v>
      </c>
      <c r="F91">
        <v>7349</v>
      </c>
      <c r="G91">
        <f>LNG_global27[[#This Row],[Distance '[miles']]]*1.60934449789256</f>
        <v>11827.072715012424</v>
      </c>
      <c r="I91" t="s">
        <v>239</v>
      </c>
    </row>
    <row r="92" spans="1:9">
      <c r="A92" t="s">
        <v>183</v>
      </c>
      <c r="B92" t="s">
        <v>187</v>
      </c>
      <c r="E92">
        <f t="shared" si="2"/>
        <v>0</v>
      </c>
      <c r="F92">
        <v>5845</v>
      </c>
      <c r="G92">
        <f>LNG_global27[[#This Row],[Distance '[miles']]]*1.60934449789256</f>
        <v>9406.6185901820136</v>
      </c>
      <c r="I92" t="s">
        <v>241</v>
      </c>
    </row>
    <row r="93" spans="1:9">
      <c r="A93" t="s">
        <v>183</v>
      </c>
      <c r="B93" t="s">
        <v>188</v>
      </c>
      <c r="E93">
        <f t="shared" si="2"/>
        <v>0</v>
      </c>
      <c r="F93">
        <v>6512</v>
      </c>
      <c r="G93">
        <f>LNG_global27[[#This Row],[Distance '[miles']]]*1.60934449789256</f>
        <v>10480.051370276351</v>
      </c>
      <c r="I93" t="s">
        <v>242</v>
      </c>
    </row>
    <row r="94" spans="1:9">
      <c r="A94" t="s">
        <v>183</v>
      </c>
      <c r="B94" t="s">
        <v>189</v>
      </c>
      <c r="E94">
        <f t="shared" si="2"/>
        <v>0</v>
      </c>
      <c r="F94">
        <v>1018</v>
      </c>
      <c r="G94">
        <f>LNG_global27[[#This Row],[Distance '[miles']]]*1.60934449789256</f>
        <v>1638.312698854626</v>
      </c>
      <c r="I94" t="s">
        <v>243</v>
      </c>
    </row>
    <row r="95" spans="1:9">
      <c r="A95" t="s">
        <v>183</v>
      </c>
      <c r="B95" t="s">
        <v>190</v>
      </c>
      <c r="E95">
        <f t="shared" si="2"/>
        <v>0</v>
      </c>
      <c r="F95">
        <v>4439</v>
      </c>
      <c r="G95">
        <f>LNG_global27[[#This Row],[Distance '[miles']]]*1.60934449789256</f>
        <v>7143.8802261450737</v>
      </c>
      <c r="I95" t="s">
        <v>244</v>
      </c>
    </row>
    <row r="96" spans="1:9">
      <c r="A96" t="s">
        <v>183</v>
      </c>
      <c r="B96" t="s">
        <v>191</v>
      </c>
      <c r="E96">
        <f t="shared" si="2"/>
        <v>0</v>
      </c>
      <c r="F96">
        <v>2906</v>
      </c>
      <c r="G96">
        <f>LNG_global27[[#This Row],[Distance '[miles']]]*1.60934449789256</f>
        <v>4676.7551108757789</v>
      </c>
      <c r="I96" t="s">
        <v>212</v>
      </c>
    </row>
    <row r="97" spans="1:9">
      <c r="A97" t="s">
        <v>183</v>
      </c>
      <c r="B97" t="s">
        <v>200</v>
      </c>
      <c r="E97">
        <f t="shared" si="2"/>
        <v>0</v>
      </c>
      <c r="F97">
        <v>6277</v>
      </c>
      <c r="G97">
        <f>LNG_global27[[#This Row],[Distance '[miles']]]*1.60934449789256</f>
        <v>10101.855413271598</v>
      </c>
      <c r="H97" t="s">
        <v>212</v>
      </c>
      <c r="I97" t="s">
        <v>233</v>
      </c>
    </row>
    <row r="98" spans="1:9">
      <c r="A98" t="s">
        <v>183</v>
      </c>
      <c r="B98" t="s">
        <v>201</v>
      </c>
      <c r="E98">
        <f t="shared" ref="E98:E129" si="3">D98/1000</f>
        <v>0</v>
      </c>
      <c r="F98">
        <v>4581</v>
      </c>
      <c r="G98">
        <f>LNG_global27[[#This Row],[Distance '[miles']]]*1.60934449789256</f>
        <v>7372.4071448458171</v>
      </c>
      <c r="H98" t="s">
        <v>212</v>
      </c>
      <c r="I98" t="s">
        <v>213</v>
      </c>
    </row>
    <row r="99" spans="1:9">
      <c r="A99" t="s">
        <v>183</v>
      </c>
      <c r="B99" t="s">
        <v>267</v>
      </c>
      <c r="E99">
        <f t="shared" si="3"/>
        <v>0</v>
      </c>
      <c r="F99">
        <v>3668</v>
      </c>
      <c r="G99">
        <f>LNG_global27[[#This Row],[Distance '[miles']]]*1.60934449789256</f>
        <v>5903.0756182699097</v>
      </c>
      <c r="H99" t="s">
        <v>212</v>
      </c>
      <c r="I99" t="s">
        <v>214</v>
      </c>
    </row>
    <row r="100" spans="1:9">
      <c r="A100" t="s">
        <v>183</v>
      </c>
      <c r="B100" t="s">
        <v>202</v>
      </c>
      <c r="E100">
        <f t="shared" si="3"/>
        <v>0</v>
      </c>
      <c r="F100">
        <v>4380</v>
      </c>
      <c r="G100">
        <f>LNG_global27[[#This Row],[Distance '[miles']]]*1.60934449789256</f>
        <v>7048.9289007694124</v>
      </c>
      <c r="H100" t="s">
        <v>212</v>
      </c>
      <c r="I100" t="s">
        <v>286</v>
      </c>
    </row>
    <row r="101" spans="1:9">
      <c r="A101" t="s">
        <v>183</v>
      </c>
      <c r="B101" t="s">
        <v>204</v>
      </c>
      <c r="E101">
        <f t="shared" si="3"/>
        <v>0</v>
      </c>
      <c r="F101">
        <v>7211</v>
      </c>
      <c r="G101">
        <f>LNG_global27[[#This Row],[Distance '[miles']]]*1.60934449789256</f>
        <v>11604.98317430325</v>
      </c>
      <c r="H101" t="s">
        <v>212</v>
      </c>
      <c r="I101" t="s">
        <v>217</v>
      </c>
    </row>
    <row r="102" spans="1:9">
      <c r="A102" t="s">
        <v>183</v>
      </c>
      <c r="B102" t="s">
        <v>205</v>
      </c>
      <c r="E102">
        <f t="shared" si="3"/>
        <v>0</v>
      </c>
      <c r="F102">
        <v>6346</v>
      </c>
      <c r="G102">
        <f>LNG_global27[[#This Row],[Distance '[miles']]]*1.60934449789256</f>
        <v>10212.900183626185</v>
      </c>
      <c r="H102" t="s">
        <v>212</v>
      </c>
      <c r="I102" t="s">
        <v>218</v>
      </c>
    </row>
    <row r="103" spans="1:9">
      <c r="A103" t="s">
        <v>183</v>
      </c>
      <c r="B103" t="s">
        <v>206</v>
      </c>
      <c r="E103">
        <f t="shared" si="3"/>
        <v>0</v>
      </c>
      <c r="F103">
        <v>7020</v>
      </c>
      <c r="G103">
        <f>LNG_global27[[#This Row],[Distance '[miles']]]*1.60934449789256</f>
        <v>11297.598375205771</v>
      </c>
      <c r="H103" t="s">
        <v>212</v>
      </c>
      <c r="I103" t="s">
        <v>219</v>
      </c>
    </row>
    <row r="104" spans="1:9">
      <c r="A104" t="s">
        <v>183</v>
      </c>
      <c r="B104" t="s">
        <v>207</v>
      </c>
      <c r="E104">
        <f t="shared" si="3"/>
        <v>0</v>
      </c>
      <c r="F104">
        <v>5266</v>
      </c>
      <c r="G104">
        <f>LNG_global27[[#This Row],[Distance '[miles']]]*1.60934449789256</f>
        <v>8474.8081259022201</v>
      </c>
      <c r="H104" t="s">
        <v>212</v>
      </c>
      <c r="I104" t="s">
        <v>220</v>
      </c>
    </row>
    <row r="105" spans="1:9">
      <c r="A105" t="s">
        <v>183</v>
      </c>
      <c r="B105" t="s">
        <v>208</v>
      </c>
      <c r="E105">
        <f t="shared" si="3"/>
        <v>0</v>
      </c>
      <c r="F105">
        <v>4657</v>
      </c>
      <c r="G105">
        <f>LNG_global27[[#This Row],[Distance '[miles']]]*1.60934449789256</f>
        <v>7494.7173266856516</v>
      </c>
      <c r="H105" t="s">
        <v>212</v>
      </c>
      <c r="I105" t="s">
        <v>221</v>
      </c>
    </row>
    <row r="106" spans="1:9">
      <c r="A106" t="s">
        <v>183</v>
      </c>
      <c r="B106" t="s">
        <v>209</v>
      </c>
      <c r="E106">
        <f t="shared" si="3"/>
        <v>0</v>
      </c>
      <c r="F106">
        <v>3667</v>
      </c>
      <c r="G106">
        <f>LNG_global27[[#This Row],[Distance '[miles']]]*1.60934449789256</f>
        <v>5901.4662737720173</v>
      </c>
      <c r="H106" t="s">
        <v>212</v>
      </c>
      <c r="I106" t="s">
        <v>222</v>
      </c>
    </row>
    <row r="107" spans="1:9">
      <c r="A107" t="s">
        <v>183</v>
      </c>
      <c r="B107" t="s">
        <v>210</v>
      </c>
      <c r="E107">
        <f t="shared" si="3"/>
        <v>0</v>
      </c>
      <c r="F107">
        <v>6091</v>
      </c>
      <c r="G107">
        <f>LNG_global27[[#This Row],[Distance '[miles']]]*1.60934449789256</f>
        <v>9802.5173366635827</v>
      </c>
      <c r="H107" t="s">
        <v>212</v>
      </c>
      <c r="I107" t="s">
        <v>237</v>
      </c>
    </row>
    <row r="108" spans="1:9">
      <c r="A108" t="s">
        <v>193</v>
      </c>
      <c r="B108" t="s">
        <v>186</v>
      </c>
      <c r="E108">
        <f t="shared" si="3"/>
        <v>0</v>
      </c>
      <c r="F108">
        <v>7893</v>
      </c>
      <c r="G108">
        <f>LNG_global27[[#This Row],[Distance '[miles']]]*1.60934449789256</f>
        <v>12702.556121865975</v>
      </c>
      <c r="I108" t="s">
        <v>238</v>
      </c>
    </row>
    <row r="109" spans="1:9">
      <c r="A109" t="s">
        <v>193</v>
      </c>
      <c r="B109" t="s">
        <v>184</v>
      </c>
      <c r="E109">
        <f t="shared" si="3"/>
        <v>0</v>
      </c>
      <c r="F109">
        <v>7122</v>
      </c>
      <c r="G109">
        <f>LNG_global27[[#This Row],[Distance '[miles']]]*1.60934449789256</f>
        <v>11461.751513990812</v>
      </c>
      <c r="I109" t="s">
        <v>239</v>
      </c>
    </row>
    <row r="110" spans="1:9">
      <c r="A110" t="s">
        <v>193</v>
      </c>
      <c r="B110" t="s">
        <v>187</v>
      </c>
      <c r="E110">
        <f t="shared" si="3"/>
        <v>0</v>
      </c>
      <c r="F110">
        <v>13259</v>
      </c>
      <c r="G110">
        <f>LNG_global27[[#This Row],[Distance '[miles']]]*1.60934449789256</f>
        <v>21338.298697557453</v>
      </c>
      <c r="H110" t="s">
        <v>212</v>
      </c>
      <c r="I110" t="s">
        <v>284</v>
      </c>
    </row>
    <row r="111" spans="1:9">
      <c r="A111" t="s">
        <v>193</v>
      </c>
      <c r="B111" t="s">
        <v>188</v>
      </c>
      <c r="E111">
        <f t="shared" si="3"/>
        <v>0</v>
      </c>
      <c r="F111">
        <v>949</v>
      </c>
      <c r="G111">
        <f>LNG_global27[[#This Row],[Distance '[miles']]]*1.60934449789256</f>
        <v>1527.2679285000395</v>
      </c>
      <c r="I111" t="s">
        <v>242</v>
      </c>
    </row>
    <row r="112" spans="1:9">
      <c r="A112" t="s">
        <v>193</v>
      </c>
      <c r="B112" t="s">
        <v>189</v>
      </c>
      <c r="E112">
        <f t="shared" si="3"/>
        <v>0</v>
      </c>
      <c r="F112">
        <v>8895</v>
      </c>
      <c r="G112">
        <f>LNG_global27[[#This Row],[Distance '[miles']]]*1.60934449789256</f>
        <v>14315.119308754322</v>
      </c>
      <c r="H112" t="s">
        <v>212</v>
      </c>
      <c r="I112" t="s">
        <v>243</v>
      </c>
    </row>
    <row r="113" spans="1:9">
      <c r="A113" t="s">
        <v>193</v>
      </c>
      <c r="B113" t="s">
        <v>190</v>
      </c>
      <c r="E113">
        <f t="shared" si="3"/>
        <v>0</v>
      </c>
      <c r="F113">
        <v>11853</v>
      </c>
      <c r="G113">
        <f>LNG_global27[[#This Row],[Distance '[miles']]]*1.60934449789256</f>
        <v>19075.560333520512</v>
      </c>
      <c r="H113" t="s">
        <v>212</v>
      </c>
      <c r="I113" t="s">
        <v>244</v>
      </c>
    </row>
    <row r="114" spans="1:9">
      <c r="A114" t="s">
        <v>193</v>
      </c>
      <c r="B114" t="s">
        <v>191</v>
      </c>
      <c r="E114">
        <f t="shared" si="3"/>
        <v>0</v>
      </c>
      <c r="F114">
        <v>6177</v>
      </c>
      <c r="G114">
        <f>LNG_global27[[#This Row],[Distance '[miles']]]*1.60934449789256</f>
        <v>9940.9209634823437</v>
      </c>
      <c r="H114" t="s">
        <v>212</v>
      </c>
      <c r="I114" t="s">
        <v>277</v>
      </c>
    </row>
    <row r="115" spans="1:9">
      <c r="A115" t="s">
        <v>193</v>
      </c>
      <c r="B115" t="s">
        <v>200</v>
      </c>
      <c r="E115">
        <f t="shared" si="3"/>
        <v>0</v>
      </c>
      <c r="F115">
        <v>2843</v>
      </c>
      <c r="G115">
        <f>LNG_global27[[#This Row],[Distance '[miles']]]*1.60934449789256</f>
        <v>4575.366407508548</v>
      </c>
      <c r="I115" t="s">
        <v>233</v>
      </c>
    </row>
    <row r="116" spans="1:9">
      <c r="A116" t="s">
        <v>193</v>
      </c>
      <c r="B116" t="s">
        <v>201</v>
      </c>
      <c r="E116">
        <f t="shared" si="3"/>
        <v>0</v>
      </c>
      <c r="F116">
        <v>3331</v>
      </c>
      <c r="G116">
        <f>LNG_global27[[#This Row],[Distance '[miles']]]*1.60934449789256</f>
        <v>5360.7265224801176</v>
      </c>
      <c r="I116" t="s">
        <v>278</v>
      </c>
    </row>
    <row r="117" spans="1:9">
      <c r="A117" t="s">
        <v>193</v>
      </c>
      <c r="B117" t="s">
        <v>267</v>
      </c>
      <c r="E117">
        <f t="shared" si="3"/>
        <v>0</v>
      </c>
      <c r="F117">
        <v>5582</v>
      </c>
      <c r="G117">
        <f>LNG_global27[[#This Row],[Distance '[miles']]]*1.60934449789256</f>
        <v>8983.3609872362704</v>
      </c>
      <c r="I117" t="s">
        <v>214</v>
      </c>
    </row>
    <row r="118" spans="1:9">
      <c r="A118" t="s">
        <v>193</v>
      </c>
      <c r="B118" t="s">
        <v>202</v>
      </c>
      <c r="E118">
        <f t="shared" si="3"/>
        <v>0</v>
      </c>
      <c r="F118">
        <v>5759</v>
      </c>
      <c r="G118">
        <f>LNG_global27[[#This Row],[Distance '[miles']]]*1.60934449789256</f>
        <v>9268.2149633632525</v>
      </c>
      <c r="I118" t="s">
        <v>286</v>
      </c>
    </row>
    <row r="119" spans="1:9">
      <c r="A119" t="s">
        <v>193</v>
      </c>
      <c r="B119" t="s">
        <v>204</v>
      </c>
      <c r="E119">
        <f t="shared" si="3"/>
        <v>0</v>
      </c>
      <c r="F119">
        <v>3047</v>
      </c>
      <c r="G119">
        <f>LNG_global27[[#This Row],[Distance '[miles']]]*1.60934449789256</f>
        <v>4903.6726850786299</v>
      </c>
      <c r="I119" t="s">
        <v>217</v>
      </c>
    </row>
    <row r="120" spans="1:9">
      <c r="A120" t="s">
        <v>193</v>
      </c>
      <c r="B120" t="s">
        <v>205</v>
      </c>
      <c r="E120">
        <f t="shared" si="3"/>
        <v>0</v>
      </c>
      <c r="F120">
        <v>2827</v>
      </c>
      <c r="G120">
        <f>LNG_global27[[#This Row],[Distance '[miles']]]*1.60934449789256</f>
        <v>4549.6168955422672</v>
      </c>
      <c r="I120" t="s">
        <v>218</v>
      </c>
    </row>
    <row r="121" spans="1:9">
      <c r="A121" t="s">
        <v>193</v>
      </c>
      <c r="B121" t="s">
        <v>206</v>
      </c>
      <c r="E121">
        <f t="shared" si="3"/>
        <v>0</v>
      </c>
      <c r="F121">
        <v>2856</v>
      </c>
      <c r="G121">
        <f>LNG_global27[[#This Row],[Distance '[miles']]]*1.60934449789256</f>
        <v>4596.2878859811508</v>
      </c>
      <c r="I121" t="s">
        <v>219</v>
      </c>
    </row>
    <row r="122" spans="1:9">
      <c r="A122" t="s">
        <v>193</v>
      </c>
      <c r="B122" t="s">
        <v>207</v>
      </c>
      <c r="E122">
        <f t="shared" si="3"/>
        <v>0</v>
      </c>
      <c r="F122">
        <v>3840</v>
      </c>
      <c r="G122">
        <f>LNG_global27[[#This Row],[Distance '[miles']]]*1.60934449789256</f>
        <v>6179.8828719074299</v>
      </c>
      <c r="I122" t="s">
        <v>220</v>
      </c>
    </row>
    <row r="123" spans="1:9">
      <c r="A123" t="s">
        <v>193</v>
      </c>
      <c r="B123" t="s">
        <v>208</v>
      </c>
      <c r="E123">
        <f t="shared" si="3"/>
        <v>0</v>
      </c>
      <c r="F123">
        <v>3499</v>
      </c>
      <c r="G123">
        <f>LNG_global27[[#This Row],[Distance '[miles']]]*1.60934449789256</f>
        <v>5631.0963981260675</v>
      </c>
      <c r="I123" t="s">
        <v>236</v>
      </c>
    </row>
    <row r="124" spans="1:9">
      <c r="A124" t="s">
        <v>193</v>
      </c>
      <c r="B124" t="s">
        <v>209</v>
      </c>
      <c r="E124">
        <f t="shared" si="3"/>
        <v>0</v>
      </c>
      <c r="F124">
        <v>5736</v>
      </c>
      <c r="G124">
        <f>LNG_global27[[#This Row],[Distance '[miles']]]*1.60934449789256</f>
        <v>9231.2000399117242</v>
      </c>
      <c r="I124" t="s">
        <v>222</v>
      </c>
    </row>
    <row r="125" spans="1:9">
      <c r="A125" t="s">
        <v>193</v>
      </c>
      <c r="B125" t="s">
        <v>210</v>
      </c>
      <c r="E125">
        <f t="shared" si="3"/>
        <v>0</v>
      </c>
      <c r="F125">
        <v>2866</v>
      </c>
      <c r="G125">
        <f>LNG_global27[[#This Row],[Distance '[miles']]]*1.60934449789256</f>
        <v>4612.3813309600764</v>
      </c>
      <c r="I125" t="s">
        <v>280</v>
      </c>
    </row>
    <row r="126" spans="1:9">
      <c r="A126" t="s">
        <v>181</v>
      </c>
      <c r="B126" t="s">
        <v>186</v>
      </c>
      <c r="E126">
        <f t="shared" si="3"/>
        <v>0</v>
      </c>
      <c r="F126">
        <v>3136</v>
      </c>
      <c r="G126">
        <f>LNG_global27[[#This Row],[Distance '[miles']]]*1.60934449789256</f>
        <v>5046.9043453910681</v>
      </c>
      <c r="I126" t="s">
        <v>238</v>
      </c>
    </row>
    <row r="127" spans="1:9">
      <c r="A127" t="s">
        <v>181</v>
      </c>
      <c r="B127" t="s">
        <v>184</v>
      </c>
      <c r="E127">
        <f t="shared" si="3"/>
        <v>0</v>
      </c>
      <c r="F127">
        <v>4174</v>
      </c>
      <c r="G127">
        <f>LNG_global27[[#This Row],[Distance '[miles']]]*1.60934449789256</f>
        <v>6717.4039342035448</v>
      </c>
      <c r="I127" t="s">
        <v>239</v>
      </c>
    </row>
    <row r="128" spans="1:9">
      <c r="A128" t="s">
        <v>181</v>
      </c>
      <c r="B128" t="s">
        <v>187</v>
      </c>
      <c r="E128">
        <f t="shared" si="3"/>
        <v>0</v>
      </c>
      <c r="F128">
        <v>9750</v>
      </c>
      <c r="G128">
        <f>LNG_global27[[#This Row],[Distance '[miles']]]*1.60934449789256</f>
        <v>15691.108854452459</v>
      </c>
      <c r="H128" t="s">
        <v>240</v>
      </c>
      <c r="I128" t="s">
        <v>284</v>
      </c>
    </row>
    <row r="129" spans="1:9">
      <c r="A129" t="s">
        <v>181</v>
      </c>
      <c r="B129" t="s">
        <v>188</v>
      </c>
      <c r="E129">
        <f t="shared" si="3"/>
        <v>0</v>
      </c>
      <c r="F129">
        <v>8878</v>
      </c>
      <c r="G129">
        <f>LNG_global27[[#This Row],[Distance '[miles']]]*1.60934449789256</f>
        <v>14287.760452290147</v>
      </c>
      <c r="H129" t="s">
        <v>240</v>
      </c>
      <c r="I129" t="s">
        <v>242</v>
      </c>
    </row>
    <row r="130" spans="1:9">
      <c r="A130" t="s">
        <v>181</v>
      </c>
      <c r="B130" t="s">
        <v>189</v>
      </c>
      <c r="E130">
        <f t="shared" ref="E130:E161" si="4">D130/1000</f>
        <v>0</v>
      </c>
      <c r="F130">
        <v>8211</v>
      </c>
      <c r="G130">
        <f>LNG_global27[[#This Row],[Distance '[miles']]]*1.60934449789256</f>
        <v>13214.32767219581</v>
      </c>
      <c r="H130" t="s">
        <v>212</v>
      </c>
      <c r="I130" t="s">
        <v>243</v>
      </c>
    </row>
    <row r="131" spans="1:9">
      <c r="A131" t="s">
        <v>181</v>
      </c>
      <c r="B131" t="s">
        <v>190</v>
      </c>
      <c r="E131">
        <f t="shared" si="4"/>
        <v>0</v>
      </c>
      <c r="F131">
        <v>11169</v>
      </c>
      <c r="G131">
        <f>LNG_global27[[#This Row],[Distance '[miles']]]*1.60934449789256</f>
        <v>17974.768696962001</v>
      </c>
      <c r="H131" t="s">
        <v>212</v>
      </c>
      <c r="I131" t="s">
        <v>244</v>
      </c>
    </row>
    <row r="132" spans="1:9">
      <c r="A132" t="s">
        <v>181</v>
      </c>
      <c r="B132" t="s">
        <v>191</v>
      </c>
      <c r="E132">
        <f t="shared" si="4"/>
        <v>0</v>
      </c>
      <c r="F132">
        <v>5493</v>
      </c>
      <c r="G132">
        <f>LNG_global27[[#This Row],[Distance '[miles']]]*1.60934449789256</f>
        <v>8840.1293269238322</v>
      </c>
      <c r="H132" t="s">
        <v>212</v>
      </c>
      <c r="I132" t="s">
        <v>277</v>
      </c>
    </row>
    <row r="133" spans="1:9">
      <c r="A133" t="s">
        <v>181</v>
      </c>
      <c r="B133" t="s">
        <v>200</v>
      </c>
      <c r="E133">
        <f t="shared" si="4"/>
        <v>0</v>
      </c>
      <c r="F133">
        <v>3985</v>
      </c>
      <c r="G133">
        <f>LNG_global27[[#This Row],[Distance '[miles']]]*1.60934449789256</f>
        <v>6413.2378241018514</v>
      </c>
      <c r="I133" t="s">
        <v>233</v>
      </c>
    </row>
    <row r="134" spans="1:9">
      <c r="A134" t="s">
        <v>181</v>
      </c>
      <c r="B134" t="s">
        <v>201</v>
      </c>
      <c r="E134">
        <f t="shared" si="4"/>
        <v>0</v>
      </c>
      <c r="F134">
        <v>3952</v>
      </c>
      <c r="G134">
        <f>LNG_global27[[#This Row],[Distance '[miles']]]*1.60934449789256</f>
        <v>6360.1294556713965</v>
      </c>
      <c r="I134" t="s">
        <v>251</v>
      </c>
    </row>
    <row r="135" spans="1:9">
      <c r="A135" t="s">
        <v>181</v>
      </c>
      <c r="B135" t="s">
        <v>267</v>
      </c>
      <c r="E135">
        <f t="shared" si="4"/>
        <v>0</v>
      </c>
      <c r="F135">
        <v>4898</v>
      </c>
      <c r="G135">
        <f>LNG_global27[[#This Row],[Distance '[miles']]]*1.60934449789256</f>
        <v>7882.5693506777588</v>
      </c>
      <c r="I135" t="s">
        <v>214</v>
      </c>
    </row>
    <row r="136" spans="1:9">
      <c r="A136" t="s">
        <v>181</v>
      </c>
      <c r="B136" t="s">
        <v>202</v>
      </c>
      <c r="E136">
        <f t="shared" si="4"/>
        <v>0</v>
      </c>
      <c r="F136">
        <v>5075</v>
      </c>
      <c r="G136">
        <f>LNG_global27[[#This Row],[Distance '[miles']]]*1.60934449789256</f>
        <v>8167.4233268047419</v>
      </c>
      <c r="I136" t="s">
        <v>286</v>
      </c>
    </row>
    <row r="137" spans="1:9">
      <c r="A137" t="s">
        <v>181</v>
      </c>
      <c r="B137" t="s">
        <v>204</v>
      </c>
      <c r="E137">
        <f t="shared" si="4"/>
        <v>0</v>
      </c>
      <c r="F137">
        <v>4823</v>
      </c>
      <c r="G137">
        <f>LNG_global27[[#This Row],[Distance '[miles']]]*1.60934449789256</f>
        <v>7761.8685133358167</v>
      </c>
      <c r="I137" t="s">
        <v>217</v>
      </c>
    </row>
    <row r="138" spans="1:9">
      <c r="A138" t="s">
        <v>181</v>
      </c>
      <c r="B138" t="s">
        <v>205</v>
      </c>
      <c r="E138">
        <f t="shared" si="4"/>
        <v>0</v>
      </c>
      <c r="F138">
        <v>4051</v>
      </c>
      <c r="G138">
        <f>LNG_global27[[#This Row],[Distance '[miles']]]*1.60934449789256</f>
        <v>6519.4545609627603</v>
      </c>
      <c r="I138" t="s">
        <v>218</v>
      </c>
    </row>
    <row r="139" spans="1:9">
      <c r="A139" t="s">
        <v>181</v>
      </c>
      <c r="B139" t="s">
        <v>206</v>
      </c>
      <c r="E139">
        <f t="shared" si="4"/>
        <v>0</v>
      </c>
      <c r="F139">
        <v>4632</v>
      </c>
      <c r="G139">
        <f>LNG_global27[[#This Row],[Distance '[miles']]]*1.60934449789256</f>
        <v>7454.4837142383376</v>
      </c>
      <c r="I139" t="s">
        <v>219</v>
      </c>
    </row>
    <row r="140" spans="1:9">
      <c r="A140" t="s">
        <v>181</v>
      </c>
      <c r="B140" t="s">
        <v>207</v>
      </c>
      <c r="E140">
        <f t="shared" si="4"/>
        <v>0</v>
      </c>
      <c r="F140">
        <v>3299</v>
      </c>
      <c r="G140">
        <f>LNG_global27[[#This Row],[Distance '[miles']]]*1.60934449789256</f>
        <v>5309.2274985475551</v>
      </c>
      <c r="I140" t="s">
        <v>220</v>
      </c>
    </row>
    <row r="141" spans="1:9">
      <c r="A141" t="s">
        <v>181</v>
      </c>
      <c r="B141" t="s">
        <v>208</v>
      </c>
      <c r="E141">
        <f t="shared" si="4"/>
        <v>0</v>
      </c>
      <c r="F141">
        <v>3645</v>
      </c>
      <c r="G141">
        <f>LNG_global27[[#This Row],[Distance '[miles']]]*1.60934449789256</f>
        <v>5866.0606948183813</v>
      </c>
      <c r="I141" t="s">
        <v>236</v>
      </c>
    </row>
    <row r="142" spans="1:9">
      <c r="A142" t="s">
        <v>181</v>
      </c>
      <c r="B142" t="s">
        <v>209</v>
      </c>
      <c r="E142">
        <f t="shared" si="4"/>
        <v>0</v>
      </c>
      <c r="F142">
        <v>5052</v>
      </c>
      <c r="G142">
        <f>LNG_global27[[#This Row],[Distance '[miles']]]*1.60934449789256</f>
        <v>8130.4084033532126</v>
      </c>
      <c r="I142" t="s">
        <v>222</v>
      </c>
    </row>
    <row r="143" spans="1:9">
      <c r="A143" t="s">
        <v>181</v>
      </c>
      <c r="B143" t="s">
        <v>210</v>
      </c>
      <c r="E143">
        <f t="shared" si="4"/>
        <v>0</v>
      </c>
      <c r="F143">
        <v>3974</v>
      </c>
      <c r="G143">
        <f>LNG_global27[[#This Row],[Distance '[miles']]]*1.60934449789256</f>
        <v>6395.5350346250334</v>
      </c>
      <c r="I143" t="s">
        <v>280</v>
      </c>
    </row>
    <row r="144" spans="1:9">
      <c r="A144" t="s">
        <v>179</v>
      </c>
      <c r="B144" t="s">
        <v>186</v>
      </c>
      <c r="E144">
        <f t="shared" si="4"/>
        <v>0</v>
      </c>
      <c r="F144">
        <v>5323</v>
      </c>
      <c r="G144">
        <f>LNG_global27[[#This Row],[Distance '[miles']]]*1.60934449789256</f>
        <v>8566.5407622820967</v>
      </c>
      <c r="I144" t="s">
        <v>238</v>
      </c>
    </row>
    <row r="145" spans="1:9">
      <c r="A145" t="s">
        <v>179</v>
      </c>
      <c r="B145" t="s">
        <v>184</v>
      </c>
      <c r="E145">
        <f t="shared" si="4"/>
        <v>0</v>
      </c>
      <c r="F145">
        <v>6194</v>
      </c>
      <c r="G145">
        <f>LNG_global27[[#This Row],[Distance '[miles']]]*1.60934449789256</f>
        <v>9968.279819946516</v>
      </c>
      <c r="I145" t="s">
        <v>239</v>
      </c>
    </row>
    <row r="146" spans="1:9">
      <c r="A146" t="s">
        <v>179</v>
      </c>
      <c r="B146" t="s">
        <v>187</v>
      </c>
      <c r="E146">
        <f t="shared" si="4"/>
        <v>0</v>
      </c>
      <c r="F146">
        <v>10339</v>
      </c>
      <c r="G146">
        <f>LNG_global27[[#This Row],[Distance '[miles']]]*1.60934449789256</f>
        <v>16639.012763711176</v>
      </c>
      <c r="H146" t="s">
        <v>240</v>
      </c>
      <c r="I146" t="s">
        <v>274</v>
      </c>
    </row>
    <row r="147" spans="1:9">
      <c r="A147" t="s">
        <v>179</v>
      </c>
      <c r="B147" t="s">
        <v>188</v>
      </c>
      <c r="E147">
        <f t="shared" si="4"/>
        <v>0</v>
      </c>
      <c r="F147">
        <v>9266</v>
      </c>
      <c r="G147">
        <f>LNG_global27[[#This Row],[Distance '[miles']]]*1.60934449789256</f>
        <v>14912.18611747246</v>
      </c>
      <c r="H147" t="s">
        <v>240</v>
      </c>
      <c r="I147" t="s">
        <v>242</v>
      </c>
    </row>
    <row r="148" spans="1:9">
      <c r="A148" t="s">
        <v>179</v>
      </c>
      <c r="B148" t="s">
        <v>189</v>
      </c>
      <c r="E148">
        <f t="shared" si="4"/>
        <v>0</v>
      </c>
      <c r="F148">
        <v>9568</v>
      </c>
      <c r="G148">
        <f>LNG_global27[[#This Row],[Distance '[miles']]]*1.60934449789256</f>
        <v>15398.208155836013</v>
      </c>
      <c r="H148" t="s">
        <v>212</v>
      </c>
      <c r="I148" t="s">
        <v>243</v>
      </c>
    </row>
    <row r="149" spans="1:9">
      <c r="A149" t="s">
        <v>179</v>
      </c>
      <c r="B149" t="s">
        <v>190</v>
      </c>
      <c r="E149">
        <f t="shared" si="4"/>
        <v>0</v>
      </c>
      <c r="F149">
        <v>12151</v>
      </c>
      <c r="G149">
        <f>LNG_global27[[#This Row],[Distance '[miles']]]*1.60934449789256</f>
        <v>19555.144993892496</v>
      </c>
      <c r="H149" t="s">
        <v>240</v>
      </c>
      <c r="I149" t="s">
        <v>244</v>
      </c>
    </row>
    <row r="150" spans="1:9">
      <c r="A150" t="s">
        <v>179</v>
      </c>
      <c r="B150" t="s">
        <v>191</v>
      </c>
      <c r="E150">
        <f t="shared" si="4"/>
        <v>0</v>
      </c>
      <c r="F150">
        <v>6850</v>
      </c>
      <c r="G150">
        <f>LNG_global27[[#This Row],[Distance '[miles']]]*1.60934449789256</f>
        <v>11024.009810564035</v>
      </c>
      <c r="H150" t="s">
        <v>212</v>
      </c>
      <c r="I150" t="s">
        <v>277</v>
      </c>
    </row>
    <row r="151" spans="1:9">
      <c r="A151" t="s">
        <v>179</v>
      </c>
      <c r="B151" t="s">
        <v>200</v>
      </c>
      <c r="E151">
        <f t="shared" si="4"/>
        <v>0</v>
      </c>
      <c r="F151">
        <v>4986</v>
      </c>
      <c r="G151">
        <f>LNG_global27[[#This Row],[Distance '[miles']]]*1.60934449789256</f>
        <v>8024.1916664923037</v>
      </c>
      <c r="I151" t="s">
        <v>233</v>
      </c>
    </row>
    <row r="152" spans="1:9">
      <c r="A152" t="s">
        <v>179</v>
      </c>
      <c r="B152" t="s">
        <v>201</v>
      </c>
      <c r="E152">
        <f t="shared" si="4"/>
        <v>0</v>
      </c>
      <c r="F152">
        <v>4958</v>
      </c>
      <c r="G152">
        <f>LNG_global27[[#This Row],[Distance '[miles']]]*1.60934449789256</f>
        <v>7979.1300205513126</v>
      </c>
      <c r="I152" t="s">
        <v>251</v>
      </c>
    </row>
    <row r="153" spans="1:9">
      <c r="A153" t="s">
        <v>179</v>
      </c>
      <c r="B153" t="s">
        <v>267</v>
      </c>
      <c r="E153">
        <f t="shared" si="4"/>
        <v>0</v>
      </c>
      <c r="F153">
        <v>6255</v>
      </c>
      <c r="G153">
        <f>LNG_global27[[#This Row],[Distance '[miles']]]*1.60934449789256</f>
        <v>10066.449834317962</v>
      </c>
      <c r="I153" t="s">
        <v>214</v>
      </c>
    </row>
    <row r="154" spans="1:9">
      <c r="A154" t="s">
        <v>179</v>
      </c>
      <c r="B154" t="s">
        <v>202</v>
      </c>
      <c r="E154">
        <f t="shared" si="4"/>
        <v>0</v>
      </c>
      <c r="F154">
        <v>5631</v>
      </c>
      <c r="G154">
        <f>LNG_global27[[#This Row],[Distance '[miles']]]*1.60934449789256</f>
        <v>9062.2188676330043</v>
      </c>
      <c r="I154" t="s">
        <v>275</v>
      </c>
    </row>
    <row r="155" spans="1:9">
      <c r="A155" t="s">
        <v>179</v>
      </c>
      <c r="B155" t="s">
        <v>204</v>
      </c>
      <c r="E155">
        <f t="shared" si="4"/>
        <v>0</v>
      </c>
      <c r="F155">
        <v>5634</v>
      </c>
      <c r="G155">
        <f>LNG_global27[[#This Row],[Distance '[miles']]]*1.60934449789256</f>
        <v>9067.0469011266832</v>
      </c>
      <c r="I155" t="s">
        <v>217</v>
      </c>
    </row>
    <row r="156" spans="1:9">
      <c r="A156" t="s">
        <v>179</v>
      </c>
      <c r="B156" t="s">
        <v>205</v>
      </c>
      <c r="E156">
        <f t="shared" si="4"/>
        <v>0</v>
      </c>
      <c r="F156">
        <v>5052</v>
      </c>
      <c r="G156">
        <f>LNG_global27[[#This Row],[Distance '[miles']]]*1.60934449789256</f>
        <v>8130.4084033532126</v>
      </c>
      <c r="I156" t="s">
        <v>218</v>
      </c>
    </row>
    <row r="157" spans="1:9">
      <c r="A157" t="s">
        <v>179</v>
      </c>
      <c r="B157" t="s">
        <v>206</v>
      </c>
      <c r="E157">
        <f t="shared" si="4"/>
        <v>0</v>
      </c>
      <c r="F157">
        <v>5443</v>
      </c>
      <c r="G157">
        <f>LNG_global27[[#This Row],[Distance '[miles']]]*1.60934449789256</f>
        <v>8759.6621020292041</v>
      </c>
      <c r="I157" t="s">
        <v>219</v>
      </c>
    </row>
    <row r="158" spans="1:9">
      <c r="A158" t="s">
        <v>179</v>
      </c>
      <c r="B158" t="s">
        <v>207</v>
      </c>
      <c r="E158">
        <f t="shared" si="4"/>
        <v>0</v>
      </c>
      <c r="F158">
        <v>4565</v>
      </c>
      <c r="G158">
        <f>LNG_global27[[#This Row],[Distance '[miles']]]*1.60934449789256</f>
        <v>7346.6576328795363</v>
      </c>
      <c r="I158" t="s">
        <v>220</v>
      </c>
    </row>
    <row r="159" spans="1:9">
      <c r="A159" t="s">
        <v>179</v>
      </c>
      <c r="B159" t="s">
        <v>208</v>
      </c>
      <c r="E159">
        <f t="shared" si="4"/>
        <v>0</v>
      </c>
      <c r="F159">
        <v>4697</v>
      </c>
      <c r="G159">
        <f>LNG_global27[[#This Row],[Distance '[miles']]]*1.60934449789256</f>
        <v>7559.0911066013541</v>
      </c>
      <c r="I159" t="s">
        <v>247</v>
      </c>
    </row>
    <row r="160" spans="1:9">
      <c r="A160" t="s">
        <v>179</v>
      </c>
      <c r="B160" t="s">
        <v>209</v>
      </c>
      <c r="E160">
        <f t="shared" si="4"/>
        <v>0</v>
      </c>
      <c r="F160">
        <v>6409</v>
      </c>
      <c r="G160">
        <f>LNG_global27[[#This Row],[Distance '[miles']]]*1.60934449789256</f>
        <v>10314.288886993416</v>
      </c>
      <c r="I160" t="s">
        <v>222</v>
      </c>
    </row>
    <row r="161" spans="1:9">
      <c r="A161" t="s">
        <v>179</v>
      </c>
      <c r="B161" t="s">
        <v>210</v>
      </c>
      <c r="E161">
        <f t="shared" si="4"/>
        <v>0</v>
      </c>
      <c r="F161">
        <v>4666</v>
      </c>
      <c r="G161">
        <f>LNG_global27[[#This Row],[Distance '[miles']]]*1.60934449789256</f>
        <v>7509.2014271666849</v>
      </c>
      <c r="I161" t="s">
        <v>237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workbookViewId="0">
      <selection activeCell="I21" sqref="I21"/>
    </sheetView>
  </sheetViews>
  <sheetFormatPr defaultColWidth="8.81640625" defaultRowHeight="14.5"/>
  <cols>
    <col min="3" max="3" width="21.81640625" customWidth="1"/>
    <col min="4" max="4" width="9" customWidth="1"/>
    <col min="6" max="6" width="16.453125" customWidth="1"/>
    <col min="7" max="7" width="15.45312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G2">
        <f>LNG_global[[#This Row],[Distance '[miles']]]*1.60934449789256</f>
        <v>0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39"/>
  <sheetViews>
    <sheetView workbookViewId="0">
      <selection activeCell="L25" sqref="L25"/>
    </sheetView>
  </sheetViews>
  <sheetFormatPr defaultColWidth="8.81640625" defaultRowHeight="14.5"/>
  <cols>
    <col min="3" max="3" width="21.81640625" customWidth="1"/>
    <col min="4" max="4" width="9" customWidth="1"/>
    <col min="6" max="6" width="16.453125" customWidth="1"/>
    <col min="7" max="7" width="15.45312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  <c r="M11" t="s">
        <v>310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39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  <row r="216" spans="1:9">
      <c r="A216" t="s">
        <v>308</v>
      </c>
      <c r="B216" t="s">
        <v>200</v>
      </c>
      <c r="E216">
        <f t="shared" si="12"/>
        <v>0</v>
      </c>
      <c r="F216">
        <v>1375</v>
      </c>
      <c r="G216">
        <f>LNG_global14[[#This Row],[Distance '[miles']]]*1.60934449789256</f>
        <v>2212.8486846022697</v>
      </c>
      <c r="I216" t="s">
        <v>233</v>
      </c>
    </row>
    <row r="217" spans="1:9">
      <c r="A217" t="s">
        <v>308</v>
      </c>
      <c r="B217" t="s">
        <v>201</v>
      </c>
      <c r="E217">
        <f t="shared" si="12"/>
        <v>0</v>
      </c>
      <c r="F217">
        <v>1851</v>
      </c>
      <c r="G217">
        <f>LNG_global14[[#This Row],[Distance '[miles']]]*1.60934449789256</f>
        <v>2978.8966655991285</v>
      </c>
      <c r="I217" t="s">
        <v>278</v>
      </c>
    </row>
    <row r="218" spans="1:9">
      <c r="A218" t="s">
        <v>308</v>
      </c>
      <c r="B218" t="s">
        <v>267</v>
      </c>
      <c r="E218">
        <f t="shared" si="12"/>
        <v>0</v>
      </c>
      <c r="F218">
        <v>4096</v>
      </c>
      <c r="G218">
        <f>LNG_global14[[#This Row],[Distance '[miles']]]*1.60934449789256</f>
        <v>6591.8750633679256</v>
      </c>
      <c r="I218" t="s">
        <v>214</v>
      </c>
    </row>
    <row r="219" spans="1:9">
      <c r="A219" t="s">
        <v>308</v>
      </c>
      <c r="B219" t="s">
        <v>202</v>
      </c>
      <c r="E219">
        <f t="shared" si="12"/>
        <v>0</v>
      </c>
      <c r="F219">
        <v>3478</v>
      </c>
      <c r="G219">
        <f>LNG_global14[[#This Row],[Distance '[miles']]]*1.60934449789256</f>
        <v>5597.3001636703239</v>
      </c>
      <c r="I219" t="s">
        <v>215</v>
      </c>
    </row>
    <row r="220" spans="1:9">
      <c r="A220" t="s">
        <v>308</v>
      </c>
      <c r="B220" t="s">
        <v>203</v>
      </c>
      <c r="E220">
        <f t="shared" si="12"/>
        <v>0</v>
      </c>
      <c r="F220">
        <v>4221</v>
      </c>
      <c r="G220">
        <f>LNG_global14[[#This Row],[Distance '[miles']]]*1.60934449789256</f>
        <v>6793.0431256044958</v>
      </c>
      <c r="I220" t="s">
        <v>216</v>
      </c>
    </row>
    <row r="221" spans="1:9">
      <c r="A221" t="s">
        <v>308</v>
      </c>
      <c r="B221" t="s">
        <v>204</v>
      </c>
      <c r="E221">
        <f t="shared" si="12"/>
        <v>0</v>
      </c>
      <c r="F221">
        <v>1575</v>
      </c>
      <c r="G221">
        <f>LNG_global14[[#This Row],[Distance '[miles']]]*1.60934449789256</f>
        <v>2534.7175841807821</v>
      </c>
      <c r="I221" t="s">
        <v>217</v>
      </c>
    </row>
    <row r="222" spans="1:9">
      <c r="A222" t="s">
        <v>308</v>
      </c>
      <c r="B222" t="s">
        <v>205</v>
      </c>
      <c r="E222">
        <f t="shared" si="12"/>
        <v>0</v>
      </c>
      <c r="F222">
        <v>1332</v>
      </c>
      <c r="G222">
        <f>LNG_global14[[#This Row],[Distance '[miles']]]*1.60934449789256</f>
        <v>2143.6468711928896</v>
      </c>
      <c r="I222" t="s">
        <v>218</v>
      </c>
    </row>
    <row r="223" spans="1:9">
      <c r="A223" t="s">
        <v>308</v>
      </c>
      <c r="B223" t="s">
        <v>206</v>
      </c>
      <c r="E223">
        <f t="shared" si="12"/>
        <v>0</v>
      </c>
      <c r="F223">
        <v>1384</v>
      </c>
      <c r="G223">
        <f>LNG_global14[[#This Row],[Distance '[miles']]]*1.60934449789256</f>
        <v>2227.332785083303</v>
      </c>
      <c r="I223" t="s">
        <v>219</v>
      </c>
    </row>
    <row r="224" spans="1:9">
      <c r="A224" t="s">
        <v>308</v>
      </c>
      <c r="B224" t="s">
        <v>207</v>
      </c>
      <c r="E224">
        <f t="shared" si="12"/>
        <v>0</v>
      </c>
      <c r="F224">
        <v>2360</v>
      </c>
      <c r="G224">
        <f>LNG_global14[[#This Row],[Distance '[miles']]]*1.60934449789256</f>
        <v>3798.0530150264417</v>
      </c>
      <c r="I224" t="s">
        <v>220</v>
      </c>
    </row>
    <row r="225" spans="1:9">
      <c r="A225" t="s">
        <v>308</v>
      </c>
      <c r="B225" t="s">
        <v>208</v>
      </c>
      <c r="E225">
        <f t="shared" si="12"/>
        <v>0</v>
      </c>
      <c r="F225">
        <v>2019</v>
      </c>
      <c r="G225">
        <f>LNG_global14[[#This Row],[Distance '[miles']]]*1.60934449789256</f>
        <v>3249.2665412450788</v>
      </c>
      <c r="I225" t="s">
        <v>236</v>
      </c>
    </row>
    <row r="226" spans="1:9">
      <c r="A226" t="s">
        <v>308</v>
      </c>
      <c r="B226" t="s">
        <v>209</v>
      </c>
      <c r="E226">
        <f t="shared" si="12"/>
        <v>0</v>
      </c>
      <c r="F226">
        <v>4250</v>
      </c>
      <c r="G226">
        <f>LNG_global14[[#This Row],[Distance '[miles']]]*1.60934449789256</f>
        <v>6839.7141160433794</v>
      </c>
      <c r="I226" t="s">
        <v>222</v>
      </c>
    </row>
    <row r="227" spans="1:9">
      <c r="A227" t="s">
        <v>308</v>
      </c>
      <c r="B227" t="s">
        <v>210</v>
      </c>
      <c r="E227">
        <f t="shared" si="12"/>
        <v>0</v>
      </c>
      <c r="F227">
        <v>1378</v>
      </c>
      <c r="G227">
        <f>LNG_global14[[#This Row],[Distance '[miles']]]*1.60934449789256</f>
        <v>2217.6767180959478</v>
      </c>
      <c r="I227" t="s">
        <v>280</v>
      </c>
    </row>
    <row r="228" spans="1:9">
      <c r="A228" t="s">
        <v>308</v>
      </c>
      <c r="B228" t="s">
        <v>223</v>
      </c>
      <c r="E228">
        <f t="shared" si="12"/>
        <v>0</v>
      </c>
      <c r="F228">
        <v>1787</v>
      </c>
      <c r="G228">
        <f>LNG_global14[[#This Row],[Distance '[miles']]]*1.60934449789256</f>
        <v>2875.8986177340048</v>
      </c>
      <c r="I228" t="s">
        <v>228</v>
      </c>
    </row>
    <row r="229" spans="1:9">
      <c r="A229" t="s">
        <v>308</v>
      </c>
      <c r="B229" t="s">
        <v>224</v>
      </c>
      <c r="E229">
        <f t="shared" si="12"/>
        <v>0</v>
      </c>
      <c r="F229">
        <v>1787</v>
      </c>
      <c r="G229">
        <f>LNG_global14[[#This Row],[Distance '[miles']]]*1.60934449789256</f>
        <v>2875.8986177340048</v>
      </c>
      <c r="I229" t="s">
        <v>229</v>
      </c>
    </row>
    <row r="230" spans="1:9">
      <c r="A230" t="s">
        <v>308</v>
      </c>
      <c r="B230" t="s">
        <v>225</v>
      </c>
      <c r="E230">
        <f t="shared" si="12"/>
        <v>0</v>
      </c>
      <c r="F230">
        <v>1241</v>
      </c>
      <c r="G230">
        <f>LNG_global14[[#This Row],[Distance '[miles']]]*1.60934449789256</f>
        <v>1997.1965218846669</v>
      </c>
      <c r="I230" t="s">
        <v>230</v>
      </c>
    </row>
    <row r="231" spans="1:9">
      <c r="A231" t="s">
        <v>308</v>
      </c>
      <c r="B231" t="s">
        <v>226</v>
      </c>
      <c r="E231">
        <f t="shared" si="12"/>
        <v>0</v>
      </c>
      <c r="F231">
        <v>1596</v>
      </c>
      <c r="G231">
        <f>LNG_global14[[#This Row],[Distance '[miles']]]*1.60934449789256</f>
        <v>2568.5138186365257</v>
      </c>
      <c r="I231" t="s">
        <v>231</v>
      </c>
    </row>
    <row r="232" spans="1:9">
      <c r="A232" t="s">
        <v>308</v>
      </c>
      <c r="B232" t="s">
        <v>227</v>
      </c>
      <c r="E232">
        <f t="shared" si="12"/>
        <v>0</v>
      </c>
      <c r="F232">
        <v>1727</v>
      </c>
      <c r="G232">
        <f>LNG_global14[[#This Row],[Distance '[miles']]]*1.60934449789256</f>
        <v>2779.3379478604511</v>
      </c>
      <c r="I232" t="s">
        <v>232</v>
      </c>
    </row>
    <row r="233" spans="1:9">
      <c r="A233" t="s">
        <v>308</v>
      </c>
      <c r="B233" t="s">
        <v>186</v>
      </c>
      <c r="E233">
        <f t="shared" si="12"/>
        <v>0</v>
      </c>
      <c r="F233">
        <v>6412</v>
      </c>
      <c r="G233">
        <f>LNG_global14[[#This Row],[Distance '[miles']]]*1.60934449789256</f>
        <v>10319.116920487095</v>
      </c>
      <c r="I233" t="s">
        <v>238</v>
      </c>
    </row>
    <row r="234" spans="1:9">
      <c r="A234" t="s">
        <v>308</v>
      </c>
      <c r="B234" t="s">
        <v>184</v>
      </c>
      <c r="E234">
        <f t="shared" si="12"/>
        <v>0</v>
      </c>
      <c r="F234">
        <v>5641</v>
      </c>
      <c r="G234">
        <f>LNG_global14[[#This Row],[Distance '[miles']]]*1.60934449789256</f>
        <v>9078.3123126119299</v>
      </c>
      <c r="I234" t="s">
        <v>239</v>
      </c>
    </row>
    <row r="235" spans="1:9">
      <c r="A235" t="s">
        <v>308</v>
      </c>
      <c r="B235" t="s">
        <v>187</v>
      </c>
      <c r="E235">
        <f t="shared" si="12"/>
        <v>0</v>
      </c>
      <c r="F235">
        <v>11773</v>
      </c>
      <c r="G235">
        <f>LNG_global14[[#This Row],[Distance '[miles']]]*1.60934449789256</f>
        <v>18946.812773689107</v>
      </c>
      <c r="H235" t="s">
        <v>212</v>
      </c>
      <c r="I235" t="s">
        <v>284</v>
      </c>
    </row>
    <row r="236" spans="1:9">
      <c r="A236" t="s">
        <v>308</v>
      </c>
      <c r="B236" t="s">
        <v>188</v>
      </c>
      <c r="E236">
        <f t="shared" si="12"/>
        <v>0</v>
      </c>
      <c r="F236">
        <v>12440</v>
      </c>
      <c r="G236">
        <f>LNG_global14[[#This Row],[Distance '[miles']]]*1.60934449789256</f>
        <v>20020.245553783447</v>
      </c>
      <c r="H236" t="s">
        <v>212</v>
      </c>
      <c r="I236" t="s">
        <v>242</v>
      </c>
    </row>
    <row r="237" spans="1:9">
      <c r="A237" t="s">
        <v>308</v>
      </c>
      <c r="B237" t="s">
        <v>189</v>
      </c>
      <c r="E237">
        <f t="shared" si="12"/>
        <v>0</v>
      </c>
      <c r="F237">
        <v>7409</v>
      </c>
      <c r="G237">
        <f>LNG_global14[[#This Row],[Distance '[miles']]]*1.60934449789256</f>
        <v>11923.633384885976</v>
      </c>
      <c r="H237" t="s">
        <v>212</v>
      </c>
      <c r="I237" t="s">
        <v>243</v>
      </c>
    </row>
    <row r="238" spans="1:9">
      <c r="A238" t="s">
        <v>308</v>
      </c>
      <c r="B238" t="s">
        <v>190</v>
      </c>
      <c r="E238">
        <f t="shared" si="12"/>
        <v>0</v>
      </c>
      <c r="F238">
        <v>10367</v>
      </c>
      <c r="G238">
        <f>LNG_global14[[#This Row],[Distance '[miles']]]*1.60934449789256</f>
        <v>16684.07440965217</v>
      </c>
      <c r="I238" t="s">
        <v>244</v>
      </c>
    </row>
    <row r="239" spans="1:9">
      <c r="A239" t="s">
        <v>308</v>
      </c>
      <c r="B239" t="s">
        <v>191</v>
      </c>
      <c r="E239">
        <f t="shared" si="12"/>
        <v>0</v>
      </c>
      <c r="F239">
        <v>4407</v>
      </c>
      <c r="G239">
        <f>LNG_global14[[#This Row],[Distance '[miles']]]*1.60934449789256</f>
        <v>7092.3812022125121</v>
      </c>
      <c r="I239" t="s">
        <v>309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0AD5-EC75-42AE-8141-9B506E463609}">
  <dimension ref="A1:M215"/>
  <sheetViews>
    <sheetView workbookViewId="0">
      <selection activeCell="M212" sqref="M212"/>
    </sheetView>
  </sheetViews>
  <sheetFormatPr defaultColWidth="8.81640625" defaultRowHeight="14.5"/>
  <cols>
    <col min="3" max="3" width="21.81640625" customWidth="1"/>
    <col min="4" max="4" width="9" customWidth="1"/>
    <col min="6" max="6" width="16.453125" customWidth="1"/>
    <col min="7" max="7" width="15.45312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LNG_global1423[[#This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LNG_global1423[[#This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LNG_global1423[[#This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LNG_global1423[[#This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LNG_global1423[[#This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LNG_global1423[[#This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LNG_global1423[[#This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LNG_global1423[[#This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LNG_global1423[[#This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LNG_global1423[[#This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LNG_global1423[[#This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LNG_global1423[[#This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LNG_global1423[[#This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LNG_global1423[[#This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LNG_global1423[[#This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LNG_global1423[[#This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LNG_global1423[[#This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LNG_global1423[[#This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LNG_global1423[[#This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LNG_global1423[[#This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LNG_global1423[[#This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LNG_global1423[[#This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LNG_global1423[[#This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LNG_global1423[[#This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LNG_global1423[[#This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LNG_global1423[[#This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LNG_global1423[[#This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LNG_global1423[[#This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LNG_global1423[[#This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LNG_global1423[[#This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LNG_global1423[[#This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LNG_global1423[[#This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LNG_global1423[[#This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LNG_global1423[[#This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LNG_global1423[[#This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LNG_global1423[[#This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LNG_global1423[[#This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LNG_global1423[[#This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LNG_global1423[[#This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LNG_global1423[[#This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LNG_global1423[[#This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LNG_global1423[[#This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LNG_global1423[[#This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LNG_global1423[[#This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LNG_global1423[[#This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LNG_global1423[[#This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LNG_global1423[[#This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LNG_global1423[[#This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LNG_global1423[[#This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LNG_global1423[[#This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LNG_global1423[[#This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LNG_global1423[[#This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LNG_global1423[[#This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LNG_global1423[[#This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LNG_global1423[[#This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LNG_global1423[[#This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LNG_global1423[[#This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LNG_global1423[[#This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LNG_global1423[[#This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LNG_global1423[[#This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LNG_global1423[[#This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LNG_global1423[[#This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LNG_global1423[[#This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LNG_global1423[[#This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LNG_global1423[[#This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LNG_global1423[[#This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LNG_global1423[[#This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LNG_global1423[[#This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LNG_global1423[[#This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LNG_global1423[[#This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LNG_global1423[[#This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LNG_global1423[[#This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LNG_global1423[[#This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LNG_global1423[[#This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LNG_global1423[[#This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LNG_global1423[[#This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LNG_global1423[[#This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LNG_global1423[[#This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LNG_global1423[[#This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LNG_global1423[[#This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LNG_global1423[[#This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LNG_global1423[[#This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LNG_global1423[[#This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LNG_global1423[[#This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LNG_global1423[[#This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LNG_global1423[[#This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LNG_global1423[[#This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LNG_global1423[[#This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LNG_global1423[[#This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LNG_global1423[[#This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LNG_global1423[[#This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LNG_global1423[[#This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LNG_global1423[[#This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LNG_global1423[[#This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LNG_global1423[[#This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LNG_global1423[[#This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LNG_global1423[[#This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LNG_global1423[[#This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LNG_global1423[[#This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LNG_global1423[[#This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LNG_global1423[[#This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LNG_global1423[[#This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LNG_global1423[[#This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LNG_global1423[[#This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LNG_global1423[[#This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LNG_global1423[[#This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LNG_global1423[[#This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LNG_global1423[[#This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LNG_global1423[[#This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LNG_global1423[[#This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LNG_global1423[[#This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LNG_global1423[[#This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LNG_global1423[[#This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LNG_global1423[[#This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LNG_global1423[[#This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LNG_global1423[[#This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LNG_global1423[[#This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LNG_global1423[[#This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LNG_global1423[[#This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LNG_global1423[[#This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LNG_global1423[[#This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LNG_global1423[[#This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LNG_global1423[[#This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LNG_global1423[[#This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LNG_global1423[[#This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LNG_global1423[[#This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LNG_global1423[[#This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LNG_global1423[[#This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LNG_global1423[[#This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LNG_global1423[[#This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LNG_global1423[[#This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LNG_global1423[[#This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LNG_global1423[[#This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LNG_global1423[[#This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LNG_global1423[[#This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LNG_global1423[[#This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LNG_global1423[[#This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LNG_global1423[[#This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LNG_global1423[[#This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LNG_global1423[[#This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LNG_global1423[[#This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LNG_global1423[[#This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LNG_global1423[[#This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LNG_global1423[[#This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LNG_global1423[[#This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LNG_global1423[[#This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LNG_global1423[[#This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LNG_global1423[[#This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LNG_global1423[[#This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LNG_global1423[[#This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LNG_global1423[[#This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LNG_global1423[[#This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LNG_global1423[[#This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LNG_global1423[[#This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LNG_global1423[[#This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LNG_global1423[[#This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LNG_global1423[[#This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LNG_global1423[[#This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LNG_global1423[[#This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LNG_global1423[[#This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LNG_global1423[[#This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LNG_global1423[[#This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LNG_global1423[[#This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LNG_global1423[[#This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LNG_global1423[[#This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LNG_global1423[[#This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LNG_global1423[[#This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LNG_global1423[[#This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LNG_global1423[[#This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LNG_global1423[[#This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LNG_global1423[[#This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LNG_global1423[[#This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LNG_global1423[[#This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LNG_global1423[[#This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LNG_global1423[[#This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LNG_global1423[[#This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LNG_global1423[[#This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LNG_global1423[[#This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LNG_global1423[[#This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LNG_global1423[[#This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LNG_global1423[[#This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LNG_global1423[[#This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LNG_global1423[[#This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LNG_global1423[[#This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LNG_global1423[[#This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LNG_global1423[[#This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LNG_global1423[[#This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LNG_global1423[[#This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LNG_global1423[[#This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LNG_global1423[[#This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LNG_global1423[[#This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LNG_global1423[[#This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LNG_global1423[[#This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LNG_global1423[[#This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LNG_global1423[[#This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LNG_global1423[[#This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LNG_global1423[[#This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LNG_global1423[[#This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LNG_global1423[[#This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LNG_global1423[[#This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LNG_global1423[[#This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LNG_global1423[[#This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LNG_global1423[[#This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LNG_global1423[[#This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LNG_global1423[[#This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LNG_global1423[[#This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LNG_global1423[[#This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LNG_global1423[[#This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LNG_global1423[[#This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LNG_global1423[[#This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LNG_global1423[[#This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LNG_global1423[[#This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LNG_global1423[[#This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LNG_global1423[[#This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nodes_lng_europe_2019</vt:lpstr>
      <vt:lpstr>nodes_lng_europe_2020</vt:lpstr>
      <vt:lpstr>nodes_lng_europe_2024</vt:lpstr>
      <vt:lpstr>nodes_lng_europe_2035</vt:lpstr>
      <vt:lpstr>nodes_gas_prod_europe_2019</vt:lpstr>
      <vt:lpstr>nodes_gas_prod_world_2019</vt:lpstr>
      <vt:lpstr>nodes_gas_prod_europe_2020</vt:lpstr>
      <vt:lpstr>nodes_gas_prod_world_2020</vt:lpstr>
      <vt:lpstr>nodes_gas_prod_europe_2024</vt:lpstr>
      <vt:lpstr>nodes_gas_prod_world_2024</vt:lpstr>
      <vt:lpstr>nodes_gas_prod_europe_2035_SP</vt:lpstr>
      <vt:lpstr>nodes_gas_prod_europe_2035_AP</vt:lpstr>
      <vt:lpstr>nodes_gas_prod_world_2035</vt:lpstr>
      <vt:lpstr>nodes_demand_europe_2019</vt:lpstr>
      <vt:lpstr>nodes_demand_europe_2020</vt:lpstr>
      <vt:lpstr>nodes_demand_europe_2024</vt:lpstr>
      <vt:lpstr>nodes_demand_europe_2035</vt:lpstr>
      <vt:lpstr>nodes_demand_europe_2035_SP</vt:lpstr>
      <vt:lpstr>nodes_demand_europe_2035_AP</vt:lpstr>
      <vt:lpstr>nodes_demand_world_2019</vt:lpstr>
      <vt:lpstr>nodes_demand_world_2020</vt:lpstr>
      <vt:lpstr>nodes_demand_world_2024</vt:lpstr>
      <vt:lpstr>nodes_demand_world_2035</vt:lpstr>
      <vt:lpstr>Import_Connections_EU</vt:lpstr>
      <vt:lpstr>Connections_2019</vt:lpstr>
      <vt:lpstr>Connections_2020</vt:lpstr>
      <vt:lpstr>Connections_2024</vt:lpstr>
      <vt:lpstr>Connections_2035</vt:lpstr>
      <vt:lpstr>Global_Connections</vt:lpstr>
      <vt:lpstr>global_LNG_connections_2019</vt:lpstr>
      <vt:lpstr>global_LNG_connections_2020</vt:lpstr>
      <vt:lpstr>global_LNG_connections_2024</vt:lpstr>
      <vt:lpstr>global_LNG_connections_2035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2026-04-14T13:19:16Z</dcterms:modified>
</cp:coreProperties>
</file>