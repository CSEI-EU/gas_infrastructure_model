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D7555382-E962-4D0A-9BCF-DC91D0C33829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7" i="9" l="1"/>
  <c r="E128" i="9"/>
  <c r="E129" i="9"/>
  <c r="E133" i="9"/>
  <c r="E134" i="9"/>
  <c r="E122" i="9"/>
  <c r="E123" i="9"/>
  <c r="E124" i="9"/>
  <c r="E125" i="9"/>
  <c r="E126" i="9"/>
  <c r="E130" i="9"/>
  <c r="E131" i="9"/>
  <c r="E132" i="9"/>
  <c r="E135" i="9"/>
  <c r="E136" i="9"/>
  <c r="E137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E121" i="9"/>
  <c r="G121" i="9"/>
  <c r="E106" i="9"/>
  <c r="E108" i="9"/>
  <c r="E109" i="9"/>
  <c r="E112" i="9"/>
  <c r="E105" i="9"/>
  <c r="E107" i="9"/>
  <c r="E110" i="9"/>
  <c r="E111" i="9"/>
  <c r="E113" i="9"/>
  <c r="E114" i="9"/>
  <c r="E115" i="9"/>
  <c r="E116" i="9"/>
  <c r="E117" i="9"/>
  <c r="E118" i="9"/>
  <c r="E119" i="9"/>
  <c r="E120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E104" i="9"/>
  <c r="G104" i="9"/>
  <c r="E89" i="9"/>
  <c r="E91" i="9"/>
  <c r="E92" i="9"/>
  <c r="E93" i="9"/>
  <c r="E95" i="9"/>
  <c r="E101" i="9"/>
  <c r="E88" i="9"/>
  <c r="E90" i="9"/>
  <c r="E94" i="9"/>
  <c r="E96" i="9"/>
  <c r="E97" i="9"/>
  <c r="E98" i="9"/>
  <c r="E99" i="9"/>
  <c r="E100" i="9"/>
  <c r="E102" i="9"/>
  <c r="E103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E87" i="9"/>
  <c r="G87" i="9"/>
  <c r="E83" i="9"/>
  <c r="E84" i="9"/>
  <c r="E85" i="9"/>
  <c r="E86" i="9"/>
  <c r="E82" i="9"/>
  <c r="G82" i="9"/>
  <c r="G83" i="9"/>
  <c r="G84" i="9"/>
  <c r="G85" i="9"/>
  <c r="G86" i="9"/>
  <c r="E73" i="9"/>
  <c r="E77" i="9"/>
  <c r="E78" i="9"/>
  <c r="E71" i="9"/>
  <c r="E72" i="9"/>
  <c r="E74" i="9"/>
  <c r="E75" i="9"/>
  <c r="E76" i="9"/>
  <c r="E79" i="9"/>
  <c r="E80" i="9"/>
  <c r="E81" i="9"/>
  <c r="G71" i="9"/>
  <c r="G72" i="9"/>
  <c r="G73" i="9"/>
  <c r="G74" i="9"/>
  <c r="G75" i="9"/>
  <c r="G76" i="9"/>
  <c r="G77" i="9"/>
  <c r="G78" i="9"/>
  <c r="G79" i="9"/>
  <c r="G80" i="9"/>
  <c r="G81" i="9"/>
  <c r="E70" i="9"/>
  <c r="G70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<sst xmlns="http://schemas.openxmlformats.org/spreadsheetml/2006/main" count="1642" uniqueCount="255">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</sst>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37" totalsRowShown="0" headerRowDxfId="5" headerRowBorderDxfId="4" tableBorderDxfId="3" totalsRowBorderDxfId="2">
  <autoFilter ref="A1:I137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LNG_global[[#This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37"/>
  <sheetViews>
    <sheetView tabSelected="1" workbookViewId="0">
      <selection activeCell="M6" sqref="M6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LNG_global[[#This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LNG_global[[#This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LNG_global[[#This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LNG_global[[#This Row],[Distance '[miles']]]*1.60934449789256</f>
        <v>0</v>
      </c>
      <c r="M5" t="s">
        <v>254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LNG_global[[#This Row],[Distance '[miles']]]*1.60934449789256</f>
        <v>0</v>
      </c>
    </row>
    <row r="7" spans="1:13">
      <c r="A7" t="s">
        <v>191</v>
      </c>
      <c r="B7" t="s">
        <v>185</v>
      </c>
      <c r="E7">
        <f t="shared" si="1"/>
        <v>0</v>
      </c>
      <c r="G7">
        <f>LNG_global[[#This Row],[Distance '[miles']]]*1.60934449789256</f>
        <v>0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LNG_global[[#This Row],[Distance '[miles']]]*1.60934449789256</f>
        <v>8566.5407622820967</v>
      </c>
      <c r="I8" t="s">
        <v>245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LNG_global[[#This Row],[Distance '[miles']]]*1.60934449789256</f>
        <v>9968.279819946516</v>
      </c>
      <c r="I9" t="s">
        <v>246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LNG_global[[#This Row],[Distance '[miles']]]*1.60934449789256</f>
        <v>16405.657811516758</v>
      </c>
      <c r="H10" t="s">
        <v>247</v>
      </c>
      <c r="I10" t="s">
        <v>248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LNG_global[[#This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LNG_global[[#This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LNG_global[[#This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LNG_global[[#This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LNG_global[[#This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LNG_global[[#This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LNG_global[[#This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LNG_global[[#This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LNG_global[[#This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LNG_global[[#This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LNG_global[[#This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F22">
        <v>8091</v>
      </c>
      <c r="G22">
        <f>LNG_global[[#This Row],[Distance '[miles']]]*1.60934449789256</f>
        <v>13021.206332448703</v>
      </c>
      <c r="I22" t="s">
        <v>245</v>
      </c>
    </row>
    <row r="23" spans="1:9">
      <c r="A23" t="s">
        <v>188</v>
      </c>
      <c r="B23" t="s">
        <v>190</v>
      </c>
      <c r="E23">
        <f t="shared" si="1"/>
        <v>0</v>
      </c>
      <c r="F23">
        <v>7282</v>
      </c>
      <c r="G23">
        <f>LNG_global[[#This Row],[Distance '[miles']]]*1.60934449789256</f>
        <v>11719.246633653622</v>
      </c>
      <c r="I23" t="s">
        <v>246</v>
      </c>
    </row>
    <row r="24" spans="1:9">
      <c r="A24" t="s">
        <v>188</v>
      </c>
      <c r="B24" t="s">
        <v>193</v>
      </c>
      <c r="E24">
        <f t="shared" si="1"/>
        <v>0</v>
      </c>
      <c r="F24">
        <v>6160</v>
      </c>
      <c r="G24">
        <f>LNG_global[[#This Row],[Distance '[miles']]]*1.60934449789256</f>
        <v>9913.5621070181696</v>
      </c>
      <c r="I24" t="s">
        <v>248</v>
      </c>
    </row>
    <row r="25" spans="1:9">
      <c r="A25" t="s">
        <v>188</v>
      </c>
      <c r="B25" t="s">
        <v>194</v>
      </c>
      <c r="E25">
        <f t="shared" si="1"/>
        <v>0</v>
      </c>
      <c r="F25">
        <v>6445</v>
      </c>
      <c r="G25">
        <f>LNG_global[[#This Row],[Distance '[miles']]]*1.60934449789256</f>
        <v>10372.225288917549</v>
      </c>
      <c r="I25" t="s">
        <v>249</v>
      </c>
    </row>
    <row r="26" spans="1:9">
      <c r="A26" t="s">
        <v>188</v>
      </c>
      <c r="B26" t="s">
        <v>195</v>
      </c>
      <c r="E26">
        <f t="shared" si="1"/>
        <v>0</v>
      </c>
      <c r="F26">
        <v>951</v>
      </c>
      <c r="G26">
        <f>LNG_global[[#This Row],[Distance '[miles']]]*1.60934449789256</f>
        <v>1530.4866174958245</v>
      </c>
      <c r="I26" t="s">
        <v>250</v>
      </c>
    </row>
    <row r="27" spans="1:9">
      <c r="A27" t="s">
        <v>188</v>
      </c>
      <c r="B27" t="s">
        <v>196</v>
      </c>
      <c r="E27">
        <f t="shared" si="1"/>
        <v>0</v>
      </c>
      <c r="F27">
        <v>4372</v>
      </c>
      <c r="G27">
        <f>LNG_global[[#This Row],[Distance '[miles']]]*1.60934449789256</f>
        <v>7036.0541447862724</v>
      </c>
      <c r="I27" t="s">
        <v>251</v>
      </c>
    </row>
    <row r="28" spans="1:9">
      <c r="A28" t="s">
        <v>188</v>
      </c>
      <c r="B28" t="s">
        <v>197</v>
      </c>
      <c r="E28">
        <f t="shared" si="1"/>
        <v>0</v>
      </c>
      <c r="F28">
        <v>2915</v>
      </c>
      <c r="G28">
        <f>LNG_global[[#This Row],[Distance '[miles']]]*1.60934449789256</f>
        <v>4691.2392113568121</v>
      </c>
      <c r="I28" t="s">
        <v>219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LNG_global[[#This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LNG_global[[#This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LNG_global[[#This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LNG_global[[#This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LNG_global[[#This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LNG_global[[#This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LNG_global[[#This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G36">
        <f>LNG_global[[#This Row],[Distance '[miles']]]*1.60934449789256</f>
        <v>0</v>
      </c>
    </row>
    <row r="37" spans="1:9">
      <c r="A37" t="s">
        <v>190</v>
      </c>
      <c r="B37" t="s">
        <v>190</v>
      </c>
      <c r="E37">
        <f t="shared" ref="E37:E42" si="3">D37/1000</f>
        <v>0</v>
      </c>
      <c r="G37">
        <f>LNG_global[[#This Row],[Distance '[miles']]]*1.60934449789256</f>
        <v>0</v>
      </c>
    </row>
    <row r="38" spans="1:9">
      <c r="A38" t="s">
        <v>190</v>
      </c>
      <c r="B38" t="s">
        <v>193</v>
      </c>
      <c r="E38">
        <f t="shared" si="3"/>
        <v>0</v>
      </c>
      <c r="G38">
        <f>LNG_global[[#This Row],[Distance '[miles']]]*1.60934449789256</f>
        <v>0</v>
      </c>
    </row>
    <row r="39" spans="1:9">
      <c r="A39" t="s">
        <v>190</v>
      </c>
      <c r="B39" t="s">
        <v>194</v>
      </c>
      <c r="E39">
        <f t="shared" si="3"/>
        <v>0</v>
      </c>
      <c r="G39">
        <f>LNG_global[[#This Row],[Distance '[miles']]]*1.60934449789256</f>
        <v>0</v>
      </c>
    </row>
    <row r="40" spans="1:9">
      <c r="A40" t="s">
        <v>190</v>
      </c>
      <c r="B40" t="s">
        <v>195</v>
      </c>
      <c r="E40">
        <f t="shared" si="3"/>
        <v>0</v>
      </c>
      <c r="G40">
        <f>LNG_global[[#This Row],[Distance '[miles']]]*1.60934449789256</f>
        <v>0</v>
      </c>
    </row>
    <row r="41" spans="1:9">
      <c r="A41" t="s">
        <v>190</v>
      </c>
      <c r="B41" t="s">
        <v>196</v>
      </c>
      <c r="E41">
        <f t="shared" si="3"/>
        <v>0</v>
      </c>
      <c r="G41">
        <f>LNG_global[[#This Row],[Distance '[miles']]]*1.60934449789256</f>
        <v>0</v>
      </c>
    </row>
    <row r="42" spans="1:9">
      <c r="A42" t="s">
        <v>190</v>
      </c>
      <c r="B42" t="s">
        <v>197</v>
      </c>
      <c r="E42">
        <f t="shared" si="3"/>
        <v>0</v>
      </c>
      <c r="G42">
        <f>LNG_global[[#This Row],[Distance '[miles']]]*1.60934449789256</f>
        <v>0</v>
      </c>
    </row>
    <row r="43" spans="1:9">
      <c r="A43" t="s">
        <v>191</v>
      </c>
      <c r="B43" t="s">
        <v>192</v>
      </c>
      <c r="E43">
        <f>D43/1000</f>
        <v>0</v>
      </c>
      <c r="G43">
        <f>LNG_global[[#This Row],[Distance '[miles']]]*1.60934449789256</f>
        <v>0</v>
      </c>
    </row>
    <row r="44" spans="1:9">
      <c r="A44" t="s">
        <v>191</v>
      </c>
      <c r="B44" t="s">
        <v>190</v>
      </c>
      <c r="E44">
        <f t="shared" ref="E44:E49" si="4">D44/1000</f>
        <v>0</v>
      </c>
      <c r="G44">
        <f>LNG_global[[#This Row],[Distance '[miles']]]*1.60934449789256</f>
        <v>0</v>
      </c>
    </row>
    <row r="45" spans="1:9">
      <c r="A45" t="s">
        <v>191</v>
      </c>
      <c r="B45" t="s">
        <v>193</v>
      </c>
      <c r="E45">
        <f t="shared" si="4"/>
        <v>0</v>
      </c>
      <c r="G45">
        <f>LNG_global[[#This Row],[Distance '[miles']]]*1.60934449789256</f>
        <v>0</v>
      </c>
    </row>
    <row r="46" spans="1:9">
      <c r="A46" t="s">
        <v>191</v>
      </c>
      <c r="B46" t="s">
        <v>194</v>
      </c>
      <c r="E46">
        <f t="shared" si="4"/>
        <v>0</v>
      </c>
      <c r="G46">
        <f>LNG_global[[#This Row],[Distance '[miles']]]*1.60934449789256</f>
        <v>0</v>
      </c>
    </row>
    <row r="47" spans="1:9">
      <c r="A47" t="s">
        <v>191</v>
      </c>
      <c r="B47" t="s">
        <v>195</v>
      </c>
      <c r="E47">
        <f t="shared" si="4"/>
        <v>0</v>
      </c>
      <c r="G47">
        <f>LNG_global[[#This Row],[Distance '[miles']]]*1.60934449789256</f>
        <v>0</v>
      </c>
    </row>
    <row r="48" spans="1:9">
      <c r="A48" t="s">
        <v>191</v>
      </c>
      <c r="B48" t="s">
        <v>196</v>
      </c>
      <c r="E48">
        <f t="shared" si="4"/>
        <v>0</v>
      </c>
      <c r="G48">
        <f>LNG_global[[#This Row],[Distance '[miles']]]*1.60934449789256</f>
        <v>0</v>
      </c>
    </row>
    <row r="49" spans="1:7">
      <c r="A49" t="s">
        <v>191</v>
      </c>
      <c r="B49" t="s">
        <v>197</v>
      </c>
      <c r="E49">
        <f t="shared" si="4"/>
        <v>0</v>
      </c>
      <c r="G49">
        <f>LNG_global[[#This Row],[Distance '[miles']]]*1.60934449789256</f>
        <v>0</v>
      </c>
    </row>
    <row r="50" spans="1:7">
      <c r="A50" t="s">
        <v>199</v>
      </c>
      <c r="B50" t="s">
        <v>192</v>
      </c>
      <c r="E50">
        <f>D50/1000</f>
        <v>0</v>
      </c>
      <c r="G50">
        <f>LNG_global[[#This Row],[Distance '[miles']]]*1.60934449789256</f>
        <v>0</v>
      </c>
    </row>
    <row r="51" spans="1:7">
      <c r="A51" t="s">
        <v>199</v>
      </c>
      <c r="B51" t="s">
        <v>190</v>
      </c>
      <c r="E51">
        <f t="shared" ref="E51:E56" si="5">D51/1000</f>
        <v>0</v>
      </c>
      <c r="G51">
        <f>LNG_global[[#This Row],[Distance '[miles']]]*1.60934449789256</f>
        <v>0</v>
      </c>
    </row>
    <row r="52" spans="1:7">
      <c r="A52" t="s">
        <v>199</v>
      </c>
      <c r="B52" t="s">
        <v>193</v>
      </c>
      <c r="E52">
        <f t="shared" si="5"/>
        <v>0</v>
      </c>
      <c r="G52">
        <f>LNG_global[[#This Row],[Distance '[miles']]]*1.60934449789256</f>
        <v>0</v>
      </c>
    </row>
    <row r="53" spans="1:7">
      <c r="A53" t="s">
        <v>199</v>
      </c>
      <c r="B53" t="s">
        <v>194</v>
      </c>
      <c r="E53">
        <f t="shared" si="5"/>
        <v>0</v>
      </c>
      <c r="G53">
        <f>LNG_global[[#This Row],[Distance '[miles']]]*1.60934449789256</f>
        <v>0</v>
      </c>
    </row>
    <row r="54" spans="1:7">
      <c r="A54" t="s">
        <v>199</v>
      </c>
      <c r="B54" t="s">
        <v>195</v>
      </c>
      <c r="E54">
        <f t="shared" si="5"/>
        <v>0</v>
      </c>
      <c r="G54">
        <f>LNG_global[[#This Row],[Distance '[miles']]]*1.60934449789256</f>
        <v>0</v>
      </c>
    </row>
    <row r="55" spans="1:7">
      <c r="A55" t="s">
        <v>199</v>
      </c>
      <c r="B55" t="s">
        <v>196</v>
      </c>
      <c r="E55">
        <f t="shared" si="5"/>
        <v>0</v>
      </c>
      <c r="G55">
        <f>LNG_global[[#This Row],[Distance '[miles']]]*1.60934449789256</f>
        <v>0</v>
      </c>
    </row>
    <row r="56" spans="1:7">
      <c r="A56" t="s">
        <v>199</v>
      </c>
      <c r="B56" t="s">
        <v>197</v>
      </c>
      <c r="E56">
        <f t="shared" si="5"/>
        <v>0</v>
      </c>
      <c r="G56">
        <f>LNG_global[[#This Row],[Distance '[miles']]]*1.60934449789256</f>
        <v>0</v>
      </c>
    </row>
    <row r="57" spans="1:7">
      <c r="A57" t="s">
        <v>197</v>
      </c>
      <c r="B57" t="s">
        <v>192</v>
      </c>
      <c r="E57">
        <f>D57/1000</f>
        <v>0</v>
      </c>
      <c r="G57">
        <f>LNG_global[[#This Row],[Distance '[miles']]]*1.60934449789256</f>
        <v>0</v>
      </c>
    </row>
    <row r="58" spans="1:7">
      <c r="A58" t="s">
        <v>197</v>
      </c>
      <c r="B58" t="s">
        <v>190</v>
      </c>
      <c r="E58">
        <f t="shared" ref="E58:E63" si="6">D58/1000</f>
        <v>0</v>
      </c>
      <c r="G58">
        <f>LNG_global[[#This Row],[Distance '[miles']]]*1.60934449789256</f>
        <v>0</v>
      </c>
    </row>
    <row r="59" spans="1:7">
      <c r="A59" t="s">
        <v>197</v>
      </c>
      <c r="B59" t="s">
        <v>193</v>
      </c>
      <c r="E59">
        <f t="shared" si="6"/>
        <v>0</v>
      </c>
      <c r="G59">
        <f>LNG_global[[#This Row],[Distance '[miles']]]*1.60934449789256</f>
        <v>0</v>
      </c>
    </row>
    <row r="60" spans="1:7">
      <c r="A60" t="s">
        <v>197</v>
      </c>
      <c r="B60" t="s">
        <v>194</v>
      </c>
      <c r="E60">
        <f t="shared" si="6"/>
        <v>0</v>
      </c>
      <c r="G60">
        <f>LNG_global[[#This Row],[Distance '[miles']]]*1.60934449789256</f>
        <v>0</v>
      </c>
    </row>
    <row r="61" spans="1:7">
      <c r="A61" t="s">
        <v>197</v>
      </c>
      <c r="B61" t="s">
        <v>195</v>
      </c>
      <c r="E61">
        <f t="shared" si="6"/>
        <v>0</v>
      </c>
      <c r="G61">
        <f>LNG_global[[#This Row],[Distance '[miles']]]*1.60934449789256</f>
        <v>0</v>
      </c>
    </row>
    <row r="62" spans="1:7">
      <c r="A62" t="s">
        <v>197</v>
      </c>
      <c r="B62" t="s">
        <v>196</v>
      </c>
      <c r="E62">
        <f t="shared" si="6"/>
        <v>0</v>
      </c>
      <c r="G62">
        <f>LNG_global[[#This Row],[Distance '[miles']]]*1.60934449789256</f>
        <v>0</v>
      </c>
    </row>
    <row r="63" spans="1:7">
      <c r="A63" t="s">
        <v>200</v>
      </c>
      <c r="B63" t="s">
        <v>192</v>
      </c>
      <c r="E63">
        <f t="shared" si="6"/>
        <v>0</v>
      </c>
      <c r="G63">
        <f>LNG_global[[#This Row],[Distance '[miles']]]*1.60934449789256</f>
        <v>0</v>
      </c>
    </row>
    <row r="64" spans="1:7">
      <c r="A64" t="s">
        <v>200</v>
      </c>
      <c r="B64" t="s">
        <v>190</v>
      </c>
      <c r="E64">
        <f t="shared" ref="E64:E69" si="7">D64/1000</f>
        <v>0</v>
      </c>
      <c r="G64">
        <f>LNG_global[[#This Row],[Distance '[miles']]]*1.60934449789256</f>
        <v>0</v>
      </c>
    </row>
    <row r="65" spans="1:9">
      <c r="A65" t="s">
        <v>200</v>
      </c>
      <c r="B65" t="s">
        <v>193</v>
      </c>
      <c r="E65">
        <f t="shared" si="7"/>
        <v>0</v>
      </c>
      <c r="G65">
        <f>LNG_global[[#This Row],[Distance '[miles']]]*1.60934449789256</f>
        <v>0</v>
      </c>
    </row>
    <row r="66" spans="1:9">
      <c r="A66" t="s">
        <v>200</v>
      </c>
      <c r="B66" t="s">
        <v>194</v>
      </c>
      <c r="E66">
        <f t="shared" si="7"/>
        <v>0</v>
      </c>
      <c r="G66">
        <f>LNG_global[[#This Row],[Distance '[miles']]]*1.60934449789256</f>
        <v>0</v>
      </c>
    </row>
    <row r="67" spans="1:9">
      <c r="A67" t="s">
        <v>200</v>
      </c>
      <c r="B67" t="s">
        <v>195</v>
      </c>
      <c r="E67">
        <f t="shared" si="7"/>
        <v>0</v>
      </c>
      <c r="G67">
        <f>LNG_global[[#This Row],[Distance '[miles']]]*1.60934449789256</f>
        <v>0</v>
      </c>
    </row>
    <row r="68" spans="1:9">
      <c r="A68" t="s">
        <v>200</v>
      </c>
      <c r="B68" t="s">
        <v>196</v>
      </c>
      <c r="E68">
        <f t="shared" si="7"/>
        <v>0</v>
      </c>
      <c r="G68">
        <f>LNG_global[[#This Row],[Distance '[miles']]]*1.60934449789256</f>
        <v>0</v>
      </c>
    </row>
    <row r="69" spans="1:9">
      <c r="A69" t="s">
        <v>200</v>
      </c>
      <c r="B69" t="s">
        <v>197</v>
      </c>
      <c r="E69">
        <f t="shared" si="7"/>
        <v>0</v>
      </c>
      <c r="G69">
        <f>LNG_global[[#This Row],[Distance '[miles']]]*1.60934449789256</f>
        <v>0</v>
      </c>
    </row>
    <row r="70" spans="1:9">
      <c r="A70" t="s">
        <v>189</v>
      </c>
      <c r="B70" t="s">
        <v>206</v>
      </c>
      <c r="E70">
        <f>D70/1000</f>
        <v>0</v>
      </c>
      <c r="F70">
        <v>6277</v>
      </c>
      <c r="G70">
        <f>LNG_global[[#This Row],[Distance '[miles']]]*1.60934449789256</f>
        <v>10101.855413271598</v>
      </c>
      <c r="H70" t="s">
        <v>219</v>
      </c>
      <c r="I70" t="s">
        <v>240</v>
      </c>
    </row>
    <row r="71" spans="1:9">
      <c r="A71" t="s">
        <v>189</v>
      </c>
      <c r="B71" t="s">
        <v>207</v>
      </c>
      <c r="E71">
        <f t="shared" ref="E71:E81" si="8">D71/1000</f>
        <v>0</v>
      </c>
      <c r="F71">
        <v>4581</v>
      </c>
      <c r="G71">
        <f>LNG_global[[#This Row],[Distance '[miles']]]*1.60934449789256</f>
        <v>7372.4071448458171</v>
      </c>
      <c r="H71" t="s">
        <v>219</v>
      </c>
      <c r="I71" t="s">
        <v>220</v>
      </c>
    </row>
    <row r="72" spans="1:9">
      <c r="A72" t="s">
        <v>189</v>
      </c>
      <c r="B72" t="s">
        <v>208</v>
      </c>
      <c r="E72">
        <f t="shared" si="8"/>
        <v>0</v>
      </c>
      <c r="F72">
        <v>3668</v>
      </c>
      <c r="G72">
        <f>LNG_global[[#This Row],[Distance '[miles']]]*1.60934449789256</f>
        <v>5903.0756182699097</v>
      </c>
      <c r="H72" t="s">
        <v>219</v>
      </c>
      <c r="I72" t="s">
        <v>221</v>
      </c>
    </row>
    <row r="73" spans="1:9">
      <c r="A73" t="s">
        <v>189</v>
      </c>
      <c r="B73" t="s">
        <v>209</v>
      </c>
      <c r="E73">
        <f t="shared" si="8"/>
        <v>0</v>
      </c>
      <c r="F73">
        <v>4452</v>
      </c>
      <c r="G73">
        <f>LNG_global[[#This Row],[Distance '[miles']]]*1.60934449789256</f>
        <v>7164.8017046176765</v>
      </c>
      <c r="H73" t="s">
        <v>219</v>
      </c>
      <c r="I73" t="s">
        <v>222</v>
      </c>
    </row>
    <row r="74" spans="1:9">
      <c r="A74" t="s">
        <v>189</v>
      </c>
      <c r="B74" t="s">
        <v>210</v>
      </c>
      <c r="E74">
        <f t="shared" si="8"/>
        <v>0</v>
      </c>
      <c r="F74">
        <v>4327</v>
      </c>
      <c r="G74">
        <f>LNG_global[[#This Row],[Distance '[miles']]]*1.60934449789256</f>
        <v>6963.6336423811072</v>
      </c>
      <c r="H74" t="s">
        <v>219</v>
      </c>
      <c r="I74" t="s">
        <v>223</v>
      </c>
    </row>
    <row r="75" spans="1:9">
      <c r="A75" t="s">
        <v>189</v>
      </c>
      <c r="B75" t="s">
        <v>211</v>
      </c>
      <c r="E75">
        <f t="shared" si="8"/>
        <v>0</v>
      </c>
      <c r="F75">
        <v>7211</v>
      </c>
      <c r="G75">
        <f>LNG_global[[#This Row],[Distance '[miles']]]*1.60934449789256</f>
        <v>11604.98317430325</v>
      </c>
      <c r="H75" t="s">
        <v>219</v>
      </c>
      <c r="I75" t="s">
        <v>224</v>
      </c>
    </row>
    <row r="76" spans="1:9">
      <c r="A76" t="s">
        <v>189</v>
      </c>
      <c r="B76" t="s">
        <v>212</v>
      </c>
      <c r="E76">
        <f t="shared" si="8"/>
        <v>0</v>
      </c>
      <c r="F76">
        <v>6346</v>
      </c>
      <c r="G76">
        <f>LNG_global[[#This Row],[Distance '[miles']]]*1.60934449789256</f>
        <v>10212.900183626185</v>
      </c>
      <c r="H76" t="s">
        <v>219</v>
      </c>
      <c r="I76" t="s">
        <v>225</v>
      </c>
    </row>
    <row r="77" spans="1:9">
      <c r="A77" t="s">
        <v>189</v>
      </c>
      <c r="B77" t="s">
        <v>213</v>
      </c>
      <c r="E77">
        <f t="shared" si="8"/>
        <v>0</v>
      </c>
      <c r="F77">
        <v>7020</v>
      </c>
      <c r="G77">
        <f>LNG_global[[#This Row],[Distance '[miles']]]*1.60934449789256</f>
        <v>11297.598375205771</v>
      </c>
      <c r="H77" t="s">
        <v>219</v>
      </c>
      <c r="I77" t="s">
        <v>226</v>
      </c>
    </row>
    <row r="78" spans="1:9">
      <c r="A78" t="s">
        <v>189</v>
      </c>
      <c r="B78" t="s">
        <v>214</v>
      </c>
      <c r="E78">
        <f t="shared" si="8"/>
        <v>0</v>
      </c>
      <c r="F78">
        <v>5266</v>
      </c>
      <c r="G78">
        <f>LNG_global[[#This Row],[Distance '[miles']]]*1.60934449789256</f>
        <v>8474.8081259022201</v>
      </c>
      <c r="H78" t="s">
        <v>219</v>
      </c>
      <c r="I78" t="s">
        <v>227</v>
      </c>
    </row>
    <row r="79" spans="1:9">
      <c r="A79" t="s">
        <v>189</v>
      </c>
      <c r="B79" t="s">
        <v>215</v>
      </c>
      <c r="E79">
        <f t="shared" si="8"/>
        <v>0</v>
      </c>
      <c r="F79">
        <v>4657</v>
      </c>
      <c r="G79">
        <f>LNG_global[[#This Row],[Distance '[miles']]]*1.60934449789256</f>
        <v>7494.7173266856516</v>
      </c>
      <c r="H79" t="s">
        <v>219</v>
      </c>
      <c r="I79" t="s">
        <v>228</v>
      </c>
    </row>
    <row r="80" spans="1:9">
      <c r="A80" t="s">
        <v>189</v>
      </c>
      <c r="B80" t="s">
        <v>216</v>
      </c>
      <c r="E80">
        <f t="shared" si="8"/>
        <v>0</v>
      </c>
      <c r="F80">
        <v>3667</v>
      </c>
      <c r="G80">
        <f>LNG_global[[#This Row],[Distance '[miles']]]*1.60934449789256</f>
        <v>5901.4662737720173</v>
      </c>
      <c r="H80" t="s">
        <v>219</v>
      </c>
      <c r="I80" t="s">
        <v>229</v>
      </c>
    </row>
    <row r="81" spans="1:9">
      <c r="A81" t="s">
        <v>189</v>
      </c>
      <c r="B81" t="s">
        <v>217</v>
      </c>
      <c r="E81">
        <f t="shared" si="8"/>
        <v>0</v>
      </c>
      <c r="F81">
        <v>6091</v>
      </c>
      <c r="G81">
        <f>LNG_global[[#This Row],[Distance '[miles']]]*1.60934449789256</f>
        <v>9802.5173366635827</v>
      </c>
      <c r="H81" t="s">
        <v>219</v>
      </c>
      <c r="I81" t="s">
        <v>244</v>
      </c>
    </row>
    <row r="82" spans="1:9">
      <c r="A82" t="s">
        <v>189</v>
      </c>
      <c r="B82" t="s">
        <v>230</v>
      </c>
      <c r="E82">
        <f t="shared" ref="E82:E86" si="9">D82/1000</f>
        <v>0</v>
      </c>
      <c r="F82">
        <v>7423</v>
      </c>
      <c r="G82">
        <f>LNG_global[[#This Row],[Distance '[miles']]]*1.60934449789256</f>
        <v>11946.164207856473</v>
      </c>
      <c r="H82" t="s">
        <v>219</v>
      </c>
      <c r="I82" t="s">
        <v>235</v>
      </c>
    </row>
    <row r="83" spans="1:9">
      <c r="A83" t="s">
        <v>189</v>
      </c>
      <c r="B83" t="s">
        <v>231</v>
      </c>
      <c r="E83">
        <f t="shared" si="9"/>
        <v>0</v>
      </c>
      <c r="F83">
        <v>7423</v>
      </c>
      <c r="G83">
        <f>LNG_global[[#This Row],[Distance '[miles']]]*1.60934449789256</f>
        <v>11946.164207856473</v>
      </c>
      <c r="H83" t="s">
        <v>219</v>
      </c>
      <c r="I83" t="s">
        <v>236</v>
      </c>
    </row>
    <row r="84" spans="1:9">
      <c r="A84" t="s">
        <v>189</v>
      </c>
      <c r="B84" t="s">
        <v>232</v>
      </c>
      <c r="E84">
        <f t="shared" si="9"/>
        <v>0</v>
      </c>
      <c r="F84">
        <v>6540</v>
      </c>
      <c r="G84">
        <f>LNG_global[[#This Row],[Distance '[miles']]]*1.60934449789256</f>
        <v>10525.113016217341</v>
      </c>
      <c r="H84" t="s">
        <v>219</v>
      </c>
      <c r="I84" t="s">
        <v>237</v>
      </c>
    </row>
    <row r="85" spans="1:9">
      <c r="A85" t="s">
        <v>189</v>
      </c>
      <c r="B85" t="s">
        <v>233</v>
      </c>
      <c r="E85">
        <f t="shared" si="9"/>
        <v>0</v>
      </c>
      <c r="F85">
        <v>6078</v>
      </c>
      <c r="G85">
        <f>LNG_global[[#This Row],[Distance '[miles']]]*1.60934449789256</f>
        <v>9781.5958581909799</v>
      </c>
      <c r="H85" t="s">
        <v>219</v>
      </c>
      <c r="I85" t="s">
        <v>238</v>
      </c>
    </row>
    <row r="86" spans="1:9">
      <c r="A86" t="s">
        <v>189</v>
      </c>
      <c r="B86" t="s">
        <v>234</v>
      </c>
      <c r="E86">
        <f t="shared" si="9"/>
        <v>0</v>
      </c>
      <c r="F86">
        <v>7363</v>
      </c>
      <c r="G86">
        <f>LNG_global[[#This Row],[Distance '[miles']]]*1.60934449789256</f>
        <v>11849.603537982919</v>
      </c>
      <c r="H86" t="s">
        <v>219</v>
      </c>
      <c r="I86" t="s">
        <v>239</v>
      </c>
    </row>
    <row r="87" spans="1:9">
      <c r="A87" t="s">
        <v>184</v>
      </c>
      <c r="B87" t="s">
        <v>206</v>
      </c>
      <c r="E87">
        <f>D87/1000</f>
        <v>0</v>
      </c>
      <c r="F87">
        <v>4986</v>
      </c>
      <c r="G87">
        <f>LNG_global[[#This Row],[Distance '[miles']]]*1.60934449789256</f>
        <v>8024.1916664923037</v>
      </c>
      <c r="I87" t="s">
        <v>240</v>
      </c>
    </row>
    <row r="88" spans="1:9">
      <c r="A88" t="s">
        <v>184</v>
      </c>
      <c r="B88" t="s">
        <v>207</v>
      </c>
      <c r="E88">
        <f t="shared" ref="E88:E103" si="10">D88/1000</f>
        <v>0</v>
      </c>
      <c r="F88">
        <v>4815</v>
      </c>
      <c r="G88">
        <f>LNG_global[[#This Row],[Distance '[miles']]]*1.60934449789256</f>
        <v>7748.9937573526759</v>
      </c>
      <c r="I88" t="s">
        <v>220</v>
      </c>
    </row>
    <row r="89" spans="1:9">
      <c r="A89" t="s">
        <v>184</v>
      </c>
      <c r="B89" t="s">
        <v>208</v>
      </c>
      <c r="E89">
        <f t="shared" si="10"/>
        <v>0</v>
      </c>
      <c r="F89">
        <v>6255</v>
      </c>
      <c r="G89">
        <f>LNG_global[[#This Row],[Distance '[miles']]]*1.60934449789256</f>
        <v>10066.449834317962</v>
      </c>
      <c r="I89" t="s">
        <v>221</v>
      </c>
    </row>
    <row r="90" spans="1:9">
      <c r="A90" t="s">
        <v>184</v>
      </c>
      <c r="B90" t="s">
        <v>209</v>
      </c>
      <c r="E90">
        <f t="shared" si="10"/>
        <v>0</v>
      </c>
      <c r="F90">
        <v>5637</v>
      </c>
      <c r="G90">
        <f>LNG_global[[#This Row],[Distance '[miles']]]*1.60934449789256</f>
        <v>9071.8749346203604</v>
      </c>
      <c r="I90" t="s">
        <v>222</v>
      </c>
    </row>
    <row r="91" spans="1:9">
      <c r="A91" t="s">
        <v>184</v>
      </c>
      <c r="B91" t="s">
        <v>210</v>
      </c>
      <c r="E91">
        <f t="shared" si="10"/>
        <v>0</v>
      </c>
      <c r="F91">
        <v>6380</v>
      </c>
      <c r="G91">
        <f>LNG_global[[#This Row],[Distance '[miles']]]*1.60934449789256</f>
        <v>10267.617896554533</v>
      </c>
      <c r="I91" t="s">
        <v>223</v>
      </c>
    </row>
    <row r="92" spans="1:9">
      <c r="A92" t="s">
        <v>184</v>
      </c>
      <c r="B92" t="s">
        <v>211</v>
      </c>
      <c r="E92">
        <f t="shared" si="10"/>
        <v>0</v>
      </c>
      <c r="F92">
        <v>5634</v>
      </c>
      <c r="G92">
        <f>LNG_global[[#This Row],[Distance '[miles']]]*1.60934449789256</f>
        <v>9067.0469011266832</v>
      </c>
      <c r="I92" t="s">
        <v>224</v>
      </c>
    </row>
    <row r="93" spans="1:9">
      <c r="A93" t="s">
        <v>184</v>
      </c>
      <c r="B93" t="s">
        <v>212</v>
      </c>
      <c r="E93">
        <f t="shared" si="10"/>
        <v>0</v>
      </c>
      <c r="F93">
        <v>5052</v>
      </c>
      <c r="G93">
        <f>LNG_global[[#This Row],[Distance '[miles']]]*1.60934449789256</f>
        <v>8130.4084033532126</v>
      </c>
      <c r="I93" t="s">
        <v>225</v>
      </c>
    </row>
    <row r="94" spans="1:9">
      <c r="A94" t="s">
        <v>184</v>
      </c>
      <c r="B94" t="s">
        <v>213</v>
      </c>
      <c r="E94">
        <f t="shared" si="10"/>
        <v>0</v>
      </c>
      <c r="F94">
        <v>5443</v>
      </c>
      <c r="G94">
        <f>LNG_global[[#This Row],[Distance '[miles']]]*1.60934449789256</f>
        <v>8759.6621020292041</v>
      </c>
      <c r="I94" t="s">
        <v>226</v>
      </c>
    </row>
    <row r="95" spans="1:9">
      <c r="A95" t="s">
        <v>184</v>
      </c>
      <c r="B95" t="s">
        <v>214</v>
      </c>
      <c r="E95">
        <f t="shared" si="10"/>
        <v>0</v>
      </c>
      <c r="F95">
        <v>4565</v>
      </c>
      <c r="G95">
        <f>LNG_global[[#This Row],[Distance '[miles']]]*1.60934449789256</f>
        <v>7346.6576328795363</v>
      </c>
      <c r="I95" t="s">
        <v>227</v>
      </c>
    </row>
    <row r="96" spans="1:9">
      <c r="A96" t="s">
        <v>184</v>
      </c>
      <c r="B96" t="s">
        <v>215</v>
      </c>
      <c r="E96">
        <f t="shared" si="10"/>
        <v>0</v>
      </c>
      <c r="F96">
        <v>4786</v>
      </c>
      <c r="G96">
        <f>LNG_global[[#This Row],[Distance '[miles']]]*1.60934449789256</f>
        <v>7702.3227669137923</v>
      </c>
      <c r="I96" t="s">
        <v>243</v>
      </c>
    </row>
    <row r="97" spans="1:9">
      <c r="A97" t="s">
        <v>184</v>
      </c>
      <c r="B97" t="s">
        <v>216</v>
      </c>
      <c r="E97">
        <f t="shared" si="10"/>
        <v>0</v>
      </c>
      <c r="F97">
        <v>6409</v>
      </c>
      <c r="G97">
        <f>LNG_global[[#This Row],[Distance '[miles']]]*1.60934449789256</f>
        <v>10314.288886993416</v>
      </c>
      <c r="I97" t="s">
        <v>229</v>
      </c>
    </row>
    <row r="98" spans="1:9">
      <c r="A98" t="s">
        <v>184</v>
      </c>
      <c r="B98" t="s">
        <v>217</v>
      </c>
      <c r="E98">
        <f t="shared" si="10"/>
        <v>0</v>
      </c>
      <c r="F98">
        <v>4666</v>
      </c>
      <c r="G98">
        <f>LNG_global[[#This Row],[Distance '[miles']]]*1.60934449789256</f>
        <v>7509.2014271666849</v>
      </c>
      <c r="I98" t="s">
        <v>244</v>
      </c>
    </row>
    <row r="99" spans="1:9">
      <c r="A99" t="s">
        <v>184</v>
      </c>
      <c r="B99" t="s">
        <v>230</v>
      </c>
      <c r="E99">
        <f t="shared" si="10"/>
        <v>0</v>
      </c>
      <c r="F99">
        <v>5846</v>
      </c>
      <c r="G99">
        <f>LNG_global[[#This Row],[Distance '[miles']]]*1.60934449789256</f>
        <v>9408.227934679906</v>
      </c>
      <c r="I99" t="s">
        <v>235</v>
      </c>
    </row>
    <row r="100" spans="1:9">
      <c r="A100" t="s">
        <v>184</v>
      </c>
      <c r="B100" t="s">
        <v>231</v>
      </c>
      <c r="E100">
        <f t="shared" si="10"/>
        <v>0</v>
      </c>
      <c r="F100">
        <v>5846</v>
      </c>
      <c r="G100">
        <f>LNG_global[[#This Row],[Distance '[miles']]]*1.60934449789256</f>
        <v>9408.227934679906</v>
      </c>
      <c r="I100" t="s">
        <v>236</v>
      </c>
    </row>
    <row r="101" spans="1:9">
      <c r="A101" t="s">
        <v>184</v>
      </c>
      <c r="B101" t="s">
        <v>232</v>
      </c>
      <c r="E101">
        <f t="shared" si="10"/>
        <v>0</v>
      </c>
      <c r="F101">
        <v>5215</v>
      </c>
      <c r="G101">
        <f>LNG_global[[#This Row],[Distance '[miles']]]*1.60934449789256</f>
        <v>8392.7315565096997</v>
      </c>
      <c r="I101" t="s">
        <v>237</v>
      </c>
    </row>
    <row r="102" spans="1:9">
      <c r="A102" t="s">
        <v>184</v>
      </c>
      <c r="B102" t="s">
        <v>233</v>
      </c>
      <c r="E102">
        <f t="shared" si="10"/>
        <v>0</v>
      </c>
      <c r="F102">
        <v>4564</v>
      </c>
      <c r="G102">
        <f>LNG_global[[#This Row],[Distance '[miles']]]*1.60934449789256</f>
        <v>7345.0482883816439</v>
      </c>
      <c r="I102" t="s">
        <v>238</v>
      </c>
    </row>
    <row r="103" spans="1:9">
      <c r="A103" t="s">
        <v>184</v>
      </c>
      <c r="B103" t="s">
        <v>234</v>
      </c>
      <c r="E103">
        <f t="shared" si="10"/>
        <v>0</v>
      </c>
      <c r="F103">
        <v>5786</v>
      </c>
      <c r="G103">
        <f>LNG_global[[#This Row],[Distance '[miles']]]*1.60934449789256</f>
        <v>9311.6672648063523</v>
      </c>
      <c r="I103" t="s">
        <v>239</v>
      </c>
    </row>
    <row r="104" spans="1:9">
      <c r="A104" t="s">
        <v>187</v>
      </c>
      <c r="B104" t="s">
        <v>206</v>
      </c>
      <c r="E104">
        <f>D104/1000</f>
        <v>0</v>
      </c>
      <c r="F104">
        <v>3985</v>
      </c>
      <c r="G104">
        <f>LNG_global[[#This Row],[Distance '[miles']]]*1.60934449789256</f>
        <v>6413.2378241018514</v>
      </c>
      <c r="I104" t="s">
        <v>240</v>
      </c>
    </row>
    <row r="105" spans="1:9">
      <c r="A105" t="s">
        <v>187</v>
      </c>
      <c r="B105" t="s">
        <v>207</v>
      </c>
      <c r="E105">
        <f t="shared" ref="E105:E120" si="11">D105/1000</f>
        <v>0</v>
      </c>
      <c r="F105">
        <v>4101</v>
      </c>
      <c r="G105">
        <f>LNG_global[[#This Row],[Distance '[miles']]]*1.60934449789256</f>
        <v>6599.9217858573884</v>
      </c>
      <c r="I105" t="s">
        <v>220</v>
      </c>
    </row>
    <row r="106" spans="1:9">
      <c r="A106" t="s">
        <v>187</v>
      </c>
      <c r="B106" t="s">
        <v>208</v>
      </c>
      <c r="E106">
        <f t="shared" si="11"/>
        <v>0</v>
      </c>
      <c r="F106">
        <v>4898</v>
      </c>
      <c r="G106">
        <f>LNG_global[[#This Row],[Distance '[miles']]]*1.60934449789256</f>
        <v>7882.5693506777588</v>
      </c>
      <c r="I106" t="s">
        <v>221</v>
      </c>
    </row>
    <row r="107" spans="1:9">
      <c r="A107" t="s">
        <v>187</v>
      </c>
      <c r="B107" t="s">
        <v>209</v>
      </c>
      <c r="E107">
        <f t="shared" si="11"/>
        <v>0</v>
      </c>
      <c r="F107">
        <v>4280</v>
      </c>
      <c r="G107">
        <f>LNG_global[[#This Row],[Distance '[miles']]]*1.60934449789256</f>
        <v>6887.9944509801562</v>
      </c>
      <c r="I107" t="s">
        <v>222</v>
      </c>
    </row>
    <row r="108" spans="1:9">
      <c r="A108" t="s">
        <v>187</v>
      </c>
      <c r="B108" t="s">
        <v>210</v>
      </c>
      <c r="E108">
        <f t="shared" si="11"/>
        <v>0</v>
      </c>
      <c r="F108">
        <v>5023</v>
      </c>
      <c r="G108">
        <f>LNG_global[[#This Row],[Distance '[miles']]]*1.60934449789256</f>
        <v>8083.7374129143291</v>
      </c>
      <c r="I108" t="s">
        <v>223</v>
      </c>
    </row>
    <row r="109" spans="1:9">
      <c r="A109" t="s">
        <v>187</v>
      </c>
      <c r="B109" t="s">
        <v>211</v>
      </c>
      <c r="E109">
        <f t="shared" si="11"/>
        <v>0</v>
      </c>
      <c r="F109">
        <v>4823</v>
      </c>
      <c r="G109">
        <f>LNG_global[[#This Row],[Distance '[miles']]]*1.60934449789256</f>
        <v>7761.8685133358167</v>
      </c>
      <c r="I109" t="s">
        <v>224</v>
      </c>
    </row>
    <row r="110" spans="1:9">
      <c r="A110" t="s">
        <v>187</v>
      </c>
      <c r="B110" t="s">
        <v>212</v>
      </c>
      <c r="E110">
        <f t="shared" si="11"/>
        <v>0</v>
      </c>
      <c r="F110">
        <v>4051</v>
      </c>
      <c r="G110">
        <f>LNG_global[[#This Row],[Distance '[miles']]]*1.60934449789256</f>
        <v>6519.4545609627603</v>
      </c>
      <c r="I110" t="s">
        <v>225</v>
      </c>
    </row>
    <row r="111" spans="1:9">
      <c r="A111" t="s">
        <v>187</v>
      </c>
      <c r="B111" t="s">
        <v>213</v>
      </c>
      <c r="E111">
        <f t="shared" si="11"/>
        <v>0</v>
      </c>
      <c r="F111">
        <v>4632</v>
      </c>
      <c r="G111">
        <f>LNG_global[[#This Row],[Distance '[miles']]]*1.60934449789256</f>
        <v>7454.4837142383376</v>
      </c>
      <c r="I111" t="s">
        <v>226</v>
      </c>
    </row>
    <row r="112" spans="1:9">
      <c r="A112" t="s">
        <v>187</v>
      </c>
      <c r="B112" t="s">
        <v>214</v>
      </c>
      <c r="E112">
        <f t="shared" si="11"/>
        <v>0</v>
      </c>
      <c r="F112">
        <v>3299</v>
      </c>
      <c r="G112">
        <f>LNG_global[[#This Row],[Distance '[miles']]]*1.60934449789256</f>
        <v>5309.2274985475551</v>
      </c>
      <c r="I112" t="s">
        <v>227</v>
      </c>
    </row>
    <row r="113" spans="1:9">
      <c r="A113" t="s">
        <v>187</v>
      </c>
      <c r="B113" t="s">
        <v>215</v>
      </c>
      <c r="E113">
        <f t="shared" si="11"/>
        <v>0</v>
      </c>
      <c r="F113">
        <v>3645</v>
      </c>
      <c r="G113">
        <f>LNG_global[[#This Row],[Distance '[miles']]]*1.60934449789256</f>
        <v>5866.0606948183813</v>
      </c>
      <c r="I113" t="s">
        <v>243</v>
      </c>
    </row>
    <row r="114" spans="1:9">
      <c r="A114" t="s">
        <v>187</v>
      </c>
      <c r="B114" t="s">
        <v>216</v>
      </c>
      <c r="E114">
        <f t="shared" si="11"/>
        <v>0</v>
      </c>
      <c r="F114">
        <v>5052</v>
      </c>
      <c r="G114">
        <f>LNG_global[[#This Row],[Distance '[miles']]]*1.60934449789256</f>
        <v>8130.4084033532126</v>
      </c>
      <c r="I114" t="s">
        <v>229</v>
      </c>
    </row>
    <row r="115" spans="1:9">
      <c r="A115" t="s">
        <v>187</v>
      </c>
      <c r="B115" t="s">
        <v>217</v>
      </c>
      <c r="E115">
        <f t="shared" si="11"/>
        <v>0</v>
      </c>
      <c r="F115">
        <v>3733</v>
      </c>
      <c r="G115">
        <f>LNG_global[[#This Row],[Distance '[miles']]]*1.60934449789256</f>
        <v>6007.6830106329262</v>
      </c>
      <c r="I115" t="s">
        <v>244</v>
      </c>
    </row>
    <row r="116" spans="1:9">
      <c r="A116" t="s">
        <v>187</v>
      </c>
      <c r="B116" t="s">
        <v>230</v>
      </c>
      <c r="E116">
        <f t="shared" si="11"/>
        <v>0</v>
      </c>
      <c r="F116">
        <v>5035</v>
      </c>
      <c r="G116">
        <f>LNG_global[[#This Row],[Distance '[miles']]]*1.60934449789256</f>
        <v>8103.0495468890394</v>
      </c>
      <c r="I116" t="s">
        <v>235</v>
      </c>
    </row>
    <row r="117" spans="1:9">
      <c r="A117" t="s">
        <v>187</v>
      </c>
      <c r="B117" t="s">
        <v>231</v>
      </c>
      <c r="E117">
        <f t="shared" si="11"/>
        <v>0</v>
      </c>
      <c r="F117">
        <v>5035</v>
      </c>
      <c r="G117">
        <f>LNG_global[[#This Row],[Distance '[miles']]]*1.60934449789256</f>
        <v>8103.0495468890394</v>
      </c>
      <c r="I117" t="s">
        <v>236</v>
      </c>
    </row>
    <row r="118" spans="1:9">
      <c r="A118" t="s">
        <v>187</v>
      </c>
      <c r="B118" t="s">
        <v>232</v>
      </c>
      <c r="E118">
        <f t="shared" si="11"/>
        <v>0</v>
      </c>
      <c r="F118">
        <v>4248</v>
      </c>
      <c r="G118">
        <f>LNG_global[[#This Row],[Distance '[miles']]]*1.60934449789256</f>
        <v>6836.4954270475946</v>
      </c>
      <c r="I118" t="s">
        <v>237</v>
      </c>
    </row>
    <row r="119" spans="1:9">
      <c r="A119" t="s">
        <v>187</v>
      </c>
      <c r="B119" t="s">
        <v>233</v>
      </c>
      <c r="E119">
        <f t="shared" si="11"/>
        <v>0</v>
      </c>
      <c r="F119">
        <v>3599</v>
      </c>
      <c r="G119">
        <f>LNG_global[[#This Row],[Distance '[miles']]]*1.60934449789256</f>
        <v>5792.0308479153236</v>
      </c>
      <c r="I119" t="s">
        <v>238</v>
      </c>
    </row>
    <row r="120" spans="1:9">
      <c r="A120" t="s">
        <v>187</v>
      </c>
      <c r="B120" t="s">
        <v>234</v>
      </c>
      <c r="E120">
        <f t="shared" si="11"/>
        <v>0</v>
      </c>
      <c r="F120">
        <v>4975</v>
      </c>
      <c r="G120">
        <f>LNG_global[[#This Row],[Distance '[miles']]]*1.60934449789256</f>
        <v>8006.4888770154857</v>
      </c>
      <c r="I120" t="s">
        <v>239</v>
      </c>
    </row>
    <row r="121" spans="1:9">
      <c r="A121" t="s">
        <v>188</v>
      </c>
      <c r="B121" t="s">
        <v>206</v>
      </c>
      <c r="E121">
        <f>D121/1000</f>
        <v>0</v>
      </c>
      <c r="F121">
        <v>6210</v>
      </c>
      <c r="G121" s="13">
        <f>LNG_global[[#This Row],[Distance '[miles']]]*1.60934449789256</f>
        <v>9994.0293319127977</v>
      </c>
      <c r="H121" s="13" t="s">
        <v>219</v>
      </c>
      <c r="I121" t="s">
        <v>240</v>
      </c>
    </row>
    <row r="122" spans="1:9">
      <c r="A122" t="s">
        <v>188</v>
      </c>
      <c r="B122" t="s">
        <v>207</v>
      </c>
      <c r="E122">
        <f t="shared" ref="E122:E137" si="12">D122/1000</f>
        <v>0</v>
      </c>
      <c r="F122">
        <v>4514</v>
      </c>
      <c r="G122" s="13">
        <f>LNG_global[[#This Row],[Distance '[miles']]]*1.60934449789256</f>
        <v>7264.5810634870159</v>
      </c>
      <c r="H122" s="13" t="s">
        <v>219</v>
      </c>
      <c r="I122" t="s">
        <v>220</v>
      </c>
    </row>
    <row r="123" spans="1:9">
      <c r="A123" t="s">
        <v>188</v>
      </c>
      <c r="B123" t="s">
        <v>208</v>
      </c>
      <c r="E123">
        <f t="shared" si="12"/>
        <v>0</v>
      </c>
      <c r="F123">
        <v>3601</v>
      </c>
      <c r="G123" s="13">
        <f>LNG_global[[#This Row],[Distance '[miles']]]*1.60934449789256</f>
        <v>5795.2495369111084</v>
      </c>
      <c r="H123" s="13" t="s">
        <v>219</v>
      </c>
      <c r="I123" t="s">
        <v>221</v>
      </c>
    </row>
    <row r="124" spans="1:9">
      <c r="A124" t="s">
        <v>188</v>
      </c>
      <c r="B124" t="s">
        <v>209</v>
      </c>
      <c r="E124">
        <f t="shared" si="12"/>
        <v>0</v>
      </c>
      <c r="F124">
        <v>4385</v>
      </c>
      <c r="G124" s="13">
        <f>LNG_global[[#This Row],[Distance '[miles']]]*1.60934449789256</f>
        <v>7056.9756232588752</v>
      </c>
      <c r="H124" s="13" t="s">
        <v>219</v>
      </c>
      <c r="I124" t="s">
        <v>222</v>
      </c>
    </row>
    <row r="125" spans="1:9">
      <c r="A125" t="s">
        <v>188</v>
      </c>
      <c r="B125" t="s">
        <v>210</v>
      </c>
      <c r="E125">
        <f t="shared" si="12"/>
        <v>0</v>
      </c>
      <c r="F125">
        <v>4260</v>
      </c>
      <c r="G125" s="13">
        <f>LNG_global[[#This Row],[Distance '[miles']]]*1.60934449789256</f>
        <v>6855.807561022305</v>
      </c>
      <c r="H125" s="13" t="s">
        <v>219</v>
      </c>
      <c r="I125" t="s">
        <v>223</v>
      </c>
    </row>
    <row r="126" spans="1:9">
      <c r="A126" t="s">
        <v>188</v>
      </c>
      <c r="B126" t="s">
        <v>211</v>
      </c>
      <c r="E126">
        <f t="shared" si="12"/>
        <v>0</v>
      </c>
      <c r="F126">
        <v>7144</v>
      </c>
      <c r="G126" s="13">
        <f>LNG_global[[#This Row],[Distance '[miles']]]*1.60934449789256</f>
        <v>11497.157092944448</v>
      </c>
      <c r="H126" s="13" t="s">
        <v>219</v>
      </c>
      <c r="I126" t="s">
        <v>224</v>
      </c>
    </row>
    <row r="127" spans="1:9">
      <c r="A127" t="s">
        <v>188</v>
      </c>
      <c r="B127" t="s">
        <v>212</v>
      </c>
      <c r="E127">
        <f t="shared" si="12"/>
        <v>0</v>
      </c>
      <c r="F127">
        <v>6276</v>
      </c>
      <c r="G127" s="13">
        <f>LNG_global[[#This Row],[Distance '[miles']]]*1.60934449789256</f>
        <v>10100.246068773706</v>
      </c>
      <c r="H127" s="13" t="s">
        <v>219</v>
      </c>
      <c r="I127" t="s">
        <v>225</v>
      </c>
    </row>
    <row r="128" spans="1:9">
      <c r="A128" t="s">
        <v>188</v>
      </c>
      <c r="B128" t="s">
        <v>213</v>
      </c>
      <c r="E128">
        <f t="shared" si="12"/>
        <v>0</v>
      </c>
      <c r="F128">
        <v>6953</v>
      </c>
      <c r="G128" s="13">
        <f>LNG_global[[#This Row],[Distance '[miles']]]*1.60934449789256</f>
        <v>11189.772293846969</v>
      </c>
      <c r="H128" s="13" t="s">
        <v>219</v>
      </c>
      <c r="I128" t="s">
        <v>226</v>
      </c>
    </row>
    <row r="129" spans="1:9">
      <c r="A129" t="s">
        <v>188</v>
      </c>
      <c r="B129" t="s">
        <v>214</v>
      </c>
      <c r="E129">
        <f t="shared" si="12"/>
        <v>0</v>
      </c>
      <c r="F129">
        <v>5199</v>
      </c>
      <c r="G129" s="13">
        <f>LNG_global[[#This Row],[Distance '[miles']]]*1.60934449789256</f>
        <v>8366.9820445434198</v>
      </c>
      <c r="H129" s="13" t="s">
        <v>219</v>
      </c>
      <c r="I129" t="s">
        <v>227</v>
      </c>
    </row>
    <row r="130" spans="1:9">
      <c r="A130" t="s">
        <v>188</v>
      </c>
      <c r="B130" t="s">
        <v>215</v>
      </c>
      <c r="E130">
        <f t="shared" si="12"/>
        <v>0</v>
      </c>
      <c r="F130">
        <v>4590</v>
      </c>
      <c r="G130" s="13">
        <f>LNG_global[[#This Row],[Distance '[miles']]]*1.60934449789256</f>
        <v>7386.8912453268504</v>
      </c>
      <c r="H130" s="13" t="s">
        <v>219</v>
      </c>
      <c r="I130" t="s">
        <v>228</v>
      </c>
    </row>
    <row r="131" spans="1:9">
      <c r="A131" t="s">
        <v>188</v>
      </c>
      <c r="B131" t="s">
        <v>216</v>
      </c>
      <c r="E131">
        <f t="shared" si="12"/>
        <v>0</v>
      </c>
      <c r="F131">
        <v>3600</v>
      </c>
      <c r="G131" s="13">
        <f>LNG_global[[#This Row],[Distance '[miles']]]*1.60934449789256</f>
        <v>5793.640192413216</v>
      </c>
      <c r="H131" s="13" t="s">
        <v>219</v>
      </c>
      <c r="I131" t="s">
        <v>229</v>
      </c>
    </row>
    <row r="132" spans="1:9">
      <c r="A132" t="s">
        <v>188</v>
      </c>
      <c r="B132" t="s">
        <v>217</v>
      </c>
      <c r="E132">
        <f t="shared" si="12"/>
        <v>0</v>
      </c>
      <c r="F132">
        <v>6024</v>
      </c>
      <c r="G132" s="13">
        <f>LNG_global[[#This Row],[Distance '[miles']]]*1.60934449789256</f>
        <v>9694.6912553047805</v>
      </c>
      <c r="H132" s="13" t="s">
        <v>219</v>
      </c>
      <c r="I132" t="s">
        <v>244</v>
      </c>
    </row>
    <row r="133" spans="1:9">
      <c r="A133" t="s">
        <v>188</v>
      </c>
      <c r="B133" t="s">
        <v>230</v>
      </c>
      <c r="E133">
        <f t="shared" si="12"/>
        <v>0</v>
      </c>
      <c r="F133">
        <v>7356</v>
      </c>
      <c r="G133" s="13">
        <f>LNG_global[[#This Row],[Distance '[miles']]]*1.60934449789256</f>
        <v>11838.338126497671</v>
      </c>
      <c r="H133" s="13" t="s">
        <v>219</v>
      </c>
      <c r="I133" t="s">
        <v>235</v>
      </c>
    </row>
    <row r="134" spans="1:9">
      <c r="A134" t="s">
        <v>188</v>
      </c>
      <c r="B134" t="s">
        <v>231</v>
      </c>
      <c r="E134">
        <f t="shared" si="12"/>
        <v>0</v>
      </c>
      <c r="F134">
        <v>7356</v>
      </c>
      <c r="G134" s="13">
        <f>LNG_global[[#This Row],[Distance '[miles']]]*1.60934449789256</f>
        <v>11838.338126497671</v>
      </c>
      <c r="H134" s="13" t="s">
        <v>219</v>
      </c>
      <c r="I134" t="s">
        <v>236</v>
      </c>
    </row>
    <row r="135" spans="1:9">
      <c r="A135" t="s">
        <v>188</v>
      </c>
      <c r="B135" t="s">
        <v>232</v>
      </c>
      <c r="E135">
        <f t="shared" si="12"/>
        <v>0</v>
      </c>
      <c r="F135">
        <v>6473</v>
      </c>
      <c r="G135" s="13">
        <f>LNG_global[[#This Row],[Distance '[miles']]]*1.60934449789256</f>
        <v>10417.286934858541</v>
      </c>
      <c r="H135" s="13" t="s">
        <v>219</v>
      </c>
      <c r="I135" t="s">
        <v>237</v>
      </c>
    </row>
    <row r="136" spans="1:9">
      <c r="A136" t="s">
        <v>188</v>
      </c>
      <c r="B136" t="s">
        <v>233</v>
      </c>
      <c r="E136">
        <f t="shared" si="12"/>
        <v>0</v>
      </c>
      <c r="F136">
        <v>6011</v>
      </c>
      <c r="G136" s="13">
        <f>LNG_global[[#This Row],[Distance '[miles']]]*1.60934449789256</f>
        <v>9673.7697768321777</v>
      </c>
      <c r="H136" s="13" t="s">
        <v>219</v>
      </c>
      <c r="I136" t="s">
        <v>238</v>
      </c>
    </row>
    <row r="137" spans="1:9">
      <c r="A137" t="s">
        <v>188</v>
      </c>
      <c r="B137" t="s">
        <v>234</v>
      </c>
      <c r="E137">
        <f t="shared" si="12"/>
        <v>0</v>
      </c>
      <c r="F137">
        <v>7296</v>
      </c>
      <c r="G137" s="13">
        <f>LNG_global[[#This Row],[Distance '[miles']]]*1.60934449789256</f>
        <v>11741.777456624117</v>
      </c>
      <c r="H137" s="13" t="s">
        <v>219</v>
      </c>
      <c r="I137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2025-03-18T15:05:04Z</dcterms:modified>
</cp:coreProperties>
</file>