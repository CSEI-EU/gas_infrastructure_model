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7231"/>
  <workbookPr/>
  <mc:AlternateContent xmlns:mc="http://schemas.openxmlformats.org/markup-compatibility/2006">
    <mc:Choice Requires="x15">
      <x15ac:absPath xmlns:x15ac="http://schemas.microsoft.com/office/spreadsheetml/2010/11/ac" url="C:\Users\jfg.eco\Documents\GitHub\hydrogen_grid\01_data\01_input_data\02_processed\"/>
    </mc:Choice>
  </mc:AlternateContent>
  <xr:revisionPtr revIDLastSave="0" documentId="13_ncr:1_{C66E640D-EAC0-4349-AEA0-8150A102F416}" xr6:coauthVersionLast="47" xr6:coauthVersionMax="47" xr10:uidLastSave="{00000000-0000-0000-0000-000000000000}"/>
  <bookViews>
    <workbookView xWindow="-110" yWindow="-110" windowWidth="19420" windowHeight="10300" firstSheet="1" activeTab="4" xr2:uid="{00000000-000D-0000-FFFF-FFFF00000000}"/>
  </bookViews>
  <sheets>
    <sheet name="nodes_lng" sheetId="1" r:id="rId1"/>
    <sheet name="nodes_gas_prod" sheetId="2" r:id="rId2"/>
    <sheet name="nodes_demand" sheetId="3" r:id="rId3"/>
    <sheet name="Connections" sheetId="4" r:id="rId4"/>
    <sheet name="Import_Connections" sheetId="5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8" i="5" l="1"/>
  <c r="D26" i="5"/>
  <c r="E26" i="5" s="1"/>
  <c r="D27" i="5"/>
  <c r="E27" i="5" s="1"/>
  <c r="D28" i="5"/>
  <c r="C28" i="5"/>
  <c r="D25" i="5"/>
  <c r="E25" i="5" s="1"/>
  <c r="M41" i="2"/>
  <c r="M42" i="2"/>
  <c r="L41" i="2"/>
  <c r="L42" i="2"/>
  <c r="F2" i="2"/>
  <c r="F3" i="2"/>
  <c r="F4" i="2"/>
  <c r="F5" i="2"/>
  <c r="F6" i="2"/>
  <c r="F7" i="2"/>
  <c r="F8" i="2"/>
  <c r="F9" i="2"/>
  <c r="F10" i="2"/>
  <c r="F11" i="2"/>
  <c r="F12" i="2"/>
  <c r="F13" i="2"/>
  <c r="F14" i="2"/>
  <c r="F15" i="2"/>
  <c r="F16" i="2"/>
  <c r="F17" i="2"/>
  <c r="F18" i="2"/>
  <c r="F19" i="2"/>
  <c r="F20" i="2"/>
  <c r="F21" i="2"/>
  <c r="F22" i="2"/>
  <c r="F23" i="2"/>
  <c r="F24" i="2"/>
  <c r="F25" i="2"/>
  <c r="F26" i="2"/>
  <c r="F28" i="2"/>
  <c r="F29" i="2"/>
  <c r="F30" i="2"/>
  <c r="F31" i="2"/>
  <c r="F32" i="2"/>
  <c r="F33" i="2"/>
  <c r="F34" i="2"/>
  <c r="F35" i="2"/>
  <c r="F36" i="2"/>
  <c r="F37" i="2"/>
  <c r="F38" i="2"/>
  <c r="F39" i="2"/>
  <c r="F40" i="2"/>
  <c r="F41" i="2"/>
  <c r="F42" i="2"/>
  <c r="D44" i="2"/>
  <c r="C44" i="2"/>
  <c r="E44" i="2"/>
  <c r="E2" i="2"/>
  <c r="E3" i="2"/>
  <c r="E4" i="2"/>
  <c r="E5" i="2"/>
  <c r="E6" i="2"/>
  <c r="E7" i="2"/>
  <c r="E8" i="2"/>
  <c r="E9" i="2"/>
  <c r="E10" i="2"/>
  <c r="E11" i="2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F27" i="2" s="1"/>
  <c r="E28" i="2"/>
  <c r="E29" i="2"/>
  <c r="E30" i="2"/>
  <c r="E31" i="2"/>
  <c r="E32" i="2"/>
  <c r="E33" i="2"/>
  <c r="E34" i="2"/>
  <c r="E35" i="2"/>
  <c r="E36" i="2"/>
  <c r="E37" i="2"/>
  <c r="E38" i="2"/>
  <c r="E39" i="2"/>
  <c r="E40" i="2"/>
  <c r="E41" i="2"/>
  <c r="E42" i="2"/>
  <c r="F2" i="3"/>
  <c r="F3" i="3"/>
  <c r="F4" i="3"/>
  <c r="F5" i="3"/>
  <c r="F6" i="3"/>
  <c r="F7" i="3"/>
  <c r="F8" i="3"/>
  <c r="F9" i="3"/>
  <c r="F10" i="3"/>
  <c r="F11" i="3"/>
  <c r="F12" i="3"/>
  <c r="F13" i="3"/>
  <c r="F14" i="3"/>
  <c r="F15" i="3"/>
  <c r="F16" i="3"/>
  <c r="F17" i="3"/>
  <c r="F18" i="3"/>
  <c r="F19" i="3"/>
  <c r="F20" i="3"/>
  <c r="F21" i="3"/>
  <c r="F22" i="3"/>
  <c r="F23" i="3"/>
  <c r="F24" i="3"/>
  <c r="F25" i="3"/>
  <c r="F26" i="3"/>
  <c r="F27" i="3"/>
  <c r="F28" i="3"/>
  <c r="F29" i="3"/>
  <c r="F30" i="3"/>
  <c r="F32" i="3"/>
  <c r="F33" i="3"/>
  <c r="F34" i="3"/>
  <c r="F35" i="3"/>
  <c r="F36" i="3"/>
  <c r="F37" i="3"/>
  <c r="F38" i="3"/>
  <c r="F39" i="3"/>
  <c r="F40" i="3"/>
  <c r="F41" i="3"/>
  <c r="F42" i="3"/>
  <c r="E27" i="3"/>
  <c r="D42" i="3"/>
  <c r="D23" i="3"/>
  <c r="D21" i="3"/>
  <c r="D41" i="3"/>
  <c r="D3" i="5"/>
  <c r="E3" i="5" s="1"/>
  <c r="D4" i="5"/>
  <c r="E4" i="5"/>
  <c r="D6" i="5"/>
  <c r="E6" i="5" s="1"/>
  <c r="D7" i="5"/>
  <c r="E7" i="5" s="1"/>
  <c r="D8" i="5"/>
  <c r="E8" i="5" s="1"/>
  <c r="D9" i="5"/>
  <c r="E9" i="5" s="1"/>
  <c r="D10" i="5"/>
  <c r="E10" i="5" s="1"/>
  <c r="D11" i="5"/>
  <c r="E11" i="5" s="1"/>
  <c r="D12" i="5"/>
  <c r="E12" i="5" s="1"/>
  <c r="D13" i="5"/>
  <c r="E13" i="5" s="1"/>
  <c r="D14" i="5"/>
  <c r="E14" i="5" s="1"/>
  <c r="D15" i="5"/>
  <c r="E15" i="5" s="1"/>
  <c r="D16" i="5"/>
  <c r="E16" i="5" s="1"/>
  <c r="D17" i="5"/>
  <c r="E17" i="5" s="1"/>
  <c r="D18" i="5"/>
  <c r="E18" i="5" s="1"/>
  <c r="D19" i="5"/>
  <c r="E19" i="5" s="1"/>
  <c r="D20" i="5"/>
  <c r="E20" i="5" s="1"/>
  <c r="D21" i="5"/>
  <c r="E21" i="5" s="1"/>
  <c r="D22" i="5"/>
  <c r="E22" i="5" s="1"/>
  <c r="D23" i="5"/>
  <c r="E23" i="5" s="1"/>
  <c r="D24" i="5"/>
  <c r="E24" i="5" s="1"/>
  <c r="D2" i="5"/>
  <c r="E2" i="5" s="1"/>
  <c r="E3" i="4"/>
  <c r="E4" i="4"/>
  <c r="E5" i="4"/>
  <c r="E6" i="4"/>
  <c r="E7" i="4"/>
  <c r="E8" i="4"/>
  <c r="E9" i="4"/>
  <c r="E10" i="4"/>
  <c r="E11" i="4"/>
  <c r="E12" i="4"/>
  <c r="E13" i="4"/>
  <c r="E14" i="4"/>
  <c r="E15" i="4"/>
  <c r="E16" i="4"/>
  <c r="E17" i="4"/>
  <c r="E18" i="4"/>
  <c r="E19" i="4"/>
  <c r="E20" i="4"/>
  <c r="E21" i="4"/>
  <c r="E22" i="4"/>
  <c r="E23" i="4"/>
  <c r="E24" i="4"/>
  <c r="E25" i="4"/>
  <c r="E26" i="4"/>
  <c r="E27" i="4"/>
  <c r="E28" i="4"/>
  <c r="E29" i="4"/>
  <c r="E30" i="4"/>
  <c r="E31" i="4"/>
  <c r="E32" i="4"/>
  <c r="E33" i="4"/>
  <c r="E34" i="4"/>
  <c r="E35" i="4"/>
  <c r="E36" i="4"/>
  <c r="E37" i="4"/>
  <c r="E38" i="4"/>
  <c r="E39" i="4"/>
  <c r="E40" i="4"/>
  <c r="E41" i="4"/>
  <c r="E42" i="4"/>
  <c r="E43" i="4"/>
  <c r="E44" i="4"/>
  <c r="E45" i="4"/>
  <c r="E46" i="4"/>
  <c r="E47" i="4"/>
  <c r="E48" i="4"/>
  <c r="E49" i="4"/>
  <c r="E50" i="4"/>
  <c r="E51" i="4"/>
  <c r="E52" i="4"/>
  <c r="E53" i="4"/>
  <c r="E54" i="4"/>
  <c r="E55" i="4"/>
  <c r="E56" i="4"/>
  <c r="E57" i="4"/>
  <c r="E58" i="4"/>
  <c r="E59" i="4"/>
  <c r="E60" i="4"/>
  <c r="E61" i="4"/>
  <c r="E62" i="4"/>
  <c r="E63" i="4"/>
  <c r="E64" i="4"/>
  <c r="E65" i="4"/>
  <c r="E66" i="4"/>
  <c r="E67" i="4"/>
  <c r="E68" i="4"/>
  <c r="E69" i="4"/>
  <c r="E70" i="4"/>
  <c r="E71" i="4"/>
  <c r="E72" i="4"/>
  <c r="E73" i="4"/>
  <c r="E74" i="4"/>
  <c r="E75" i="4"/>
  <c r="E76" i="4"/>
  <c r="E77" i="4"/>
  <c r="E78" i="4"/>
  <c r="E79" i="4"/>
  <c r="E80" i="4"/>
  <c r="E81" i="4"/>
  <c r="E82" i="4"/>
  <c r="E83" i="4"/>
  <c r="E84" i="4"/>
  <c r="E85" i="4"/>
  <c r="E86" i="4"/>
  <c r="E87" i="4"/>
  <c r="E88" i="4"/>
  <c r="E89" i="4"/>
  <c r="E90" i="4"/>
  <c r="E2" i="4"/>
  <c r="D3" i="4"/>
  <c r="D4" i="4"/>
  <c r="D5" i="4"/>
  <c r="D6" i="4"/>
  <c r="D7" i="4"/>
  <c r="D8" i="4"/>
  <c r="D9" i="4"/>
  <c r="D10" i="4"/>
  <c r="D11" i="4"/>
  <c r="D12" i="4"/>
  <c r="D13" i="4"/>
  <c r="D14" i="4"/>
  <c r="D15" i="4"/>
  <c r="D16" i="4"/>
  <c r="D17" i="4"/>
  <c r="D18" i="4"/>
  <c r="D19" i="4"/>
  <c r="D20" i="4"/>
  <c r="D21" i="4"/>
  <c r="D22" i="4"/>
  <c r="D23" i="4"/>
  <c r="D24" i="4"/>
  <c r="D25" i="4"/>
  <c r="D26" i="4"/>
  <c r="D27" i="4"/>
  <c r="D28" i="4"/>
  <c r="D29" i="4"/>
  <c r="D30" i="4"/>
  <c r="D31" i="4"/>
  <c r="D32" i="4"/>
  <c r="D33" i="4"/>
  <c r="D34" i="4"/>
  <c r="D35" i="4"/>
  <c r="D36" i="4"/>
  <c r="D37" i="4"/>
  <c r="D38" i="4"/>
  <c r="D39" i="4"/>
  <c r="D40" i="4"/>
  <c r="D41" i="4"/>
  <c r="D42" i="4"/>
  <c r="D43" i="4"/>
  <c r="D44" i="4"/>
  <c r="D45" i="4"/>
  <c r="D46" i="4"/>
  <c r="D47" i="4"/>
  <c r="D48" i="4"/>
  <c r="D49" i="4"/>
  <c r="D50" i="4"/>
  <c r="D51" i="4"/>
  <c r="D52" i="4"/>
  <c r="D53" i="4"/>
  <c r="D54" i="4"/>
  <c r="D55" i="4"/>
  <c r="D56" i="4"/>
  <c r="D57" i="4"/>
  <c r="D58" i="4"/>
  <c r="D59" i="4"/>
  <c r="D60" i="4"/>
  <c r="D61" i="4"/>
  <c r="D62" i="4"/>
  <c r="D63" i="4"/>
  <c r="D64" i="4"/>
  <c r="D65" i="4"/>
  <c r="D66" i="4"/>
  <c r="D67" i="4"/>
  <c r="D68" i="4"/>
  <c r="D69" i="4"/>
  <c r="D70" i="4"/>
  <c r="D71" i="4"/>
  <c r="D72" i="4"/>
  <c r="D73" i="4"/>
  <c r="D74" i="4"/>
  <c r="D75" i="4"/>
  <c r="D76" i="4"/>
  <c r="D77" i="4"/>
  <c r="D78" i="4"/>
  <c r="D79" i="4"/>
  <c r="D80" i="4"/>
  <c r="D81" i="4"/>
  <c r="D82" i="4"/>
  <c r="D83" i="4"/>
  <c r="D84" i="4"/>
  <c r="D85" i="4"/>
  <c r="D86" i="4"/>
  <c r="D87" i="4"/>
  <c r="D88" i="4"/>
  <c r="D89" i="4"/>
  <c r="D90" i="4"/>
  <c r="D2" i="4"/>
  <c r="D2" i="3"/>
  <c r="D3" i="3"/>
  <c r="D4" i="3"/>
  <c r="D5" i="3"/>
  <c r="D6" i="3"/>
  <c r="D7" i="3"/>
  <c r="D8" i="3"/>
  <c r="D9" i="3"/>
  <c r="D10" i="3"/>
  <c r="D11" i="3"/>
  <c r="D12" i="3"/>
  <c r="D13" i="3"/>
  <c r="D14" i="3"/>
  <c r="D15" i="3"/>
  <c r="D16" i="3"/>
  <c r="D17" i="3"/>
  <c r="D18" i="3"/>
  <c r="D19" i="3"/>
  <c r="D20" i="3"/>
  <c r="D22" i="3"/>
  <c r="D24" i="3"/>
  <c r="D25" i="3"/>
  <c r="D26" i="3"/>
  <c r="D27" i="3"/>
  <c r="D28" i="3"/>
  <c r="D29" i="3"/>
  <c r="D30" i="3"/>
  <c r="D31" i="3"/>
  <c r="D32" i="3"/>
  <c r="D33" i="3"/>
  <c r="D34" i="3"/>
  <c r="D35" i="3"/>
  <c r="D36" i="3"/>
  <c r="D37" i="3"/>
  <c r="D38" i="3"/>
  <c r="D39" i="3"/>
  <c r="D40" i="3"/>
  <c r="G3" i="1"/>
  <c r="G4" i="1"/>
  <c r="G5" i="1"/>
  <c r="G6" i="1"/>
  <c r="G7" i="1"/>
  <c r="G8" i="1"/>
  <c r="G9" i="1"/>
  <c r="G10" i="1"/>
  <c r="G11" i="1"/>
  <c r="G12" i="1"/>
  <c r="G13" i="1"/>
  <c r="G14" i="1"/>
  <c r="G2" i="1"/>
  <c r="F3" i="1"/>
  <c r="F4" i="1"/>
  <c r="F5" i="1"/>
  <c r="F6" i="1"/>
  <c r="F7" i="1"/>
  <c r="F8" i="1"/>
  <c r="F9" i="1"/>
  <c r="F10" i="1"/>
  <c r="F11" i="1"/>
  <c r="F12" i="1"/>
  <c r="F13" i="1"/>
  <c r="F14" i="1"/>
  <c r="F2" i="1"/>
  <c r="M3" i="2"/>
  <c r="M4" i="2"/>
  <c r="M5" i="2"/>
  <c r="M6" i="2"/>
  <c r="M7" i="2"/>
  <c r="M8" i="2"/>
  <c r="M9" i="2"/>
  <c r="M10" i="2"/>
  <c r="M11" i="2"/>
  <c r="M12" i="2"/>
  <c r="M13" i="2"/>
  <c r="M14" i="2"/>
  <c r="M15" i="2"/>
  <c r="M16" i="2"/>
  <c r="M17" i="2"/>
  <c r="M18" i="2"/>
  <c r="M19" i="2"/>
  <c r="M20" i="2"/>
  <c r="M21" i="2"/>
  <c r="M22" i="2"/>
  <c r="M23" i="2"/>
  <c r="M24" i="2"/>
  <c r="M25" i="2"/>
  <c r="M26" i="2"/>
  <c r="M27" i="2"/>
  <c r="M28" i="2"/>
  <c r="M29" i="2"/>
  <c r="M30" i="2"/>
  <c r="M31" i="2"/>
  <c r="M32" i="2"/>
  <c r="M33" i="2"/>
  <c r="M34" i="2"/>
  <c r="M35" i="2"/>
  <c r="M36" i="2"/>
  <c r="M37" i="2"/>
  <c r="M38" i="2"/>
  <c r="M39" i="2"/>
  <c r="M40" i="2"/>
  <c r="M2" i="2"/>
  <c r="L3" i="2"/>
  <c r="L4" i="2"/>
  <c r="L5" i="2"/>
  <c r="L6" i="2"/>
  <c r="L7" i="2"/>
  <c r="L8" i="2"/>
  <c r="L9" i="2"/>
  <c r="L10" i="2"/>
  <c r="L11" i="2"/>
  <c r="L12" i="2"/>
  <c r="L13" i="2"/>
  <c r="L14" i="2"/>
  <c r="L15" i="2"/>
  <c r="L16" i="2"/>
  <c r="L17" i="2"/>
  <c r="L18" i="2"/>
  <c r="L19" i="2"/>
  <c r="L20" i="2"/>
  <c r="L21" i="2"/>
  <c r="L22" i="2"/>
  <c r="L23" i="2"/>
  <c r="L24" i="2"/>
  <c r="L25" i="2"/>
  <c r="L26" i="2"/>
  <c r="L27" i="2"/>
  <c r="L28" i="2"/>
  <c r="L29" i="2"/>
  <c r="L30" i="2"/>
  <c r="L31" i="2"/>
  <c r="L32" i="2"/>
  <c r="L33" i="2"/>
  <c r="L34" i="2"/>
  <c r="L35" i="2"/>
  <c r="L36" i="2"/>
  <c r="L37" i="2"/>
  <c r="L38" i="2"/>
  <c r="L39" i="2"/>
  <c r="L40" i="2"/>
  <c r="L2" i="2"/>
  <c r="M3" i="1"/>
  <c r="M4" i="1"/>
  <c r="M5" i="1"/>
  <c r="M6" i="1"/>
  <c r="M7" i="1"/>
  <c r="M8" i="1"/>
  <c r="M9" i="1"/>
  <c r="M10" i="1"/>
  <c r="M11" i="1"/>
  <c r="M12" i="1"/>
  <c r="M13" i="1"/>
  <c r="M2" i="1"/>
  <c r="L3" i="1"/>
  <c r="L4" i="1"/>
  <c r="L5" i="1"/>
  <c r="L6" i="1"/>
  <c r="L7" i="1"/>
  <c r="L8" i="1"/>
  <c r="L9" i="1"/>
  <c r="L10" i="1"/>
  <c r="L11" i="1"/>
  <c r="L12" i="1"/>
  <c r="L13" i="1"/>
  <c r="L2" i="1"/>
  <c r="C5" i="5"/>
  <c r="D5" i="5" s="1"/>
  <c r="E5" i="5" s="1"/>
  <c r="D3" i="1"/>
  <c r="D4" i="1"/>
  <c r="D5" i="1"/>
  <c r="D6" i="1"/>
  <c r="D7" i="1"/>
  <c r="D8" i="1"/>
  <c r="D9" i="1"/>
  <c r="D10" i="1"/>
  <c r="D11" i="1"/>
  <c r="D12" i="1"/>
  <c r="D13" i="1"/>
  <c r="D14" i="1"/>
  <c r="D2" i="1"/>
</calcChain>
</file>

<file path=xl/sharedStrings.xml><?xml version="1.0" encoding="utf-8"?>
<sst xmlns="http://schemas.openxmlformats.org/spreadsheetml/2006/main" count="486" uniqueCount="128">
  <si>
    <t>Belgium</t>
  </si>
  <si>
    <t>Portugal</t>
  </si>
  <si>
    <t>France</t>
  </si>
  <si>
    <t>Greece</t>
  </si>
  <si>
    <t>Italy</t>
  </si>
  <si>
    <t>Croatia</t>
  </si>
  <si>
    <t>Lithuania</t>
  </si>
  <si>
    <t>Netherlands</t>
  </si>
  <si>
    <t>Poland</t>
  </si>
  <si>
    <t>Spain</t>
  </si>
  <si>
    <t>Türkiye</t>
  </si>
  <si>
    <t>UK</t>
  </si>
  <si>
    <t>LNG</t>
  </si>
  <si>
    <t>Share [2020]</t>
  </si>
  <si>
    <t>Capacity after grid connection [2020]</t>
  </si>
  <si>
    <t>LNG Capacity Mrd m3 [2020]</t>
  </si>
  <si>
    <t>Country</t>
  </si>
  <si>
    <t>BE</t>
  </si>
  <si>
    <t>NL</t>
  </si>
  <si>
    <t>DE</t>
  </si>
  <si>
    <t>AT</t>
  </si>
  <si>
    <t>IT</t>
  </si>
  <si>
    <t>CH</t>
  </si>
  <si>
    <t>SI</t>
  </si>
  <si>
    <t>HR</t>
  </si>
  <si>
    <t>FR</t>
  </si>
  <si>
    <t>DK</t>
  </si>
  <si>
    <t>PL</t>
  </si>
  <si>
    <t>CZ</t>
  </si>
  <si>
    <t>SK</t>
  </si>
  <si>
    <t>HU</t>
  </si>
  <si>
    <t>RS</t>
  </si>
  <si>
    <t>BG</t>
  </si>
  <si>
    <t>GR</t>
  </si>
  <si>
    <t>RO</t>
  </si>
  <si>
    <t>LT</t>
  </si>
  <si>
    <t>LV</t>
  </si>
  <si>
    <t>ES</t>
  </si>
  <si>
    <t>PT</t>
  </si>
  <si>
    <t>UA</t>
  </si>
  <si>
    <t>MD</t>
  </si>
  <si>
    <t>RU</t>
  </si>
  <si>
    <t>AL</t>
  </si>
  <si>
    <t>LU</t>
  </si>
  <si>
    <t>IE</t>
  </si>
  <si>
    <t>BA</t>
  </si>
  <si>
    <t>MK</t>
  </si>
  <si>
    <t>TR</t>
  </si>
  <si>
    <t>SM</t>
  </si>
  <si>
    <t>NO</t>
  </si>
  <si>
    <t>DZ</t>
  </si>
  <si>
    <t>TN</t>
  </si>
  <si>
    <t>LY</t>
  </si>
  <si>
    <t>BY</t>
  </si>
  <si>
    <t>EE</t>
  </si>
  <si>
    <t>FI</t>
  </si>
  <si>
    <t>Long_name</t>
  </si>
  <si>
    <t>Germany</t>
  </si>
  <si>
    <t>Austria</t>
  </si>
  <si>
    <t>Switzerland</t>
  </si>
  <si>
    <t>Slovenia</t>
  </si>
  <si>
    <t>Denmark</t>
  </si>
  <si>
    <t>Czech Republic</t>
  </si>
  <si>
    <t>Slovakia</t>
  </si>
  <si>
    <t>Hungary</t>
  </si>
  <si>
    <t>Bulgaria</t>
  </si>
  <si>
    <t>Latvia</t>
  </si>
  <si>
    <t>Estonia</t>
  </si>
  <si>
    <t>Ukraine</t>
  </si>
  <si>
    <t>Moldova</t>
  </si>
  <si>
    <t>Russia</t>
  </si>
  <si>
    <t>Luxemburg</t>
  </si>
  <si>
    <t>Norway</t>
  </si>
  <si>
    <t>Serbia</t>
  </si>
  <si>
    <t>Albania</t>
  </si>
  <si>
    <t>Irland</t>
  </si>
  <si>
    <t>Bosnia and Herzegovina</t>
  </si>
  <si>
    <t>North Macedonia</t>
  </si>
  <si>
    <t>San Marino</t>
  </si>
  <si>
    <t>Algeria</t>
  </si>
  <si>
    <t>Tunisia</t>
  </si>
  <si>
    <t>Libya</t>
  </si>
  <si>
    <t>Belarus</t>
  </si>
  <si>
    <t>SE</t>
  </si>
  <si>
    <t>Sweden</t>
  </si>
  <si>
    <t>https://www.bp.com/content/dam/bp/business-sites/en/global/corporate/pdfs/energy-economics/statistical-review/bp-stats-review-2021-full-report.pdf</t>
  </si>
  <si>
    <t>Mrd m3 [2020]</t>
  </si>
  <si>
    <t>Finland</t>
  </si>
  <si>
    <t>Romania</t>
  </si>
  <si>
    <t>OE</t>
  </si>
  <si>
    <t>Other Europe</t>
  </si>
  <si>
    <t>https://www.ins.tn/sites/default/files/publication/pdf/bms%20octobre%202022.pdf</t>
  </si>
  <si>
    <t>Imports [2020]</t>
  </si>
  <si>
    <t>Malta</t>
  </si>
  <si>
    <t>From</t>
  </si>
  <si>
    <t>To</t>
  </si>
  <si>
    <t>GWh/d</t>
  </si>
  <si>
    <t>https://gasdashboard.entsog.eu/</t>
  </si>
  <si>
    <t>AZ</t>
  </si>
  <si>
    <t>TK</t>
  </si>
  <si>
    <t>MA</t>
  </si>
  <si>
    <t>IR</t>
  </si>
  <si>
    <t>additional</t>
  </si>
  <si>
    <t>-</t>
  </si>
  <si>
    <t>_LNG</t>
  </si>
  <si>
    <t>_Prod</t>
  </si>
  <si>
    <t>Limitation</t>
  </si>
  <si>
    <t>Limitation in TWh</t>
  </si>
  <si>
    <t>TWh [2020]</t>
  </si>
  <si>
    <t>GWh/a</t>
  </si>
  <si>
    <t>TWh/a</t>
  </si>
  <si>
    <t>Population 2020 [Tsd]</t>
  </si>
  <si>
    <t>ZY</t>
  </si>
  <si>
    <t>Zyprus</t>
  </si>
  <si>
    <t>MT</t>
  </si>
  <si>
    <t>Montenegro</t>
  </si>
  <si>
    <t>https://ec.europa.eu/eurostat/documents/2995521/11081093/3-10072020-AP-EN.pdf/d2f799bf-4412-05cc-a357-7b49b93615f1</t>
  </si>
  <si>
    <t>https://ec.europa.eu/eurostat/statistics-explained/index.php?title=File:WBT23_Population,_2011-2022_(thousands).png</t>
  </si>
  <si>
    <t>for Bosnia</t>
  </si>
  <si>
    <t>https://ec.europa.eu/eurostat/statistics-explained/index.php?title=European_Neighbourhood_Policy_-_East_-_population_statistics#Number_of_inhabitants</t>
  </si>
  <si>
    <t>Ukraine, Moldova</t>
  </si>
  <si>
    <t>Kosovo</t>
  </si>
  <si>
    <t>TWh by share</t>
  </si>
  <si>
    <t>Mil m3 EU [2020]</t>
  </si>
  <si>
    <t>https://ec.europa.eu/eurostat/databrowser/view/nrg_cb_gasm__custom_10421303/default/table?lang=en</t>
  </si>
  <si>
    <t>Mrd m3 EU [2020]</t>
  </si>
  <si>
    <t>for all Europe</t>
  </si>
  <si>
    <t>same as MA to ES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</si>
</sst>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"/>
  </numFmts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0" fontId="0" fillId="0" borderId="0" xfId="0" applyNumberFormat="1"/>
    <xf numFmtId="164" fontId="0" fillId="0" borderId="0" xfId="0" applyNumberFormat="1"/>
    <xf numFmtId="2" fontId="0" fillId="0" borderId="0" xfId="0" applyNumberFormat="1"/>
  </cellXfs>
  <cellStyles count="1">
    <cellStyle name="Normal" xfId="0" builtinId="0"/>
  </cellStyles>
  <dxfs count="7">
    <dxf>
      <numFmt numFmtId="0" formatCode="General"/>
    </dxf>
    <dxf>
      <numFmt numFmtId="0" formatCode="General"/>
    </dxf>
    <dxf>
      <numFmt numFmtId="164" formatCode="0.0"/>
    </dxf>
    <dxf>
      <numFmt numFmtId="2" formatCode="0.00"/>
    </dxf>
    <dxf>
      <numFmt numFmtId="164" formatCode="0.0"/>
    </dxf>
    <dxf>
      <numFmt numFmtId="164" formatCode="0.0"/>
    </dxf>
    <dxf>
      <numFmt numFmtId="164" formatCode="0.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D12A1D17-871E-4E66-A144-F2ADD46C5E00}" name="Table2" displayName="Table2" ref="A1:F42" totalsRowShown="0">
  <autoFilter ref="A1:F42" xr:uid="{D12A1D17-871E-4E66-A144-F2ADD46C5E00}"/>
  <sortState xmlns:xlrd2="http://schemas.microsoft.com/office/spreadsheetml/2017/richdata2" ref="A2:C40">
    <sortCondition ref="B1:B40"/>
  </sortState>
  <tableColumns count="6">
    <tableColumn id="1" xr3:uid="{D3465064-BCEE-4D04-A8E6-DEAE11BBDA92}" name="Country"/>
    <tableColumn id="2" xr3:uid="{D66D54B4-4DED-47C6-BE50-755A236428ED}" name="Long_name"/>
    <tableColumn id="3" xr3:uid="{DB34E8EE-2DCE-45DC-955E-A0569FED64E5}" name="Mrd m3 [2020]" dataDxfId="6"/>
    <tableColumn id="5" xr3:uid="{4278F9D8-E46F-44B9-A622-727B8E2C8EF1}" name="Mil m3 EU [2020]" dataDxfId="5"/>
    <tableColumn id="6" xr3:uid="{F2BDB73C-713D-4BC7-B762-048AA072F297}" name="Mrd m3 EU [2020]" dataDxfId="4">
      <calculatedColumnFormula>Table2[[#This Row],[Mil m3 EU '[2020']]]/1000</calculatedColumnFormula>
    </tableColumn>
    <tableColumn id="4" xr3:uid="{5BB2DA97-8C23-44BC-9268-BDBE2BCDBBC8}" name="TWh [2020]" dataDxfId="3">
      <calculatedColumnFormula>IF(Table2[[#This Row],[Mil m3 EU '[2020']]]&gt;0,Table2[[#This Row],[Mrd m3 EU '[2020']]],Table2[[#This Row],[Mrd m3 '[2020']]])*9.77</calculatedColumnFormula>
    </tableColumn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B73A1919-17A7-42D3-8518-97DC2C923D0A}" name="Table1" displayName="Table1" ref="A1:F42" totalsRowShown="0">
  <autoFilter ref="A1:F42" xr:uid="{B73A1919-17A7-42D3-8518-97DC2C923D0A}"/>
  <sortState xmlns:xlrd2="http://schemas.microsoft.com/office/spreadsheetml/2017/richdata2" ref="A2:E41">
    <sortCondition ref="B1:B41"/>
  </sortState>
  <tableColumns count="6">
    <tableColumn id="1" xr3:uid="{2E667126-F0AE-4045-8045-2063C112853F}" name="Country"/>
    <tableColumn id="2" xr3:uid="{536DA57B-A186-41E1-8967-E3467594200F}" name="Long_name"/>
    <tableColumn id="3" xr3:uid="{DEF527B1-DA00-467C-9DB5-2DC94D9B506B}" name="Mrd m3 [2020]" dataDxfId="2"/>
    <tableColumn id="4" xr3:uid="{1618AAC4-0782-47C3-91CE-2FEB95FBDD58}" name="TWh [2020]" dataDxfId="1">
      <calculatedColumnFormula>Table1[[#This Row],[Mrd m3 '[2020']]]*9.77*-1</calculatedColumnFormula>
    </tableColumn>
    <tableColumn id="5" xr3:uid="{0221D38A-A241-4AD5-A477-B5DD5AC2F6CF}" name="Population 2020 [Tsd]"/>
    <tableColumn id="6" xr3:uid="{3EB83E78-D0C6-4E28-AD34-69D840CBB511}" name="TWh by share" dataDxfId="0">
      <calculatedColumnFormula>IF(Table1[[#This Row],[TWh '[2020']]]=0,$D$27*E2/$E$27,0)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5"/>
  <sheetViews>
    <sheetView workbookViewId="0">
      <selection activeCell="G13" sqref="G2:G13"/>
    </sheetView>
  </sheetViews>
  <sheetFormatPr defaultRowHeight="14.5" x14ac:dyDescent="0.35"/>
  <sheetData>
    <row r="1" spans="1:13" x14ac:dyDescent="0.35">
      <c r="A1" t="s">
        <v>12</v>
      </c>
      <c r="B1" t="s">
        <v>15</v>
      </c>
      <c r="C1" t="s">
        <v>92</v>
      </c>
      <c r="D1" t="s">
        <v>13</v>
      </c>
      <c r="E1" t="s">
        <v>14</v>
      </c>
      <c r="F1" t="s">
        <v>106</v>
      </c>
      <c r="G1" t="s">
        <v>107</v>
      </c>
      <c r="L1" t="s">
        <v>94</v>
      </c>
      <c r="M1" t="s">
        <v>95</v>
      </c>
    </row>
    <row r="2" spans="1:13" x14ac:dyDescent="0.35">
      <c r="A2" t="s">
        <v>0</v>
      </c>
      <c r="B2">
        <v>11.4</v>
      </c>
      <c r="C2">
        <v>5.0999999999999996</v>
      </c>
      <c r="D2" s="1">
        <f>C2/B2</f>
        <v>0.44736842105263153</v>
      </c>
      <c r="E2">
        <v>9</v>
      </c>
      <c r="F2">
        <f>IF(B2&gt;E2,B2,E2)</f>
        <v>11.4</v>
      </c>
      <c r="G2">
        <f>F2*9.77</f>
        <v>111.378</v>
      </c>
      <c r="I2" t="s">
        <v>17</v>
      </c>
      <c r="J2" t="s">
        <v>104</v>
      </c>
      <c r="L2" t="str">
        <f>_xlfn.CONCAT(I2,J2)</f>
        <v>BE_LNG</v>
      </c>
      <c r="M2" t="str">
        <f>I2</f>
        <v>BE</v>
      </c>
    </row>
    <row r="3" spans="1:13" x14ac:dyDescent="0.35">
      <c r="A3" t="s">
        <v>2</v>
      </c>
      <c r="B3">
        <v>33</v>
      </c>
      <c r="C3">
        <v>19.600000000000001</v>
      </c>
      <c r="D3" s="1">
        <f t="shared" ref="D3:D14" si="0">C3/B3</f>
        <v>0.59393939393939399</v>
      </c>
      <c r="E3">
        <v>33</v>
      </c>
      <c r="F3">
        <f t="shared" ref="F3:F14" si="1">IF(B3&gt;E3,B3,E3)</f>
        <v>33</v>
      </c>
      <c r="G3">
        <f t="shared" ref="G3:G14" si="2">F3*9.77</f>
        <v>322.40999999999997</v>
      </c>
      <c r="I3" t="s">
        <v>25</v>
      </c>
      <c r="J3" t="s">
        <v>104</v>
      </c>
      <c r="L3" t="str">
        <f t="shared" ref="L3:L13" si="3">_xlfn.CONCAT(I3,J3)</f>
        <v>FR_LNG</v>
      </c>
      <c r="M3" t="str">
        <f t="shared" ref="M3:M13" si="4">I3</f>
        <v>FR</v>
      </c>
    </row>
    <row r="4" spans="1:13" x14ac:dyDescent="0.35">
      <c r="A4" t="s">
        <v>3</v>
      </c>
      <c r="B4">
        <v>7</v>
      </c>
      <c r="C4">
        <v>2.5</v>
      </c>
      <c r="D4" s="1">
        <f t="shared" si="0"/>
        <v>0.35714285714285715</v>
      </c>
      <c r="E4">
        <v>7.5</v>
      </c>
      <c r="F4">
        <f t="shared" si="1"/>
        <v>7.5</v>
      </c>
      <c r="G4">
        <f t="shared" si="2"/>
        <v>73.274999999999991</v>
      </c>
      <c r="I4" t="s">
        <v>33</v>
      </c>
      <c r="J4" t="s">
        <v>104</v>
      </c>
      <c r="L4" t="str">
        <f t="shared" si="3"/>
        <v>GR_LNG</v>
      </c>
      <c r="M4" t="str">
        <f t="shared" si="4"/>
        <v>GR</v>
      </c>
    </row>
    <row r="5" spans="1:13" x14ac:dyDescent="0.35">
      <c r="A5" t="s">
        <v>4</v>
      </c>
      <c r="B5">
        <v>15.95</v>
      </c>
      <c r="C5">
        <v>12.1</v>
      </c>
      <c r="D5" s="1">
        <f t="shared" si="0"/>
        <v>0.75862068965517238</v>
      </c>
      <c r="E5">
        <v>15.8</v>
      </c>
      <c r="F5">
        <f t="shared" si="1"/>
        <v>15.95</v>
      </c>
      <c r="G5">
        <f t="shared" si="2"/>
        <v>155.83149999999998</v>
      </c>
      <c r="I5" t="s">
        <v>21</v>
      </c>
      <c r="J5" t="s">
        <v>104</v>
      </c>
      <c r="L5" t="str">
        <f t="shared" si="3"/>
        <v>IT_LNG</v>
      </c>
      <c r="M5" t="str">
        <f t="shared" si="4"/>
        <v>IT</v>
      </c>
    </row>
    <row r="6" spans="1:13" x14ac:dyDescent="0.35">
      <c r="A6" t="s">
        <v>5</v>
      </c>
      <c r="B6">
        <v>2.6</v>
      </c>
      <c r="C6">
        <v>0.4</v>
      </c>
      <c r="D6" s="1">
        <f t="shared" si="0"/>
        <v>0.15384615384615385</v>
      </c>
      <c r="E6">
        <v>2.6</v>
      </c>
      <c r="F6">
        <f t="shared" si="1"/>
        <v>2.6</v>
      </c>
      <c r="G6">
        <f t="shared" si="2"/>
        <v>25.402000000000001</v>
      </c>
      <c r="I6" t="s">
        <v>24</v>
      </c>
      <c r="J6" t="s">
        <v>104</v>
      </c>
      <c r="L6" t="str">
        <f t="shared" si="3"/>
        <v>HR_LNG</v>
      </c>
      <c r="M6" t="str">
        <f t="shared" si="4"/>
        <v>HR</v>
      </c>
    </row>
    <row r="7" spans="1:13" x14ac:dyDescent="0.35">
      <c r="A7" t="s">
        <v>6</v>
      </c>
      <c r="B7">
        <v>4</v>
      </c>
      <c r="C7">
        <v>1.6</v>
      </c>
      <c r="D7" s="1">
        <f t="shared" si="0"/>
        <v>0.4</v>
      </c>
      <c r="E7">
        <v>4</v>
      </c>
      <c r="F7">
        <f t="shared" si="1"/>
        <v>4</v>
      </c>
      <c r="G7">
        <f t="shared" si="2"/>
        <v>39.08</v>
      </c>
      <c r="I7" t="s">
        <v>35</v>
      </c>
      <c r="J7" t="s">
        <v>104</v>
      </c>
      <c r="L7" t="str">
        <f t="shared" si="3"/>
        <v>LT_LNG</v>
      </c>
      <c r="M7" t="str">
        <f t="shared" si="4"/>
        <v>LT</v>
      </c>
    </row>
    <row r="8" spans="1:13" x14ac:dyDescent="0.35">
      <c r="A8" t="s">
        <v>7</v>
      </c>
      <c r="B8">
        <v>12</v>
      </c>
      <c r="C8">
        <v>8.1999999999999993</v>
      </c>
      <c r="D8" s="1">
        <f t="shared" si="0"/>
        <v>0.68333333333333324</v>
      </c>
      <c r="E8">
        <v>12.5</v>
      </c>
      <c r="F8">
        <f t="shared" si="1"/>
        <v>12.5</v>
      </c>
      <c r="G8">
        <f t="shared" si="2"/>
        <v>122.125</v>
      </c>
      <c r="I8" t="s">
        <v>18</v>
      </c>
      <c r="J8" t="s">
        <v>104</v>
      </c>
      <c r="L8" t="str">
        <f t="shared" si="3"/>
        <v>NL_LNG</v>
      </c>
      <c r="M8" t="str">
        <f t="shared" si="4"/>
        <v>NL</v>
      </c>
    </row>
    <row r="9" spans="1:13" x14ac:dyDescent="0.35">
      <c r="A9" t="s">
        <v>8</v>
      </c>
      <c r="B9">
        <v>6.2</v>
      </c>
      <c r="C9">
        <v>4.0999999999999996</v>
      </c>
      <c r="D9" s="1">
        <f t="shared" si="0"/>
        <v>0.66129032258064513</v>
      </c>
      <c r="E9">
        <v>5.8</v>
      </c>
      <c r="F9">
        <f t="shared" si="1"/>
        <v>6.2</v>
      </c>
      <c r="G9">
        <f t="shared" si="2"/>
        <v>60.573999999999998</v>
      </c>
      <c r="I9" t="s">
        <v>27</v>
      </c>
      <c r="J9" t="s">
        <v>104</v>
      </c>
      <c r="L9" t="str">
        <f t="shared" si="3"/>
        <v>PL_LNG</v>
      </c>
      <c r="M9" t="str">
        <f t="shared" si="4"/>
        <v>PL</v>
      </c>
    </row>
    <row r="10" spans="1:13" x14ac:dyDescent="0.35">
      <c r="A10" t="s">
        <v>1</v>
      </c>
      <c r="B10">
        <v>7.6</v>
      </c>
      <c r="C10">
        <v>6.1</v>
      </c>
      <c r="D10" s="1">
        <f t="shared" si="0"/>
        <v>0.80263157894736836</v>
      </c>
      <c r="E10">
        <v>7.3</v>
      </c>
      <c r="F10">
        <f t="shared" si="1"/>
        <v>7.6</v>
      </c>
      <c r="G10">
        <f t="shared" si="2"/>
        <v>74.251999999999995</v>
      </c>
      <c r="I10" t="s">
        <v>38</v>
      </c>
      <c r="J10" t="s">
        <v>104</v>
      </c>
      <c r="L10" t="str">
        <f t="shared" si="3"/>
        <v>PT_LNG</v>
      </c>
      <c r="M10" t="str">
        <f t="shared" si="4"/>
        <v>PT</v>
      </c>
    </row>
    <row r="11" spans="1:13" x14ac:dyDescent="0.35">
      <c r="A11" t="s">
        <v>9</v>
      </c>
      <c r="B11">
        <v>60.1</v>
      </c>
      <c r="C11">
        <v>20.9</v>
      </c>
      <c r="D11" s="1">
        <f t="shared" si="0"/>
        <v>0.3477537437603993</v>
      </c>
      <c r="E11">
        <v>67.099999999999994</v>
      </c>
      <c r="F11">
        <f t="shared" si="1"/>
        <v>67.099999999999994</v>
      </c>
      <c r="G11">
        <f t="shared" si="2"/>
        <v>655.56699999999989</v>
      </c>
      <c r="I11" t="s">
        <v>37</v>
      </c>
      <c r="J11" t="s">
        <v>104</v>
      </c>
      <c r="L11" t="str">
        <f t="shared" si="3"/>
        <v>ES_LNG</v>
      </c>
      <c r="M11" t="str">
        <f t="shared" si="4"/>
        <v>ES</v>
      </c>
    </row>
    <row r="12" spans="1:13" x14ac:dyDescent="0.35">
      <c r="A12" t="s">
        <v>10</v>
      </c>
      <c r="B12">
        <v>43.6</v>
      </c>
      <c r="C12">
        <v>14.8</v>
      </c>
      <c r="D12" s="1">
        <f t="shared" si="0"/>
        <v>0.33944954128440369</v>
      </c>
      <c r="E12">
        <v>14.8</v>
      </c>
      <c r="F12">
        <f t="shared" si="1"/>
        <v>43.6</v>
      </c>
      <c r="G12">
        <f t="shared" si="2"/>
        <v>425.97199999999998</v>
      </c>
      <c r="I12" t="s">
        <v>47</v>
      </c>
      <c r="J12" t="s">
        <v>104</v>
      </c>
      <c r="L12" t="str">
        <f t="shared" si="3"/>
        <v>TR_LNG</v>
      </c>
      <c r="M12" t="str">
        <f t="shared" si="4"/>
        <v>TR</v>
      </c>
    </row>
    <row r="13" spans="1:13" x14ac:dyDescent="0.35">
      <c r="A13" t="s">
        <v>11</v>
      </c>
      <c r="B13">
        <v>48.1</v>
      </c>
      <c r="C13">
        <v>18.600000000000001</v>
      </c>
      <c r="D13" s="1">
        <f t="shared" si="0"/>
        <v>0.38669438669438672</v>
      </c>
      <c r="E13">
        <v>52.3</v>
      </c>
      <c r="F13">
        <f t="shared" si="1"/>
        <v>52.3</v>
      </c>
      <c r="G13">
        <f t="shared" si="2"/>
        <v>510.97099999999995</v>
      </c>
      <c r="I13" t="s">
        <v>11</v>
      </c>
      <c r="J13" t="s">
        <v>104</v>
      </c>
      <c r="L13" t="str">
        <f t="shared" si="3"/>
        <v>UK_LNG</v>
      </c>
      <c r="M13" t="str">
        <f t="shared" si="4"/>
        <v>UK</v>
      </c>
    </row>
    <row r="14" spans="1:13" x14ac:dyDescent="0.35">
      <c r="A14" t="s">
        <v>93</v>
      </c>
      <c r="B14">
        <v>0.7</v>
      </c>
      <c r="D14" s="1">
        <f t="shared" si="0"/>
        <v>0</v>
      </c>
      <c r="F14">
        <f t="shared" si="1"/>
        <v>0.7</v>
      </c>
      <c r="G14">
        <f t="shared" si="2"/>
        <v>6.8389999999999995</v>
      </c>
      <c r="I14" t="s">
        <v>103</v>
      </c>
    </row>
    <row r="15" spans="1:13" x14ac:dyDescent="0.35">
      <c r="D15" s="1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CF82F4-4954-4D06-9A30-AE8575CA18DE}">
  <dimension ref="A1:M49"/>
  <sheetViews>
    <sheetView workbookViewId="0">
      <selection activeCell="I9" sqref="I9"/>
    </sheetView>
  </sheetViews>
  <sheetFormatPr defaultRowHeight="14.5" x14ac:dyDescent="0.35"/>
  <cols>
    <col min="1" max="1" width="9.54296875" customWidth="1"/>
    <col min="2" max="2" width="12.54296875" customWidth="1"/>
    <col min="3" max="7" width="15" customWidth="1"/>
  </cols>
  <sheetData>
    <row r="1" spans="1:13" x14ac:dyDescent="0.35">
      <c r="A1" t="s">
        <v>16</v>
      </c>
      <c r="B1" t="s">
        <v>56</v>
      </c>
      <c r="C1" t="s">
        <v>86</v>
      </c>
      <c r="D1" t="s">
        <v>123</v>
      </c>
      <c r="E1" t="s">
        <v>125</v>
      </c>
      <c r="F1" t="s">
        <v>108</v>
      </c>
      <c r="L1" t="s">
        <v>94</v>
      </c>
      <c r="M1" t="s">
        <v>95</v>
      </c>
    </row>
    <row r="2" spans="1:13" x14ac:dyDescent="0.35">
      <c r="A2" t="s">
        <v>42</v>
      </c>
      <c r="B2" t="s">
        <v>74</v>
      </c>
      <c r="C2" s="2"/>
      <c r="D2" s="2">
        <v>56.895000000000003</v>
      </c>
      <c r="E2" s="2">
        <f>Table2[[#This Row],[Mil m3 EU '[2020']]]/1000</f>
        <v>5.6895000000000001E-2</v>
      </c>
      <c r="F2" s="3">
        <f>IF(Table2[[#This Row],[Mil m3 EU '[2020']]]&gt;0,Table2[[#This Row],[Mrd m3 EU '[2020']]],Table2[[#This Row],[Mrd m3 '[2020']]])*9.77</f>
        <v>0.55586415</v>
      </c>
      <c r="G2" s="2"/>
      <c r="I2" t="s">
        <v>105</v>
      </c>
      <c r="L2" t="str">
        <f t="shared" ref="L2:L40" si="0">_xlfn.CONCAT(A2,$I$2)</f>
        <v>AL_Prod</v>
      </c>
      <c r="M2" t="str">
        <f>Table2[[#This Row],[Country]]</f>
        <v>AL</v>
      </c>
    </row>
    <row r="3" spans="1:13" x14ac:dyDescent="0.35">
      <c r="A3" t="s">
        <v>50</v>
      </c>
      <c r="B3" t="s">
        <v>79</v>
      </c>
      <c r="C3" s="2">
        <v>81.5</v>
      </c>
      <c r="D3" s="2"/>
      <c r="E3" s="2">
        <f>Table2[[#This Row],[Mil m3 EU '[2020']]]/1000</f>
        <v>0</v>
      </c>
      <c r="F3" s="3">
        <f>IF(Table2[[#This Row],[Mil m3 EU '[2020']]]&gt;0,Table2[[#This Row],[Mrd m3 EU '[2020']]],Table2[[#This Row],[Mrd m3 '[2020']]])*9.77</f>
        <v>796.255</v>
      </c>
      <c r="G3" s="2"/>
      <c r="L3" t="str">
        <f t="shared" si="0"/>
        <v>DZ_Prod</v>
      </c>
      <c r="M3" t="str">
        <f>Table2[[#This Row],[Country]]</f>
        <v>DZ</v>
      </c>
    </row>
    <row r="4" spans="1:13" x14ac:dyDescent="0.35">
      <c r="A4" t="s">
        <v>20</v>
      </c>
      <c r="B4" t="s">
        <v>58</v>
      </c>
      <c r="C4" s="2"/>
      <c r="D4" s="2">
        <v>773.976</v>
      </c>
      <c r="E4" s="2">
        <f>Table2[[#This Row],[Mil m3 EU '[2020']]]/1000</f>
        <v>0.773976</v>
      </c>
      <c r="F4" s="3">
        <f>IF(Table2[[#This Row],[Mil m3 EU '[2020']]]&gt;0,Table2[[#This Row],[Mrd m3 EU '[2020']]],Table2[[#This Row],[Mrd m3 '[2020']]])*9.77</f>
        <v>7.5617455199999997</v>
      </c>
      <c r="G4" s="2"/>
      <c r="L4" t="str">
        <f t="shared" si="0"/>
        <v>AT_Prod</v>
      </c>
      <c r="M4" t="str">
        <f>Table2[[#This Row],[Country]]</f>
        <v>AT</v>
      </c>
    </row>
    <row r="5" spans="1:13" x14ac:dyDescent="0.35">
      <c r="A5" t="s">
        <v>53</v>
      </c>
      <c r="B5" t="s">
        <v>82</v>
      </c>
      <c r="C5" s="2"/>
      <c r="D5" s="2"/>
      <c r="E5" s="2">
        <f>Table2[[#This Row],[Mil m3 EU '[2020']]]/1000</f>
        <v>0</v>
      </c>
      <c r="F5" s="3">
        <f>IF(Table2[[#This Row],[Mil m3 EU '[2020']]]&gt;0,Table2[[#This Row],[Mrd m3 EU '[2020']]],Table2[[#This Row],[Mrd m3 '[2020']]])*9.77</f>
        <v>0</v>
      </c>
      <c r="G5" s="2"/>
      <c r="L5" t="str">
        <f t="shared" si="0"/>
        <v>BY_Prod</v>
      </c>
      <c r="M5" t="str">
        <f>Table2[[#This Row],[Country]]</f>
        <v>BY</v>
      </c>
    </row>
    <row r="6" spans="1:13" x14ac:dyDescent="0.35">
      <c r="A6" t="s">
        <v>17</v>
      </c>
      <c r="B6" t="s">
        <v>0</v>
      </c>
      <c r="C6" s="2"/>
      <c r="D6" s="2">
        <v>5.9</v>
      </c>
      <c r="E6" s="2">
        <f>Table2[[#This Row],[Mil m3 EU '[2020']]]/1000</f>
        <v>5.9000000000000007E-3</v>
      </c>
      <c r="F6" s="3">
        <f>IF(Table2[[#This Row],[Mil m3 EU '[2020']]]&gt;0,Table2[[#This Row],[Mrd m3 EU '[2020']]],Table2[[#This Row],[Mrd m3 '[2020']]])*9.77</f>
        <v>5.7643000000000007E-2</v>
      </c>
      <c r="G6" s="2"/>
      <c r="L6" t="str">
        <f t="shared" si="0"/>
        <v>BE_Prod</v>
      </c>
      <c r="M6" t="str">
        <f>Table2[[#This Row],[Country]]</f>
        <v>BE</v>
      </c>
    </row>
    <row r="7" spans="1:13" x14ac:dyDescent="0.35">
      <c r="A7" t="s">
        <v>45</v>
      </c>
      <c r="B7" t="s">
        <v>76</v>
      </c>
      <c r="C7" s="2"/>
      <c r="D7" s="2"/>
      <c r="E7" s="2">
        <f>Table2[[#This Row],[Mil m3 EU '[2020']]]/1000</f>
        <v>0</v>
      </c>
      <c r="F7" s="3">
        <f>IF(Table2[[#This Row],[Mil m3 EU '[2020']]]&gt;0,Table2[[#This Row],[Mrd m3 EU '[2020']]],Table2[[#This Row],[Mrd m3 '[2020']]])*9.77</f>
        <v>0</v>
      </c>
      <c r="G7" s="2"/>
      <c r="L7" t="str">
        <f t="shared" si="0"/>
        <v>BA_Prod</v>
      </c>
      <c r="M7" t="str">
        <f>Table2[[#This Row],[Country]]</f>
        <v>BA</v>
      </c>
    </row>
    <row r="8" spans="1:13" x14ac:dyDescent="0.35">
      <c r="A8" t="s">
        <v>32</v>
      </c>
      <c r="B8" t="s">
        <v>65</v>
      </c>
      <c r="C8" s="2"/>
      <c r="D8" s="2">
        <v>54.350999999999999</v>
      </c>
      <c r="E8" s="2">
        <f>Table2[[#This Row],[Mil m3 EU '[2020']]]/1000</f>
        <v>5.4350999999999997E-2</v>
      </c>
      <c r="F8" s="3">
        <f>IF(Table2[[#This Row],[Mil m3 EU '[2020']]]&gt;0,Table2[[#This Row],[Mrd m3 EU '[2020']]],Table2[[#This Row],[Mrd m3 '[2020']]])*9.77</f>
        <v>0.53100926999999998</v>
      </c>
      <c r="G8" s="2"/>
      <c r="L8" t="str">
        <f t="shared" si="0"/>
        <v>BG_Prod</v>
      </c>
      <c r="M8" t="str">
        <f>Table2[[#This Row],[Country]]</f>
        <v>BG</v>
      </c>
    </row>
    <row r="9" spans="1:13" x14ac:dyDescent="0.35">
      <c r="A9" t="s">
        <v>24</v>
      </c>
      <c r="B9" t="s">
        <v>5</v>
      </c>
      <c r="C9" s="2"/>
      <c r="D9" s="2">
        <v>888.38499999999999</v>
      </c>
      <c r="E9" s="2">
        <f>Table2[[#This Row],[Mil m3 EU '[2020']]]/1000</f>
        <v>0.88838499999999998</v>
      </c>
      <c r="F9" s="3">
        <f>IF(Table2[[#This Row],[Mil m3 EU '[2020']]]&gt;0,Table2[[#This Row],[Mrd m3 EU '[2020']]],Table2[[#This Row],[Mrd m3 '[2020']]])*9.77</f>
        <v>8.6795214499999993</v>
      </c>
      <c r="G9" s="2"/>
      <c r="L9" t="str">
        <f t="shared" si="0"/>
        <v>HR_Prod</v>
      </c>
      <c r="M9" t="str">
        <f>Table2[[#This Row],[Country]]</f>
        <v>HR</v>
      </c>
    </row>
    <row r="10" spans="1:13" x14ac:dyDescent="0.35">
      <c r="A10" t="s">
        <v>28</v>
      </c>
      <c r="B10" t="s">
        <v>62</v>
      </c>
      <c r="C10" s="2"/>
      <c r="D10" s="2">
        <v>196.07500000000002</v>
      </c>
      <c r="E10" s="2">
        <f>Table2[[#This Row],[Mil m3 EU '[2020']]]/1000</f>
        <v>0.19607500000000003</v>
      </c>
      <c r="F10" s="3">
        <f>IF(Table2[[#This Row],[Mil m3 EU '[2020']]]&gt;0,Table2[[#This Row],[Mrd m3 EU '[2020']]],Table2[[#This Row],[Mrd m3 '[2020']]])*9.77</f>
        <v>1.9156527500000002</v>
      </c>
      <c r="G10" s="2"/>
      <c r="L10" t="str">
        <f t="shared" si="0"/>
        <v>CZ_Prod</v>
      </c>
      <c r="M10" t="str">
        <f>Table2[[#This Row],[Country]]</f>
        <v>CZ</v>
      </c>
    </row>
    <row r="11" spans="1:13" x14ac:dyDescent="0.35">
      <c r="A11" t="s">
        <v>26</v>
      </c>
      <c r="B11" t="s">
        <v>61</v>
      </c>
      <c r="C11" s="2">
        <v>1.4</v>
      </c>
      <c r="D11" s="2">
        <v>1427.5409999999997</v>
      </c>
      <c r="E11" s="2">
        <f>Table2[[#This Row],[Mil m3 EU '[2020']]]/1000</f>
        <v>1.4275409999999997</v>
      </c>
      <c r="F11" s="3">
        <f>IF(Table2[[#This Row],[Mil m3 EU '[2020']]]&gt;0,Table2[[#This Row],[Mrd m3 EU '[2020']]],Table2[[#This Row],[Mrd m3 '[2020']]])*9.77</f>
        <v>13.947075569999997</v>
      </c>
      <c r="G11" s="2"/>
      <c r="L11" t="str">
        <f t="shared" si="0"/>
        <v>DK_Prod</v>
      </c>
      <c r="M11" t="str">
        <f>Table2[[#This Row],[Country]]</f>
        <v>DK</v>
      </c>
    </row>
    <row r="12" spans="1:13" x14ac:dyDescent="0.35">
      <c r="A12" t="s">
        <v>54</v>
      </c>
      <c r="B12" t="s">
        <v>67</v>
      </c>
      <c r="C12" s="2"/>
      <c r="D12" s="2">
        <v>0</v>
      </c>
      <c r="E12" s="2">
        <f>Table2[[#This Row],[Mil m3 EU '[2020']]]/1000</f>
        <v>0</v>
      </c>
      <c r="F12" s="3">
        <f>IF(Table2[[#This Row],[Mil m3 EU '[2020']]]&gt;0,Table2[[#This Row],[Mrd m3 EU '[2020']]],Table2[[#This Row],[Mrd m3 '[2020']]])*9.77</f>
        <v>0</v>
      </c>
      <c r="G12" s="2"/>
      <c r="L12" t="str">
        <f t="shared" si="0"/>
        <v>EE_Prod</v>
      </c>
      <c r="M12" t="str">
        <f>Table2[[#This Row],[Country]]</f>
        <v>EE</v>
      </c>
    </row>
    <row r="13" spans="1:13" x14ac:dyDescent="0.35">
      <c r="A13" t="s">
        <v>55</v>
      </c>
      <c r="B13" t="s">
        <v>87</v>
      </c>
      <c r="C13" s="2"/>
      <c r="D13" s="2"/>
      <c r="E13" s="2">
        <f>Table2[[#This Row],[Mil m3 EU '[2020']]]/1000</f>
        <v>0</v>
      </c>
      <c r="F13" s="3">
        <f>IF(Table2[[#This Row],[Mil m3 EU '[2020']]]&gt;0,Table2[[#This Row],[Mrd m3 EU '[2020']]],Table2[[#This Row],[Mrd m3 '[2020']]])*9.77</f>
        <v>0</v>
      </c>
      <c r="G13" s="2"/>
      <c r="L13" t="str">
        <f t="shared" si="0"/>
        <v>FI_Prod</v>
      </c>
      <c r="M13" t="str">
        <f>Table2[[#This Row],[Country]]</f>
        <v>FI</v>
      </c>
    </row>
    <row r="14" spans="1:13" x14ac:dyDescent="0.35">
      <c r="A14" t="s">
        <v>25</v>
      </c>
      <c r="B14" t="s">
        <v>2</v>
      </c>
      <c r="C14" s="2"/>
      <c r="D14" s="2">
        <v>17.349000000000004</v>
      </c>
      <c r="E14" s="2">
        <f>Table2[[#This Row],[Mil m3 EU '[2020']]]/1000</f>
        <v>1.7349000000000003E-2</v>
      </c>
      <c r="F14" s="3">
        <f>IF(Table2[[#This Row],[Mil m3 EU '[2020']]]&gt;0,Table2[[#This Row],[Mrd m3 EU '[2020']]],Table2[[#This Row],[Mrd m3 '[2020']]])*9.77</f>
        <v>0.16949973000000002</v>
      </c>
      <c r="G14" s="2"/>
      <c r="L14" t="str">
        <f t="shared" si="0"/>
        <v>FR_Prod</v>
      </c>
      <c r="M14" t="str">
        <f>Table2[[#This Row],[Country]]</f>
        <v>FR</v>
      </c>
    </row>
    <row r="15" spans="1:13" x14ac:dyDescent="0.35">
      <c r="A15" t="s">
        <v>19</v>
      </c>
      <c r="B15" t="s">
        <v>57</v>
      </c>
      <c r="C15" s="2">
        <v>4.5</v>
      </c>
      <c r="D15" s="2">
        <v>4874</v>
      </c>
      <c r="E15" s="2">
        <f>Table2[[#This Row],[Mil m3 EU '[2020']]]/1000</f>
        <v>4.8739999999999997</v>
      </c>
      <c r="F15" s="3">
        <f>IF(Table2[[#This Row],[Mil m3 EU '[2020']]]&gt;0,Table2[[#This Row],[Mrd m3 EU '[2020']]],Table2[[#This Row],[Mrd m3 '[2020']]])*9.77</f>
        <v>47.618979999999993</v>
      </c>
      <c r="G15" s="2"/>
      <c r="L15" t="str">
        <f t="shared" si="0"/>
        <v>DE_Prod</v>
      </c>
      <c r="M15" t="str">
        <f>Table2[[#This Row],[Country]]</f>
        <v>DE</v>
      </c>
    </row>
    <row r="16" spans="1:13" x14ac:dyDescent="0.35">
      <c r="A16" t="s">
        <v>33</v>
      </c>
      <c r="B16" t="s">
        <v>3</v>
      </c>
      <c r="C16" s="2"/>
      <c r="D16" s="2">
        <v>6.4800000000000022</v>
      </c>
      <c r="E16" s="2">
        <f>Table2[[#This Row],[Mil m3 EU '[2020']]]/1000</f>
        <v>6.4800000000000023E-3</v>
      </c>
      <c r="F16" s="3">
        <f>IF(Table2[[#This Row],[Mil m3 EU '[2020']]]&gt;0,Table2[[#This Row],[Mrd m3 EU '[2020']]],Table2[[#This Row],[Mrd m3 '[2020']]])*9.77</f>
        <v>6.3309600000000021E-2</v>
      </c>
      <c r="G16" s="2"/>
      <c r="L16" t="str">
        <f t="shared" si="0"/>
        <v>GR_Prod</v>
      </c>
      <c r="M16" t="str">
        <f>Table2[[#This Row],[Country]]</f>
        <v>GR</v>
      </c>
    </row>
    <row r="17" spans="1:13" x14ac:dyDescent="0.35">
      <c r="A17" t="s">
        <v>30</v>
      </c>
      <c r="B17" t="s">
        <v>64</v>
      </c>
      <c r="C17" s="2"/>
      <c r="D17" s="2">
        <v>1685</v>
      </c>
      <c r="E17" s="2">
        <f>Table2[[#This Row],[Mil m3 EU '[2020']]]/1000</f>
        <v>1.6850000000000001</v>
      </c>
      <c r="F17" s="3">
        <f>IF(Table2[[#This Row],[Mil m3 EU '[2020']]]&gt;0,Table2[[#This Row],[Mrd m3 EU '[2020']]],Table2[[#This Row],[Mrd m3 '[2020']]])*9.77</f>
        <v>16.46245</v>
      </c>
      <c r="G17" s="2"/>
      <c r="L17" t="str">
        <f t="shared" si="0"/>
        <v>HU_Prod</v>
      </c>
      <c r="M17" t="str">
        <f>Table2[[#This Row],[Country]]</f>
        <v>HU</v>
      </c>
    </row>
    <row r="18" spans="1:13" x14ac:dyDescent="0.35">
      <c r="A18" t="s">
        <v>44</v>
      </c>
      <c r="B18" t="s">
        <v>75</v>
      </c>
      <c r="C18" s="2"/>
      <c r="D18" s="2">
        <v>2029.6509999999998</v>
      </c>
      <c r="E18" s="2">
        <f>Table2[[#This Row],[Mil m3 EU '[2020']]]/1000</f>
        <v>2.0296509999999999</v>
      </c>
      <c r="F18" s="3">
        <f>IF(Table2[[#This Row],[Mil m3 EU '[2020']]]&gt;0,Table2[[#This Row],[Mrd m3 EU '[2020']]],Table2[[#This Row],[Mrd m3 '[2020']]])*9.77</f>
        <v>19.829690269999997</v>
      </c>
      <c r="G18" s="2"/>
      <c r="L18" t="str">
        <f t="shared" si="0"/>
        <v>IE_Prod</v>
      </c>
      <c r="M18" t="str">
        <f>Table2[[#This Row],[Country]]</f>
        <v>IE</v>
      </c>
    </row>
    <row r="19" spans="1:13" x14ac:dyDescent="0.35">
      <c r="A19" t="s">
        <v>21</v>
      </c>
      <c r="B19" t="s">
        <v>4</v>
      </c>
      <c r="C19" s="2">
        <v>3.9</v>
      </c>
      <c r="D19" s="2">
        <v>3932</v>
      </c>
      <c r="E19" s="2">
        <f>Table2[[#This Row],[Mil m3 EU '[2020']]]/1000</f>
        <v>3.9319999999999999</v>
      </c>
      <c r="F19" s="3">
        <f>IF(Table2[[#This Row],[Mil m3 EU '[2020']]]&gt;0,Table2[[#This Row],[Mrd m3 EU '[2020']]],Table2[[#This Row],[Mrd m3 '[2020']]])*9.77</f>
        <v>38.415639999999996</v>
      </c>
      <c r="G19" s="2"/>
      <c r="L19" t="str">
        <f t="shared" si="0"/>
        <v>IT_Prod</v>
      </c>
      <c r="M19" t="str">
        <f>Table2[[#This Row],[Country]]</f>
        <v>IT</v>
      </c>
    </row>
    <row r="20" spans="1:13" x14ac:dyDescent="0.35">
      <c r="A20" t="s">
        <v>36</v>
      </c>
      <c r="B20" t="s">
        <v>66</v>
      </c>
      <c r="C20" s="2"/>
      <c r="D20" s="2"/>
      <c r="E20" s="2">
        <f>Table2[[#This Row],[Mil m3 EU '[2020']]]/1000</f>
        <v>0</v>
      </c>
      <c r="F20" s="3">
        <f>IF(Table2[[#This Row],[Mil m3 EU '[2020']]]&gt;0,Table2[[#This Row],[Mrd m3 EU '[2020']]],Table2[[#This Row],[Mrd m3 '[2020']]])*9.77</f>
        <v>0</v>
      </c>
      <c r="G20" s="2"/>
      <c r="L20" t="str">
        <f t="shared" si="0"/>
        <v>LV_Prod</v>
      </c>
      <c r="M20" t="str">
        <f>Table2[[#This Row],[Country]]</f>
        <v>LV</v>
      </c>
    </row>
    <row r="21" spans="1:13" x14ac:dyDescent="0.35">
      <c r="A21" t="s">
        <v>52</v>
      </c>
      <c r="B21" t="s">
        <v>81</v>
      </c>
      <c r="C21" s="2">
        <v>13.3</v>
      </c>
      <c r="D21" s="2"/>
      <c r="E21" s="2">
        <f>Table2[[#This Row],[Mil m3 EU '[2020']]]/1000</f>
        <v>0</v>
      </c>
      <c r="F21" s="3">
        <f>IF(Table2[[#This Row],[Mil m3 EU '[2020']]]&gt;0,Table2[[#This Row],[Mrd m3 EU '[2020']]],Table2[[#This Row],[Mrd m3 '[2020']]])*9.77</f>
        <v>129.941</v>
      </c>
      <c r="G21" s="2"/>
      <c r="L21" t="str">
        <f t="shared" si="0"/>
        <v>LY_Prod</v>
      </c>
      <c r="M21" t="str">
        <f>Table2[[#This Row],[Country]]</f>
        <v>LY</v>
      </c>
    </row>
    <row r="22" spans="1:13" x14ac:dyDescent="0.35">
      <c r="A22" t="s">
        <v>35</v>
      </c>
      <c r="B22" t="s">
        <v>6</v>
      </c>
      <c r="C22" s="2"/>
      <c r="D22" s="2"/>
      <c r="E22" s="2">
        <f>Table2[[#This Row],[Mil m3 EU '[2020']]]/1000</f>
        <v>0</v>
      </c>
      <c r="F22" s="3">
        <f>IF(Table2[[#This Row],[Mil m3 EU '[2020']]]&gt;0,Table2[[#This Row],[Mrd m3 EU '[2020']]],Table2[[#This Row],[Mrd m3 '[2020']]])*9.77</f>
        <v>0</v>
      </c>
      <c r="G22" s="2"/>
      <c r="L22" t="str">
        <f t="shared" si="0"/>
        <v>LT_Prod</v>
      </c>
      <c r="M22" t="str">
        <f>Table2[[#This Row],[Country]]</f>
        <v>LT</v>
      </c>
    </row>
    <row r="23" spans="1:13" x14ac:dyDescent="0.35">
      <c r="A23" t="s">
        <v>43</v>
      </c>
      <c r="B23" t="s">
        <v>71</v>
      </c>
      <c r="C23" s="2"/>
      <c r="D23" s="2"/>
      <c r="E23" s="2">
        <f>Table2[[#This Row],[Mil m3 EU '[2020']]]/1000</f>
        <v>0</v>
      </c>
      <c r="F23" s="3">
        <f>IF(Table2[[#This Row],[Mil m3 EU '[2020']]]&gt;0,Table2[[#This Row],[Mrd m3 EU '[2020']]],Table2[[#This Row],[Mrd m3 '[2020']]])*9.77</f>
        <v>0</v>
      </c>
      <c r="G23" s="2"/>
      <c r="L23" t="str">
        <f t="shared" si="0"/>
        <v>LU_Prod</v>
      </c>
      <c r="M23" t="str">
        <f>Table2[[#This Row],[Country]]</f>
        <v>LU</v>
      </c>
    </row>
    <row r="24" spans="1:13" x14ac:dyDescent="0.35">
      <c r="A24" t="s">
        <v>40</v>
      </c>
      <c r="B24" t="s">
        <v>69</v>
      </c>
      <c r="C24" s="2"/>
      <c r="D24" s="2"/>
      <c r="E24" s="2">
        <f>Table2[[#This Row],[Mil m3 EU '[2020']]]/1000</f>
        <v>0</v>
      </c>
      <c r="F24" s="3">
        <f>IF(Table2[[#This Row],[Mil m3 EU '[2020']]]&gt;0,Table2[[#This Row],[Mrd m3 EU '[2020']]],Table2[[#This Row],[Mrd m3 '[2020']]])*9.77</f>
        <v>0</v>
      </c>
      <c r="G24" s="2"/>
      <c r="L24" t="str">
        <f t="shared" si="0"/>
        <v>MD_Prod</v>
      </c>
      <c r="M24" t="str">
        <f>Table2[[#This Row],[Country]]</f>
        <v>MD</v>
      </c>
    </row>
    <row r="25" spans="1:13" x14ac:dyDescent="0.35">
      <c r="A25" t="s">
        <v>18</v>
      </c>
      <c r="B25" t="s">
        <v>7</v>
      </c>
      <c r="C25" s="2">
        <v>20</v>
      </c>
      <c r="D25" s="2">
        <v>23966.123</v>
      </c>
      <c r="E25" s="2">
        <f>Table2[[#This Row],[Mil m3 EU '[2020']]]/1000</f>
        <v>23.966123</v>
      </c>
      <c r="F25" s="3">
        <f>IF(Table2[[#This Row],[Mil m3 EU '[2020']]]&gt;0,Table2[[#This Row],[Mrd m3 EU '[2020']]],Table2[[#This Row],[Mrd m3 '[2020']]])*9.77</f>
        <v>234.14902171</v>
      </c>
      <c r="G25" s="2"/>
      <c r="L25" t="str">
        <f t="shared" si="0"/>
        <v>NL_Prod</v>
      </c>
      <c r="M25" t="str">
        <f>Table2[[#This Row],[Country]]</f>
        <v>NL</v>
      </c>
    </row>
    <row r="26" spans="1:13" x14ac:dyDescent="0.35">
      <c r="A26" t="s">
        <v>46</v>
      </c>
      <c r="B26" t="s">
        <v>77</v>
      </c>
      <c r="C26" s="2"/>
      <c r="D26" s="2"/>
      <c r="E26" s="2">
        <f>Table2[[#This Row],[Mil m3 EU '[2020']]]/1000</f>
        <v>0</v>
      </c>
      <c r="F26" s="3">
        <f>IF(Table2[[#This Row],[Mil m3 EU '[2020']]]&gt;0,Table2[[#This Row],[Mrd m3 EU '[2020']]],Table2[[#This Row],[Mrd m3 '[2020']]])*9.77</f>
        <v>0</v>
      </c>
      <c r="G26" s="2"/>
      <c r="L26" t="str">
        <f t="shared" si="0"/>
        <v>MK_Prod</v>
      </c>
      <c r="M26" t="str">
        <f>Table2[[#This Row],[Country]]</f>
        <v>MK</v>
      </c>
    </row>
    <row r="27" spans="1:13" x14ac:dyDescent="0.35">
      <c r="A27" t="s">
        <v>49</v>
      </c>
      <c r="B27" t="s">
        <v>72</v>
      </c>
      <c r="C27" s="2">
        <v>111.5</v>
      </c>
      <c r="D27" s="2">
        <v>116206.11699999998</v>
      </c>
      <c r="E27" s="2">
        <f>Table2[[#This Row],[Mil m3 EU '[2020']]]/1000</f>
        <v>116.20611699999998</v>
      </c>
      <c r="F27" s="3">
        <f>IF(Table2[[#This Row],[Mil m3 EU '[2020']]]&gt;0,Table2[[#This Row],[Mrd m3 EU '[2020']]],Table2[[#This Row],[Mrd m3 '[2020']]])*9.77</f>
        <v>1135.3337630899998</v>
      </c>
      <c r="G27" s="2"/>
      <c r="L27" t="str">
        <f t="shared" si="0"/>
        <v>NO_Prod</v>
      </c>
      <c r="M27" t="str">
        <f>Table2[[#This Row],[Country]]</f>
        <v>NO</v>
      </c>
    </row>
    <row r="28" spans="1:13" x14ac:dyDescent="0.35">
      <c r="A28" t="s">
        <v>27</v>
      </c>
      <c r="B28" t="s">
        <v>8</v>
      </c>
      <c r="C28" s="2">
        <v>3.9</v>
      </c>
      <c r="D28" s="2">
        <v>5592.88</v>
      </c>
      <c r="E28" s="2">
        <f>Table2[[#This Row],[Mil m3 EU '[2020']]]/1000</f>
        <v>5.5928800000000001</v>
      </c>
      <c r="F28" s="3">
        <f>IF(Table2[[#This Row],[Mil m3 EU '[2020']]]&gt;0,Table2[[#This Row],[Mrd m3 EU '[2020']]],Table2[[#This Row],[Mrd m3 '[2020']]])*9.77</f>
        <v>54.642437600000001</v>
      </c>
      <c r="G28" s="2"/>
      <c r="L28" t="str">
        <f t="shared" si="0"/>
        <v>PL_Prod</v>
      </c>
      <c r="M28" t="str">
        <f>Table2[[#This Row],[Country]]</f>
        <v>PL</v>
      </c>
    </row>
    <row r="29" spans="1:13" x14ac:dyDescent="0.35">
      <c r="A29" t="s">
        <v>38</v>
      </c>
      <c r="B29" t="s">
        <v>1</v>
      </c>
      <c r="C29" s="2"/>
      <c r="D29" s="2"/>
      <c r="E29" s="2">
        <f>Table2[[#This Row],[Mil m3 EU '[2020']]]/1000</f>
        <v>0</v>
      </c>
      <c r="F29" s="3">
        <f>IF(Table2[[#This Row],[Mil m3 EU '[2020']]]&gt;0,Table2[[#This Row],[Mrd m3 EU '[2020']]],Table2[[#This Row],[Mrd m3 '[2020']]])*9.77</f>
        <v>0</v>
      </c>
      <c r="G29" s="2"/>
      <c r="L29" t="str">
        <f t="shared" si="0"/>
        <v>PT_Prod</v>
      </c>
      <c r="M29" t="str">
        <f>Table2[[#This Row],[Country]]</f>
        <v>PT</v>
      </c>
    </row>
    <row r="30" spans="1:13" x14ac:dyDescent="0.35">
      <c r="A30" t="s">
        <v>34</v>
      </c>
      <c r="B30" t="s">
        <v>88</v>
      </c>
      <c r="C30" s="2">
        <v>8.6999999999999993</v>
      </c>
      <c r="D30" s="2">
        <v>9017</v>
      </c>
      <c r="E30" s="2">
        <f>Table2[[#This Row],[Mil m3 EU '[2020']]]/1000</f>
        <v>9.0169999999999995</v>
      </c>
      <c r="F30" s="3">
        <f>IF(Table2[[#This Row],[Mil m3 EU '[2020']]]&gt;0,Table2[[#This Row],[Mrd m3 EU '[2020']]],Table2[[#This Row],[Mrd m3 '[2020']]])*9.77</f>
        <v>88.09608999999999</v>
      </c>
      <c r="G30" s="2"/>
      <c r="L30" t="str">
        <f t="shared" si="0"/>
        <v>RO_Prod</v>
      </c>
      <c r="M30" t="str">
        <f>Table2[[#This Row],[Country]]</f>
        <v>RO</v>
      </c>
    </row>
    <row r="31" spans="1:13" x14ac:dyDescent="0.35">
      <c r="A31" t="s">
        <v>41</v>
      </c>
      <c r="B31" t="s">
        <v>70</v>
      </c>
      <c r="C31" s="2">
        <v>638.5</v>
      </c>
      <c r="D31" s="2"/>
      <c r="E31" s="2">
        <f>Table2[[#This Row],[Mil m3 EU '[2020']]]/1000</f>
        <v>0</v>
      </c>
      <c r="F31" s="3">
        <f>IF(Table2[[#This Row],[Mil m3 EU '[2020']]]&gt;0,Table2[[#This Row],[Mrd m3 EU '[2020']]],Table2[[#This Row],[Mrd m3 '[2020']]])*9.77</f>
        <v>6238.1449999999995</v>
      </c>
      <c r="G31" s="2"/>
      <c r="L31" t="str">
        <f t="shared" si="0"/>
        <v>RU_Prod</v>
      </c>
      <c r="M31" t="str">
        <f>Table2[[#This Row],[Country]]</f>
        <v>RU</v>
      </c>
    </row>
    <row r="32" spans="1:13" x14ac:dyDescent="0.35">
      <c r="A32" t="s">
        <v>48</v>
      </c>
      <c r="B32" t="s">
        <v>78</v>
      </c>
      <c r="C32" s="2"/>
      <c r="D32" s="2"/>
      <c r="E32" s="2">
        <f>Table2[[#This Row],[Mil m3 EU '[2020']]]/1000</f>
        <v>0</v>
      </c>
      <c r="F32" s="3">
        <f>IF(Table2[[#This Row],[Mil m3 EU '[2020']]]&gt;0,Table2[[#This Row],[Mrd m3 EU '[2020']]],Table2[[#This Row],[Mrd m3 '[2020']]])*9.77</f>
        <v>0</v>
      </c>
      <c r="G32" s="2"/>
      <c r="L32" t="str">
        <f t="shared" si="0"/>
        <v>SM_Prod</v>
      </c>
      <c r="M32" t="str">
        <f>Table2[[#This Row],[Country]]</f>
        <v>SM</v>
      </c>
    </row>
    <row r="33" spans="1:13" x14ac:dyDescent="0.35">
      <c r="A33" t="s">
        <v>31</v>
      </c>
      <c r="B33" t="s">
        <v>73</v>
      </c>
      <c r="C33" s="2"/>
      <c r="D33" s="2">
        <v>409</v>
      </c>
      <c r="E33" s="2">
        <f>Table2[[#This Row],[Mil m3 EU '[2020']]]/1000</f>
        <v>0.40899999999999997</v>
      </c>
      <c r="F33" s="3">
        <f>IF(Table2[[#This Row],[Mil m3 EU '[2020']]]&gt;0,Table2[[#This Row],[Mrd m3 EU '[2020']]],Table2[[#This Row],[Mrd m3 '[2020']]])*9.77</f>
        <v>3.9959299999999995</v>
      </c>
      <c r="G33" s="2"/>
      <c r="L33" t="str">
        <f t="shared" si="0"/>
        <v>RS_Prod</v>
      </c>
      <c r="M33" t="str">
        <f>Table2[[#This Row],[Country]]</f>
        <v>RS</v>
      </c>
    </row>
    <row r="34" spans="1:13" x14ac:dyDescent="0.35">
      <c r="A34" t="s">
        <v>29</v>
      </c>
      <c r="B34" t="s">
        <v>63</v>
      </c>
      <c r="C34" s="2"/>
      <c r="D34" s="2">
        <v>66.700999999999993</v>
      </c>
      <c r="E34" s="2">
        <f>Table2[[#This Row],[Mil m3 EU '[2020']]]/1000</f>
        <v>6.6700999999999996E-2</v>
      </c>
      <c r="F34" s="3">
        <f>IF(Table2[[#This Row],[Mil m3 EU '[2020']]]&gt;0,Table2[[#This Row],[Mrd m3 EU '[2020']]],Table2[[#This Row],[Mrd m3 '[2020']]])*9.77</f>
        <v>0.6516687699999999</v>
      </c>
      <c r="G34" s="2"/>
      <c r="L34" t="str">
        <f t="shared" si="0"/>
        <v>SK_Prod</v>
      </c>
      <c r="M34" t="str">
        <f>Table2[[#This Row],[Country]]</f>
        <v>SK</v>
      </c>
    </row>
    <row r="35" spans="1:13" x14ac:dyDescent="0.35">
      <c r="A35" t="s">
        <v>23</v>
      </c>
      <c r="B35" t="s">
        <v>60</v>
      </c>
      <c r="C35" s="2"/>
      <c r="D35" s="2">
        <v>5.3340000000000005</v>
      </c>
      <c r="E35" s="2">
        <f>Table2[[#This Row],[Mil m3 EU '[2020']]]/1000</f>
        <v>5.3340000000000002E-3</v>
      </c>
      <c r="F35" s="3">
        <f>IF(Table2[[#This Row],[Mil m3 EU '[2020']]]&gt;0,Table2[[#This Row],[Mrd m3 EU '[2020']]],Table2[[#This Row],[Mrd m3 '[2020']]])*9.77</f>
        <v>5.2113180000000002E-2</v>
      </c>
      <c r="G35" s="2"/>
      <c r="L35" t="str">
        <f t="shared" si="0"/>
        <v>SI_Prod</v>
      </c>
      <c r="M35" t="str">
        <f>Table2[[#This Row],[Country]]</f>
        <v>SI</v>
      </c>
    </row>
    <row r="36" spans="1:13" x14ac:dyDescent="0.35">
      <c r="A36" t="s">
        <v>22</v>
      </c>
      <c r="B36" t="s">
        <v>59</v>
      </c>
      <c r="C36" s="2"/>
      <c r="D36" s="2"/>
      <c r="E36" s="2">
        <f>Table2[[#This Row],[Mil m3 EU '[2020']]]/1000</f>
        <v>0</v>
      </c>
      <c r="F36" s="3">
        <f>IF(Table2[[#This Row],[Mil m3 EU '[2020']]]&gt;0,Table2[[#This Row],[Mrd m3 EU '[2020']]],Table2[[#This Row],[Mrd m3 '[2020']]])*9.77</f>
        <v>0</v>
      </c>
      <c r="G36" s="2"/>
      <c r="L36" t="str">
        <f t="shared" si="0"/>
        <v>CH_Prod</v>
      </c>
      <c r="M36" t="str">
        <f>Table2[[#This Row],[Country]]</f>
        <v>CH</v>
      </c>
    </row>
    <row r="37" spans="1:13" x14ac:dyDescent="0.35">
      <c r="A37" t="s">
        <v>51</v>
      </c>
      <c r="B37" t="s">
        <v>80</v>
      </c>
      <c r="C37" s="2">
        <v>1.9</v>
      </c>
      <c r="D37" s="2"/>
      <c r="E37" s="2">
        <f>Table2[[#This Row],[Mil m3 EU '[2020']]]/1000</f>
        <v>0</v>
      </c>
      <c r="F37" s="3">
        <f>IF(Table2[[#This Row],[Mil m3 EU '[2020']]]&gt;0,Table2[[#This Row],[Mrd m3 EU '[2020']]],Table2[[#This Row],[Mrd m3 '[2020']]])*9.77</f>
        <v>18.562999999999999</v>
      </c>
      <c r="G37" s="2"/>
      <c r="L37" t="str">
        <f t="shared" si="0"/>
        <v>TN_Prod</v>
      </c>
      <c r="M37" t="str">
        <f>Table2[[#This Row],[Country]]</f>
        <v>TN</v>
      </c>
    </row>
    <row r="38" spans="1:13" x14ac:dyDescent="0.35">
      <c r="A38" t="s">
        <v>47</v>
      </c>
      <c r="B38" t="s">
        <v>10</v>
      </c>
      <c r="C38" s="2"/>
      <c r="D38" s="2">
        <v>437.50999999999993</v>
      </c>
      <c r="E38" s="2">
        <f>Table2[[#This Row],[Mil m3 EU '[2020']]]/1000</f>
        <v>0.43750999999999995</v>
      </c>
      <c r="F38" s="3">
        <f>IF(Table2[[#This Row],[Mil m3 EU '[2020']]]&gt;0,Table2[[#This Row],[Mrd m3 EU '[2020']]],Table2[[#This Row],[Mrd m3 '[2020']]])*9.77</f>
        <v>4.2744726999999996</v>
      </c>
      <c r="G38" s="2"/>
      <c r="L38" t="str">
        <f t="shared" si="0"/>
        <v>TR_Prod</v>
      </c>
      <c r="M38" t="str">
        <f>Table2[[#This Row],[Country]]</f>
        <v>TR</v>
      </c>
    </row>
    <row r="39" spans="1:13" x14ac:dyDescent="0.35">
      <c r="A39" t="s">
        <v>11</v>
      </c>
      <c r="B39" t="s">
        <v>11</v>
      </c>
      <c r="C39" s="2">
        <v>39.5</v>
      </c>
      <c r="D39" s="2">
        <v>32836.551999999996</v>
      </c>
      <c r="E39" s="2">
        <f>Table2[[#This Row],[Mil m3 EU '[2020']]]/1000</f>
        <v>32.836551999999998</v>
      </c>
      <c r="F39" s="3">
        <f>IF(Table2[[#This Row],[Mil m3 EU '[2020']]]&gt;0,Table2[[#This Row],[Mrd m3 EU '[2020']]],Table2[[#This Row],[Mrd m3 '[2020']]])*9.77</f>
        <v>320.81311303999996</v>
      </c>
      <c r="G39" s="2"/>
      <c r="L39" t="str">
        <f t="shared" si="0"/>
        <v>UK_Prod</v>
      </c>
      <c r="M39" t="str">
        <f>Table2[[#This Row],[Country]]</f>
        <v>UK</v>
      </c>
    </row>
    <row r="40" spans="1:13" x14ac:dyDescent="0.35">
      <c r="A40" t="s">
        <v>39</v>
      </c>
      <c r="B40" t="s">
        <v>68</v>
      </c>
      <c r="C40" s="2">
        <v>19</v>
      </c>
      <c r="D40" s="2">
        <v>19516</v>
      </c>
      <c r="E40" s="2">
        <f>Table2[[#This Row],[Mil m3 EU '[2020']]]/1000</f>
        <v>19.515999999999998</v>
      </c>
      <c r="F40" s="3">
        <f>IF(Table2[[#This Row],[Mil m3 EU '[2020']]]&gt;0,Table2[[#This Row],[Mrd m3 EU '[2020']]],Table2[[#This Row],[Mrd m3 '[2020']]])*9.77</f>
        <v>190.67131999999998</v>
      </c>
      <c r="G40" s="2"/>
      <c r="L40" t="str">
        <f t="shared" si="0"/>
        <v>UA_Prod</v>
      </c>
      <c r="M40" t="str">
        <f>Table2[[#This Row],[Country]]</f>
        <v>UA</v>
      </c>
    </row>
    <row r="41" spans="1:13" x14ac:dyDescent="0.35">
      <c r="A41" t="s">
        <v>89</v>
      </c>
      <c r="B41" t="s">
        <v>90</v>
      </c>
      <c r="C41" s="2">
        <v>6.3</v>
      </c>
      <c r="D41" s="2"/>
      <c r="E41" s="2">
        <f>Table2[[#This Row],[Mil m3 EU '[2020']]]/1000</f>
        <v>0</v>
      </c>
      <c r="F41" s="3">
        <f>IF(Table2[[#This Row],[Mil m3 EU '[2020']]]&gt;0,Table2[[#This Row],[Mrd m3 EU '[2020']]],Table2[[#This Row],[Mrd m3 '[2020']]])*9.77</f>
        <v>61.550999999999995</v>
      </c>
      <c r="G41" s="2"/>
      <c r="L41" t="str">
        <f t="shared" ref="L41:L42" si="1">_xlfn.CONCAT(A41,$I$2)</f>
        <v>OE_Prod</v>
      </c>
      <c r="M41" t="str">
        <f>Table2[[#This Row],[Country]]</f>
        <v>OE</v>
      </c>
    </row>
    <row r="42" spans="1:13" x14ac:dyDescent="0.35">
      <c r="A42" t="s">
        <v>37</v>
      </c>
      <c r="B42" t="s">
        <v>9</v>
      </c>
      <c r="C42" s="2"/>
      <c r="D42" s="2">
        <v>46</v>
      </c>
      <c r="E42" s="2">
        <f>Table2[[#This Row],[Mil m3 EU '[2020']]]/1000</f>
        <v>4.5999999999999999E-2</v>
      </c>
      <c r="F42" s="3">
        <f>IF(Table2[[#This Row],[Mil m3 EU '[2020']]]&gt;0,Table2[[#This Row],[Mrd m3 EU '[2020']]],Table2[[#This Row],[Mrd m3 '[2020']]])*9.77</f>
        <v>0.44941999999999999</v>
      </c>
      <c r="L42" t="str">
        <f t="shared" si="1"/>
        <v>ES_Prod</v>
      </c>
      <c r="M42" t="str">
        <f>Table2[[#This Row],[Country]]</f>
        <v>ES</v>
      </c>
    </row>
    <row r="44" spans="1:13" x14ac:dyDescent="0.35">
      <c r="C44" s="2">
        <f>SUM(Table2[Mrd m3 '[2020']])</f>
        <v>953.9</v>
      </c>
      <c r="D44" s="2">
        <f>SUM(Table2[Mil m3 EU '[2020']])/1000+C31+C37+C21+C3</f>
        <v>959.24681999999996</v>
      </c>
      <c r="E44">
        <f>SUMIF(Table2[Mil m3 EU '[2020']],"&gt;0",Table2[Mrd m3 EU '[2020']])</f>
        <v>224.04681999999994</v>
      </c>
    </row>
    <row r="45" spans="1:13" x14ac:dyDescent="0.35">
      <c r="E45" s="2"/>
    </row>
    <row r="47" spans="1:13" x14ac:dyDescent="0.35">
      <c r="A47" t="s">
        <v>85</v>
      </c>
    </row>
    <row r="48" spans="1:13" x14ac:dyDescent="0.35">
      <c r="A48" t="s">
        <v>80</v>
      </c>
      <c r="B48" t="s">
        <v>91</v>
      </c>
    </row>
    <row r="49" spans="1:2" x14ac:dyDescent="0.35">
      <c r="A49" t="s">
        <v>126</v>
      </c>
      <c r="B49" t="s">
        <v>124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55996C-4401-4161-B17D-CF2A8462856A}">
  <dimension ref="A1:F53"/>
  <sheetViews>
    <sheetView workbookViewId="0">
      <selection activeCell="C35" sqref="C35"/>
    </sheetView>
  </sheetViews>
  <sheetFormatPr defaultRowHeight="14.5" x14ac:dyDescent="0.35"/>
  <cols>
    <col min="1" max="1" width="9.54296875" customWidth="1"/>
    <col min="2" max="2" width="12.54296875" customWidth="1"/>
    <col min="3" max="3" width="15" customWidth="1"/>
    <col min="4" max="4" width="12" customWidth="1"/>
    <col min="5" max="5" width="22.26953125" customWidth="1"/>
  </cols>
  <sheetData>
    <row r="1" spans="1:6" x14ac:dyDescent="0.35">
      <c r="A1" t="s">
        <v>16</v>
      </c>
      <c r="B1" t="s">
        <v>56</v>
      </c>
      <c r="C1" t="s">
        <v>86</v>
      </c>
      <c r="D1" t="s">
        <v>108</v>
      </c>
      <c r="E1" t="s">
        <v>111</v>
      </c>
      <c r="F1" t="s">
        <v>122</v>
      </c>
    </row>
    <row r="2" spans="1:6" x14ac:dyDescent="0.35">
      <c r="A2" t="s">
        <v>42</v>
      </c>
      <c r="B2" t="s">
        <v>74</v>
      </c>
      <c r="C2" s="2"/>
      <c r="D2">
        <f>Table1[[#This Row],[Mrd m3 '[2020']]]*9.77*-1</f>
        <v>0</v>
      </c>
      <c r="E2">
        <v>2846</v>
      </c>
      <c r="F2">
        <f>IF(Table1[[#This Row],[TWh '[2020']]]=0,$D$27*E2/$E$27,0)</f>
        <v>-14.255855473858333</v>
      </c>
    </row>
    <row r="3" spans="1:6" x14ac:dyDescent="0.35">
      <c r="A3" t="s">
        <v>20</v>
      </c>
      <c r="B3" t="s">
        <v>58</v>
      </c>
      <c r="C3" s="2">
        <v>8.5</v>
      </c>
      <c r="D3">
        <f>Table1[[#This Row],[Mrd m3 '[2020']]]*9.77*-1</f>
        <v>-83.045000000000002</v>
      </c>
      <c r="E3">
        <v>8901.1</v>
      </c>
      <c r="F3">
        <f>IF(Table1[[#This Row],[TWh '[2020']]]=0,$D$27*E3/$E$27,0)</f>
        <v>0</v>
      </c>
    </row>
    <row r="4" spans="1:6" x14ac:dyDescent="0.35">
      <c r="A4" t="s">
        <v>17</v>
      </c>
      <c r="B4" t="s">
        <v>0</v>
      </c>
      <c r="C4" s="2">
        <v>17</v>
      </c>
      <c r="D4">
        <f>Table1[[#This Row],[Mrd m3 '[2020']]]*9.77*-1</f>
        <v>-166.09</v>
      </c>
      <c r="E4">
        <v>11549.9</v>
      </c>
      <c r="F4">
        <f>IF(Table1[[#This Row],[TWh '[2020']]]=0,$D$27*E4/$E$27,0)</f>
        <v>0</v>
      </c>
    </row>
    <row r="5" spans="1:6" x14ac:dyDescent="0.35">
      <c r="A5" t="s">
        <v>45</v>
      </c>
      <c r="B5" t="s">
        <v>76</v>
      </c>
      <c r="C5" s="2"/>
      <c r="D5">
        <f>Table1[[#This Row],[Mrd m3 '[2020']]]*9.77*-1</f>
        <v>0</v>
      </c>
      <c r="E5">
        <v>3492</v>
      </c>
      <c r="F5">
        <f>IF(Table1[[#This Row],[TWh '[2020']]]=0,$D$27*E5/$E$27,0)</f>
        <v>-17.491724284860609</v>
      </c>
    </row>
    <row r="6" spans="1:6" x14ac:dyDescent="0.35">
      <c r="A6" t="s">
        <v>32</v>
      </c>
      <c r="B6" t="s">
        <v>65</v>
      </c>
      <c r="C6" s="2"/>
      <c r="D6">
        <f>Table1[[#This Row],[Mrd m3 '[2020']]]*9.77*-1</f>
        <v>0</v>
      </c>
      <c r="E6">
        <v>6951.5</v>
      </c>
      <c r="F6">
        <f>IF(Table1[[#This Row],[TWh '[2020']]]=0,$D$27*E6/$E$27,0)</f>
        <v>-34.820653312201756</v>
      </c>
    </row>
    <row r="7" spans="1:6" x14ac:dyDescent="0.35">
      <c r="A7" t="s">
        <v>24</v>
      </c>
      <c r="B7" t="s">
        <v>5</v>
      </c>
      <c r="C7" s="2"/>
      <c r="D7">
        <f>Table1[[#This Row],[Mrd m3 '[2020']]]*9.77*-1</f>
        <v>0</v>
      </c>
      <c r="E7">
        <v>4058.2</v>
      </c>
      <c r="F7">
        <f>IF(Table1[[#This Row],[TWh '[2020']]]=0,$D$27*E7/$E$27,0)</f>
        <v>-20.327868125092017</v>
      </c>
    </row>
    <row r="8" spans="1:6" x14ac:dyDescent="0.35">
      <c r="A8" t="s">
        <v>28</v>
      </c>
      <c r="B8" t="s">
        <v>62</v>
      </c>
      <c r="C8" s="2">
        <v>8.5</v>
      </c>
      <c r="D8">
        <f>Table1[[#This Row],[Mrd m3 '[2020']]]*9.77*-1</f>
        <v>-83.045000000000002</v>
      </c>
      <c r="E8">
        <v>10693.9</v>
      </c>
      <c r="F8">
        <f>IF(Table1[[#This Row],[TWh '[2020']]]=0,$D$27*E8/$E$27,0)</f>
        <v>0</v>
      </c>
    </row>
    <row r="9" spans="1:6" x14ac:dyDescent="0.35">
      <c r="A9" t="s">
        <v>26</v>
      </c>
      <c r="B9" t="s">
        <v>61</v>
      </c>
      <c r="C9" s="2"/>
      <c r="D9">
        <f>Table1[[#This Row],[Mrd m3 '[2020']]]*9.77*-1</f>
        <v>0</v>
      </c>
      <c r="E9">
        <v>5822.8</v>
      </c>
      <c r="F9">
        <f>IF(Table1[[#This Row],[TWh '[2020']]]=0,$D$27*E9/$E$27,0)</f>
        <v>-29.166899245671924</v>
      </c>
    </row>
    <row r="10" spans="1:6" x14ac:dyDescent="0.35">
      <c r="A10" t="s">
        <v>54</v>
      </c>
      <c r="B10" t="s">
        <v>67</v>
      </c>
      <c r="C10" s="2"/>
      <c r="D10">
        <f>Table1[[#This Row],[Mrd m3 '[2020']]]*9.77*-1</f>
        <v>0</v>
      </c>
      <c r="E10">
        <v>1329</v>
      </c>
      <c r="F10">
        <f>IF(Table1[[#This Row],[TWh '[2020']]]=0,$D$27*E10/$E$27,0)</f>
        <v>-6.6570737613344075</v>
      </c>
    </row>
    <row r="11" spans="1:6" x14ac:dyDescent="0.35">
      <c r="A11" t="s">
        <v>55</v>
      </c>
      <c r="B11" t="s">
        <v>87</v>
      </c>
      <c r="C11" s="2">
        <v>2</v>
      </c>
      <c r="D11">
        <f>Table1[[#This Row],[Mrd m3 '[2020']]]*9.77*-1</f>
        <v>-19.54</v>
      </c>
      <c r="E11">
        <v>5525.3</v>
      </c>
      <c r="F11">
        <f>IF(Table1[[#This Row],[TWh '[2020']]]=0,$D$27*E11/$E$27,0)</f>
        <v>0</v>
      </c>
    </row>
    <row r="12" spans="1:6" x14ac:dyDescent="0.35">
      <c r="A12" t="s">
        <v>25</v>
      </c>
      <c r="B12" t="s">
        <v>2</v>
      </c>
      <c r="C12" s="2">
        <v>40.700000000000003</v>
      </c>
      <c r="D12">
        <f>Table1[[#This Row],[Mrd m3 '[2020']]]*9.77*-1</f>
        <v>-397.63900000000001</v>
      </c>
      <c r="E12">
        <v>67098.8</v>
      </c>
      <c r="F12">
        <f>IF(Table1[[#This Row],[TWh '[2020']]]=0,$D$27*E12/$E$27,0)</f>
        <v>0</v>
      </c>
    </row>
    <row r="13" spans="1:6" x14ac:dyDescent="0.35">
      <c r="A13" t="s">
        <v>19</v>
      </c>
      <c r="B13" t="s">
        <v>57</v>
      </c>
      <c r="C13" s="2">
        <v>86.5</v>
      </c>
      <c r="D13">
        <f>Table1[[#This Row],[Mrd m3 '[2020']]]*9.77*-1</f>
        <v>-845.10500000000002</v>
      </c>
      <c r="E13">
        <v>83166.7</v>
      </c>
      <c r="F13">
        <f>IF(Table1[[#This Row],[TWh '[2020']]]=0,$D$27*E13/$E$27,0)</f>
        <v>0</v>
      </c>
    </row>
    <row r="14" spans="1:6" x14ac:dyDescent="0.35">
      <c r="A14" t="s">
        <v>33</v>
      </c>
      <c r="B14" t="s">
        <v>3</v>
      </c>
      <c r="C14" s="2">
        <v>5.7</v>
      </c>
      <c r="D14">
        <f>Table1[[#This Row],[Mrd m3 '[2020']]]*9.77*-1</f>
        <v>-55.689</v>
      </c>
      <c r="E14">
        <v>10709.7</v>
      </c>
      <c r="F14">
        <f>IF(Table1[[#This Row],[TWh '[2020']]]=0,$D$27*E14/$E$27,0)</f>
        <v>0</v>
      </c>
    </row>
    <row r="15" spans="1:6" x14ac:dyDescent="0.35">
      <c r="A15" t="s">
        <v>30</v>
      </c>
      <c r="B15" t="s">
        <v>64</v>
      </c>
      <c r="C15" s="2">
        <v>10.199999999999999</v>
      </c>
      <c r="D15">
        <f>Table1[[#This Row],[Mrd m3 '[2020']]]*9.77*-1</f>
        <v>-99.653999999999982</v>
      </c>
      <c r="E15">
        <v>9769.5</v>
      </c>
      <c r="F15">
        <f>IF(Table1[[#This Row],[TWh '[2020']]]=0,$D$27*E15/$E$27,0)</f>
        <v>0</v>
      </c>
    </row>
    <row r="16" spans="1:6" x14ac:dyDescent="0.35">
      <c r="A16" t="s">
        <v>44</v>
      </c>
      <c r="B16" t="s">
        <v>75</v>
      </c>
      <c r="C16" s="2"/>
      <c r="D16">
        <f>Table1[[#This Row],[Mrd m3 '[2020']]]*9.77*-1</f>
        <v>0</v>
      </c>
      <c r="E16">
        <v>4963.8</v>
      </c>
      <c r="F16">
        <f>IF(Table1[[#This Row],[TWh '[2020']]]=0,$D$27*E16/$E$27,0)</f>
        <v>-24.864095362311311</v>
      </c>
    </row>
    <row r="17" spans="1:6" x14ac:dyDescent="0.35">
      <c r="A17" t="s">
        <v>21</v>
      </c>
      <c r="B17" t="s">
        <v>4</v>
      </c>
      <c r="C17" s="2">
        <v>67.7</v>
      </c>
      <c r="D17">
        <f>Table1[[#This Row],[Mrd m3 '[2020']]]*9.77*-1</f>
        <v>-661.42899999999997</v>
      </c>
      <c r="E17">
        <v>60244.6</v>
      </c>
      <c r="F17">
        <f>IF(Table1[[#This Row],[TWh '[2020']]]=0,$D$27*E17/$E$27,0)</f>
        <v>0</v>
      </c>
    </row>
    <row r="18" spans="1:6" x14ac:dyDescent="0.35">
      <c r="A18" t="s">
        <v>36</v>
      </c>
      <c r="B18" t="s">
        <v>66</v>
      </c>
      <c r="C18" s="2"/>
      <c r="D18">
        <f>Table1[[#This Row],[Mrd m3 '[2020']]]*9.77*-1</f>
        <v>0</v>
      </c>
      <c r="E18">
        <v>1907.7</v>
      </c>
      <c r="F18">
        <f>IF(Table1[[#This Row],[TWh '[2020']]]=0,$D$27*E18/$E$27,0)</f>
        <v>-9.5558311621502252</v>
      </c>
    </row>
    <row r="19" spans="1:6" x14ac:dyDescent="0.35">
      <c r="A19" t="s">
        <v>35</v>
      </c>
      <c r="B19" t="s">
        <v>6</v>
      </c>
      <c r="C19" s="2"/>
      <c r="D19">
        <f>Table1[[#This Row],[Mrd m3 '[2020']]]*9.77*-1</f>
        <v>0</v>
      </c>
      <c r="E19">
        <v>2794.1</v>
      </c>
      <c r="F19">
        <f>IF(Table1[[#This Row],[TWh '[2020']]]=0,$D$27*E19/$E$27,0)</f>
        <v>-13.995883970311864</v>
      </c>
    </row>
    <row r="20" spans="1:6" x14ac:dyDescent="0.35">
      <c r="A20" t="s">
        <v>43</v>
      </c>
      <c r="B20" t="s">
        <v>71</v>
      </c>
      <c r="C20" s="2"/>
      <c r="D20">
        <f>Table1[[#This Row],[Mrd m3 '[2020']]]*9.77*-1</f>
        <v>0</v>
      </c>
      <c r="E20">
        <v>626.1</v>
      </c>
      <c r="F20">
        <f>IF(Table1[[#This Row],[TWh '[2020']]]=0,$D$27*E20/$E$27,0)</f>
        <v>-3.1361880225518983</v>
      </c>
    </row>
    <row r="21" spans="1:6" x14ac:dyDescent="0.35">
      <c r="A21" t="s">
        <v>114</v>
      </c>
      <c r="B21" t="s">
        <v>93</v>
      </c>
      <c r="C21" s="2"/>
      <c r="D21">
        <f>Table1[[#This Row],[Mrd m3 '[2020']]]*9.77*-1</f>
        <v>0</v>
      </c>
      <c r="E21">
        <v>514.6</v>
      </c>
      <c r="F21">
        <f>IF(Table1[[#This Row],[TWh '[2020']]]=0,$D$27*E21/$E$27,0)</f>
        <v>-2.5776750621389666</v>
      </c>
    </row>
    <row r="22" spans="1:6" x14ac:dyDescent="0.35">
      <c r="A22" t="s">
        <v>40</v>
      </c>
      <c r="B22" t="s">
        <v>69</v>
      </c>
      <c r="C22" s="2"/>
      <c r="D22">
        <f>Table1[[#This Row],[Mrd m3 '[2020']]]*9.77*-1</f>
        <v>0</v>
      </c>
      <c r="E22">
        <v>2579</v>
      </c>
      <c r="F22">
        <f>IF(Table1[[#This Row],[TWh '[2020']]]=0,$D$27*E22/$E$27,0)</f>
        <v>-12.918429819775348</v>
      </c>
    </row>
    <row r="23" spans="1:6" x14ac:dyDescent="0.35">
      <c r="B23" t="s">
        <v>115</v>
      </c>
      <c r="C23" s="2"/>
      <c r="D23">
        <f>Table1[[#This Row],[Mrd m3 '[2020']]]*9.77*-1</f>
        <v>0</v>
      </c>
      <c r="E23">
        <v>621.9</v>
      </c>
      <c r="F23">
        <f>IF(Table1[[#This Row],[TWh '[2020']]]=0,$D$27*E23/$E$27,0)</f>
        <v>-3.1151498661955364</v>
      </c>
    </row>
    <row r="24" spans="1:6" x14ac:dyDescent="0.35">
      <c r="A24" t="s">
        <v>18</v>
      </c>
      <c r="B24" t="s">
        <v>7</v>
      </c>
      <c r="C24" s="2">
        <v>36.6</v>
      </c>
      <c r="D24">
        <f>Table1[[#This Row],[Mrd m3 '[2020']]]*9.77*-1</f>
        <v>-357.58199999999999</v>
      </c>
      <c r="E24">
        <v>17407.599999999999</v>
      </c>
      <c r="F24">
        <f>IF(Table1[[#This Row],[TWh '[2020']]]=0,$D$27*E24/$E$27,0)</f>
        <v>0</v>
      </c>
    </row>
    <row r="25" spans="1:6" x14ac:dyDescent="0.35">
      <c r="A25" t="s">
        <v>46</v>
      </c>
      <c r="B25" t="s">
        <v>77</v>
      </c>
      <c r="C25" s="2"/>
      <c r="D25">
        <f>Table1[[#This Row],[Mrd m3 '[2020']]]*9.77*-1</f>
        <v>0</v>
      </c>
      <c r="E25">
        <v>2076.3000000000002</v>
      </c>
      <c r="F25">
        <f>IF(Table1[[#This Row],[TWh '[2020']]]=0,$D$27*E25/$E$27,0)</f>
        <v>-10.40036286731274</v>
      </c>
    </row>
    <row r="26" spans="1:6" x14ac:dyDescent="0.35">
      <c r="A26" t="s">
        <v>49</v>
      </c>
      <c r="B26" t="s">
        <v>72</v>
      </c>
      <c r="C26" s="2">
        <v>4.4000000000000004</v>
      </c>
      <c r="D26">
        <f>Table1[[#This Row],[Mrd m3 '[2020']]]*9.77*-1</f>
        <v>-42.988</v>
      </c>
      <c r="E26">
        <v>5367.6</v>
      </c>
      <c r="F26">
        <f>IF(Table1[[#This Row],[TWh '[2020']]]=0,$D$27*E26/$E$27,0)</f>
        <v>0</v>
      </c>
    </row>
    <row r="27" spans="1:6" x14ac:dyDescent="0.35">
      <c r="A27" t="s">
        <v>89</v>
      </c>
      <c r="B27" t="s">
        <v>90</v>
      </c>
      <c r="C27" s="2">
        <v>29.6</v>
      </c>
      <c r="D27">
        <f>Table1[[#This Row],[Mrd m3 '[2020']]]*9.77*-1</f>
        <v>-289.19200000000001</v>
      </c>
      <c r="E27">
        <f>E2+E5+E6+E7+E9+E10+E16+E18+E19+E20+E21+E22+E23+E25+E32+E33+E34+E41+E42</f>
        <v>57733.5</v>
      </c>
      <c r="F27">
        <f>IF(Table1[[#This Row],[TWh '[2020']]]=0,$D$27*E27/$E$27,0)</f>
        <v>0</v>
      </c>
    </row>
    <row r="28" spans="1:6" x14ac:dyDescent="0.35">
      <c r="A28" t="s">
        <v>27</v>
      </c>
      <c r="B28" t="s">
        <v>8</v>
      </c>
      <c r="C28" s="2">
        <v>21.6</v>
      </c>
      <c r="D28">
        <f>Table1[[#This Row],[Mrd m3 '[2020']]]*9.77*-1</f>
        <v>-211.03200000000001</v>
      </c>
      <c r="E28">
        <v>37958.1</v>
      </c>
      <c r="F28">
        <f>IF(Table1[[#This Row],[TWh '[2020']]]=0,$D$27*E28/$E$27,0)</f>
        <v>0</v>
      </c>
    </row>
    <row r="29" spans="1:6" x14ac:dyDescent="0.35">
      <c r="A29" t="s">
        <v>38</v>
      </c>
      <c r="B29" t="s">
        <v>1</v>
      </c>
      <c r="C29" s="2">
        <v>6</v>
      </c>
      <c r="D29">
        <f>Table1[[#This Row],[Mrd m3 '[2020']]]*9.77*-1</f>
        <v>-58.62</v>
      </c>
      <c r="E29">
        <v>10295.9</v>
      </c>
      <c r="F29">
        <f>IF(Table1[[#This Row],[TWh '[2020']]]=0,$D$27*E29/$E$27,0)</f>
        <v>0</v>
      </c>
    </row>
    <row r="30" spans="1:6" x14ac:dyDescent="0.35">
      <c r="A30" t="s">
        <v>34</v>
      </c>
      <c r="B30" t="s">
        <v>88</v>
      </c>
      <c r="C30" s="2">
        <v>11.3</v>
      </c>
      <c r="D30">
        <f>Table1[[#This Row],[Mrd m3 '[2020']]]*9.77*-1</f>
        <v>-110.401</v>
      </c>
      <c r="E30">
        <v>19318</v>
      </c>
      <c r="F30">
        <f>IF(Table1[[#This Row],[TWh '[2020']]]=0,$D$27*E30/$E$27,0)</f>
        <v>0</v>
      </c>
    </row>
    <row r="31" spans="1:6" x14ac:dyDescent="0.35">
      <c r="A31" t="s">
        <v>48</v>
      </c>
      <c r="B31" t="s">
        <v>78</v>
      </c>
      <c r="C31" s="2"/>
      <c r="D31">
        <f>Table1[[#This Row],[Mrd m3 '[2020']]]*9.77*-1</f>
        <v>0</v>
      </c>
      <c r="E31" t="s">
        <v>103</v>
      </c>
    </row>
    <row r="32" spans="1:6" x14ac:dyDescent="0.35">
      <c r="A32" t="s">
        <v>31</v>
      </c>
      <c r="B32" t="s">
        <v>73</v>
      </c>
      <c r="C32" s="2"/>
      <c r="D32">
        <f>Table1[[#This Row],[Mrd m3 '[2020']]]*9.77*-1</f>
        <v>0</v>
      </c>
      <c r="E32">
        <v>6926.7</v>
      </c>
      <c r="F32">
        <f>IF(Table1[[#This Row],[TWh '[2020']]]=0,$D$27*E32/$E$27,0)</f>
        <v>-34.696428008002286</v>
      </c>
    </row>
    <row r="33" spans="1:6" x14ac:dyDescent="0.35">
      <c r="A33" t="s">
        <v>29</v>
      </c>
      <c r="B33" t="s">
        <v>63</v>
      </c>
      <c r="C33" s="2"/>
      <c r="D33">
        <f>Table1[[#This Row],[Mrd m3 '[2020']]]*9.77*-1</f>
        <v>0</v>
      </c>
      <c r="E33">
        <v>5457.9</v>
      </c>
      <c r="F33">
        <f>IF(Table1[[#This Row],[TWh '[2020']]]=0,$D$27*E33/$E$27,0)</f>
        <v>-27.339084185091842</v>
      </c>
    </row>
    <row r="34" spans="1:6" x14ac:dyDescent="0.35">
      <c r="A34" t="s">
        <v>23</v>
      </c>
      <c r="B34" t="s">
        <v>60</v>
      </c>
      <c r="C34" s="2"/>
      <c r="D34">
        <f>Table1[[#This Row],[Mrd m3 '[2020']]]*9.77*-1</f>
        <v>0</v>
      </c>
      <c r="E34">
        <v>2095.9</v>
      </c>
      <c r="F34">
        <f>IF(Table1[[#This Row],[TWh '[2020']]]=0,$D$27*E34/$E$27,0)</f>
        <v>-10.498540930309094</v>
      </c>
    </row>
    <row r="35" spans="1:6" x14ac:dyDescent="0.35">
      <c r="A35" t="s">
        <v>37</v>
      </c>
      <c r="B35" t="s">
        <v>9</v>
      </c>
      <c r="C35" s="2">
        <v>32.4</v>
      </c>
      <c r="D35">
        <f>Table1[[#This Row],[Mrd m3 '[2020']]]*9.77*-1</f>
        <v>-316.54799999999994</v>
      </c>
      <c r="E35">
        <v>47330</v>
      </c>
      <c r="F35">
        <f>IF(Table1[[#This Row],[TWh '[2020']]]=0,$D$27*E35/$E$27,0)</f>
        <v>0</v>
      </c>
    </row>
    <row r="36" spans="1:6" x14ac:dyDescent="0.35">
      <c r="A36" t="s">
        <v>83</v>
      </c>
      <c r="B36" t="s">
        <v>84</v>
      </c>
      <c r="C36" s="2">
        <v>1.1000000000000001</v>
      </c>
      <c r="D36">
        <f>Table1[[#This Row],[Mrd m3 '[2020']]]*9.77*-1</f>
        <v>-10.747</v>
      </c>
      <c r="E36">
        <v>10327.6</v>
      </c>
      <c r="F36">
        <f>IF(Table1[[#This Row],[TWh '[2020']]]=0,$D$27*E36/$E$27,0)</f>
        <v>0</v>
      </c>
    </row>
    <row r="37" spans="1:6" x14ac:dyDescent="0.35">
      <c r="A37" t="s">
        <v>22</v>
      </c>
      <c r="B37" t="s">
        <v>59</v>
      </c>
      <c r="C37" s="2">
        <v>3.2</v>
      </c>
      <c r="D37">
        <f>Table1[[#This Row],[Mrd m3 '[2020']]]*9.77*-1</f>
        <v>-31.263999999999999</v>
      </c>
      <c r="E37">
        <v>8606</v>
      </c>
      <c r="F37">
        <f>IF(Table1[[#This Row],[TWh '[2020']]]=0,$D$27*E37/$E$27,0)</f>
        <v>0</v>
      </c>
    </row>
    <row r="38" spans="1:6" x14ac:dyDescent="0.35">
      <c r="A38" t="s">
        <v>47</v>
      </c>
      <c r="B38" t="s">
        <v>10</v>
      </c>
      <c r="C38" s="2">
        <v>46.4</v>
      </c>
      <c r="D38">
        <f>Table1[[#This Row],[Mrd m3 '[2020']]]*9.77*-1</f>
        <v>-453.32799999999997</v>
      </c>
      <c r="E38">
        <v>83155</v>
      </c>
      <c r="F38">
        <f>IF(Table1[[#This Row],[TWh '[2020']]]=0,$D$27*E38/$E$27,0)</f>
        <v>0</v>
      </c>
    </row>
    <row r="39" spans="1:6" x14ac:dyDescent="0.35">
      <c r="A39" t="s">
        <v>11</v>
      </c>
      <c r="B39" t="s">
        <v>11</v>
      </c>
      <c r="C39" s="2">
        <v>72.5</v>
      </c>
      <c r="D39">
        <f>Table1[[#This Row],[Mrd m3 '[2020']]]*9.77*-1</f>
        <v>-708.32499999999993</v>
      </c>
      <c r="E39">
        <v>67025.5</v>
      </c>
      <c r="F39">
        <f>IF(Table1[[#This Row],[TWh '[2020']]]=0,$D$27*E39/$E$27,0)</f>
        <v>0</v>
      </c>
    </row>
    <row r="40" spans="1:6" x14ac:dyDescent="0.35">
      <c r="A40" t="s">
        <v>39</v>
      </c>
      <c r="B40" t="s">
        <v>68</v>
      </c>
      <c r="C40" s="2">
        <v>29.3</v>
      </c>
      <c r="D40">
        <f>Table1[[#This Row],[Mrd m3 '[2020']]]*9.77*-1</f>
        <v>-286.26099999999997</v>
      </c>
      <c r="E40">
        <v>41733</v>
      </c>
      <c r="F40">
        <f>IF(Table1[[#This Row],[TWh '[2020']]]=0,$D$27*E40/$E$27,0)</f>
        <v>0</v>
      </c>
    </row>
    <row r="41" spans="1:6" x14ac:dyDescent="0.35">
      <c r="A41" t="s">
        <v>112</v>
      </c>
      <c r="B41" t="s">
        <v>113</v>
      </c>
      <c r="C41" s="2"/>
      <c r="D41">
        <f>Table1[[#This Row],[Mrd m3 '[2020']]]*9.77*-1</f>
        <v>0</v>
      </c>
      <c r="E41">
        <v>888</v>
      </c>
      <c r="F41">
        <f>IF(Table1[[#This Row],[TWh '[2020']]]=0,$D$27*E41/$E$27,0)</f>
        <v>-4.4480673439164438</v>
      </c>
    </row>
    <row r="42" spans="1:6" x14ac:dyDescent="0.35">
      <c r="B42" t="s">
        <v>121</v>
      </c>
      <c r="C42" s="2"/>
      <c r="D42">
        <f>Table1[[#This Row],[Mrd m3 '[2020']]]*9.77*-1</f>
        <v>0</v>
      </c>
      <c r="E42">
        <v>1782</v>
      </c>
      <c r="F42">
        <f>IF(Table1[[#This Row],[TWh '[2020']]]=0,$D$27*E42/$E$27,0)</f>
        <v>-8.9261891969134037</v>
      </c>
    </row>
    <row r="50" spans="1:2" x14ac:dyDescent="0.35">
      <c r="A50" t="s">
        <v>85</v>
      </c>
    </row>
    <row r="51" spans="1:2" x14ac:dyDescent="0.35">
      <c r="A51" t="s">
        <v>116</v>
      </c>
    </row>
    <row r="52" spans="1:2" x14ac:dyDescent="0.35">
      <c r="A52" t="s">
        <v>117</v>
      </c>
      <c r="B52" t="s">
        <v>118</v>
      </c>
    </row>
    <row r="53" spans="1:2" x14ac:dyDescent="0.35">
      <c r="A53" t="s">
        <v>119</v>
      </c>
      <c r="B53" t="s">
        <v>120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D7211D-DC17-4DD6-B657-CA08F8FBC20F}">
  <dimension ref="A1:E90"/>
  <sheetViews>
    <sheetView topLeftCell="A80" workbookViewId="0">
      <selection activeCell="B37" sqref="B37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11</v>
      </c>
      <c r="B2" t="s">
        <v>17</v>
      </c>
      <c r="C2">
        <v>651.70000000000005</v>
      </c>
      <c r="D2">
        <f>C2*365</f>
        <v>237870.50000000003</v>
      </c>
      <c r="E2">
        <f>D2/1000</f>
        <v>237.87050000000002</v>
      </c>
    </row>
    <row r="3" spans="1:5" x14ac:dyDescent="0.35">
      <c r="A3" t="s">
        <v>11</v>
      </c>
      <c r="B3" t="s">
        <v>44</v>
      </c>
      <c r="C3">
        <v>386.9</v>
      </c>
      <c r="D3">
        <f t="shared" ref="D3:D66" si="0">C3*365</f>
        <v>141218.5</v>
      </c>
      <c r="E3">
        <f t="shared" ref="E3:E66" si="1">D3/1000</f>
        <v>141.21850000000001</v>
      </c>
    </row>
    <row r="4" spans="1:5" x14ac:dyDescent="0.35">
      <c r="A4" t="s">
        <v>17</v>
      </c>
      <c r="B4" t="s">
        <v>11</v>
      </c>
      <c r="C4">
        <v>803.4</v>
      </c>
      <c r="D4">
        <f t="shared" si="0"/>
        <v>293241</v>
      </c>
      <c r="E4">
        <f t="shared" si="1"/>
        <v>293.24099999999999</v>
      </c>
    </row>
    <row r="5" spans="1:5" x14ac:dyDescent="0.35">
      <c r="A5" t="s">
        <v>17</v>
      </c>
      <c r="B5" t="s">
        <v>18</v>
      </c>
      <c r="C5">
        <v>331.2</v>
      </c>
      <c r="D5">
        <f t="shared" si="0"/>
        <v>120888</v>
      </c>
      <c r="E5">
        <f t="shared" si="1"/>
        <v>120.88800000000001</v>
      </c>
    </row>
    <row r="6" spans="1:5" x14ac:dyDescent="0.35">
      <c r="A6" t="s">
        <v>17</v>
      </c>
      <c r="B6" t="s">
        <v>19</v>
      </c>
      <c r="C6">
        <v>322.77</v>
      </c>
      <c r="D6">
        <f t="shared" si="0"/>
        <v>117811.04999999999</v>
      </c>
      <c r="E6">
        <f t="shared" si="1"/>
        <v>117.81104999999999</v>
      </c>
    </row>
    <row r="7" spans="1:5" x14ac:dyDescent="0.35">
      <c r="A7" t="s">
        <v>17</v>
      </c>
      <c r="B7" t="s">
        <v>25</v>
      </c>
      <c r="C7">
        <v>870</v>
      </c>
      <c r="D7">
        <f t="shared" si="0"/>
        <v>317550</v>
      </c>
      <c r="E7">
        <f t="shared" si="1"/>
        <v>317.55</v>
      </c>
    </row>
    <row r="8" spans="1:5" x14ac:dyDescent="0.35">
      <c r="A8" t="s">
        <v>18</v>
      </c>
      <c r="B8" t="s">
        <v>17</v>
      </c>
      <c r="C8">
        <v>1397.2</v>
      </c>
      <c r="D8">
        <f t="shared" si="0"/>
        <v>509978</v>
      </c>
      <c r="E8">
        <f t="shared" si="1"/>
        <v>509.97800000000001</v>
      </c>
    </row>
    <row r="9" spans="1:5" x14ac:dyDescent="0.35">
      <c r="A9" t="s">
        <v>18</v>
      </c>
      <c r="B9" t="s">
        <v>19</v>
      </c>
      <c r="C9">
        <v>1925.7729999999999</v>
      </c>
      <c r="D9">
        <f t="shared" si="0"/>
        <v>702907.14500000002</v>
      </c>
      <c r="E9">
        <f t="shared" si="1"/>
        <v>702.90714500000001</v>
      </c>
    </row>
    <row r="10" spans="1:5" x14ac:dyDescent="0.35">
      <c r="A10" t="s">
        <v>19</v>
      </c>
      <c r="B10" t="s">
        <v>17</v>
      </c>
      <c r="C10">
        <v>396.15000000000003</v>
      </c>
      <c r="D10">
        <f t="shared" si="0"/>
        <v>144594.75</v>
      </c>
      <c r="E10">
        <f t="shared" si="1"/>
        <v>144.59475</v>
      </c>
    </row>
    <row r="11" spans="1:5" x14ac:dyDescent="0.35">
      <c r="A11" t="s">
        <v>19</v>
      </c>
      <c r="B11" t="s">
        <v>18</v>
      </c>
      <c r="C11">
        <v>1628.3030000000001</v>
      </c>
      <c r="D11">
        <f t="shared" si="0"/>
        <v>594330.59500000009</v>
      </c>
      <c r="E11">
        <f t="shared" si="1"/>
        <v>594.33059500000013</v>
      </c>
    </row>
    <row r="12" spans="1:5" x14ac:dyDescent="0.35">
      <c r="A12" t="s">
        <v>19</v>
      </c>
      <c r="B12" t="s">
        <v>20</v>
      </c>
      <c r="C12">
        <v>344.24799999999993</v>
      </c>
      <c r="D12">
        <f t="shared" si="0"/>
        <v>125650.51999999997</v>
      </c>
      <c r="E12">
        <f t="shared" si="1"/>
        <v>125.65051999999997</v>
      </c>
    </row>
    <row r="13" spans="1:5" x14ac:dyDescent="0.35">
      <c r="A13" t="s">
        <v>19</v>
      </c>
      <c r="B13" t="s">
        <v>22</v>
      </c>
      <c r="C13">
        <v>328</v>
      </c>
      <c r="D13">
        <f t="shared" si="0"/>
        <v>119720</v>
      </c>
      <c r="E13">
        <f t="shared" si="1"/>
        <v>119.72</v>
      </c>
    </row>
    <row r="14" spans="1:5" x14ac:dyDescent="0.35">
      <c r="A14" t="s">
        <v>19</v>
      </c>
      <c r="B14" t="s">
        <v>25</v>
      </c>
      <c r="C14">
        <v>613.71600000000001</v>
      </c>
      <c r="D14">
        <f t="shared" si="0"/>
        <v>224006.34</v>
      </c>
      <c r="E14">
        <f t="shared" si="1"/>
        <v>224.00633999999999</v>
      </c>
    </row>
    <row r="15" spans="1:5" x14ac:dyDescent="0.35">
      <c r="A15" t="s">
        <v>19</v>
      </c>
      <c r="B15" t="s">
        <v>26</v>
      </c>
      <c r="C15">
        <v>136.11199999999999</v>
      </c>
      <c r="D15">
        <f t="shared" si="0"/>
        <v>49680.88</v>
      </c>
      <c r="E15">
        <f t="shared" si="1"/>
        <v>49.680879999999995</v>
      </c>
    </row>
    <row r="16" spans="1:5" x14ac:dyDescent="0.35">
      <c r="A16" t="s">
        <v>19</v>
      </c>
      <c r="B16" t="s">
        <v>27</v>
      </c>
      <c r="C16">
        <v>233.5</v>
      </c>
      <c r="D16">
        <f t="shared" si="0"/>
        <v>85227.5</v>
      </c>
      <c r="E16">
        <f t="shared" si="1"/>
        <v>85.227500000000006</v>
      </c>
    </row>
    <row r="17" spans="1:5" x14ac:dyDescent="0.35">
      <c r="A17" t="s">
        <v>19</v>
      </c>
      <c r="B17" t="s">
        <v>28</v>
      </c>
      <c r="C17">
        <v>1803.77</v>
      </c>
      <c r="D17">
        <f t="shared" si="0"/>
        <v>658376.05000000005</v>
      </c>
      <c r="E17">
        <f t="shared" si="1"/>
        <v>658.37605000000008</v>
      </c>
    </row>
    <row r="18" spans="1:5" x14ac:dyDescent="0.35">
      <c r="A18" t="s">
        <v>19</v>
      </c>
      <c r="B18" t="s">
        <v>43</v>
      </c>
      <c r="C18">
        <v>26.71</v>
      </c>
      <c r="D18">
        <f t="shared" si="0"/>
        <v>9749.15</v>
      </c>
      <c r="E18">
        <f t="shared" si="1"/>
        <v>9.7491500000000002</v>
      </c>
    </row>
    <row r="19" spans="1:5" x14ac:dyDescent="0.35">
      <c r="A19" t="s">
        <v>20</v>
      </c>
      <c r="B19" t="s">
        <v>19</v>
      </c>
      <c r="C19">
        <v>339.96799999999996</v>
      </c>
      <c r="D19">
        <f t="shared" si="0"/>
        <v>124088.31999999999</v>
      </c>
      <c r="E19">
        <f t="shared" si="1"/>
        <v>124.08832</v>
      </c>
    </row>
    <row r="20" spans="1:5" x14ac:dyDescent="0.35">
      <c r="A20" t="s">
        <v>20</v>
      </c>
      <c r="B20" t="s">
        <v>21</v>
      </c>
      <c r="C20">
        <v>1150</v>
      </c>
      <c r="D20">
        <f t="shared" si="0"/>
        <v>419750</v>
      </c>
      <c r="E20">
        <f t="shared" si="1"/>
        <v>419.75</v>
      </c>
    </row>
    <row r="21" spans="1:5" x14ac:dyDescent="0.35">
      <c r="A21" t="s">
        <v>20</v>
      </c>
      <c r="B21" t="s">
        <v>23</v>
      </c>
      <c r="C21">
        <v>112.5</v>
      </c>
      <c r="D21">
        <f t="shared" si="0"/>
        <v>41062.5</v>
      </c>
      <c r="E21">
        <f t="shared" si="1"/>
        <v>41.0625</v>
      </c>
    </row>
    <row r="22" spans="1:5" x14ac:dyDescent="0.35">
      <c r="A22" t="s">
        <v>20</v>
      </c>
      <c r="B22" t="s">
        <v>29</v>
      </c>
      <c r="C22">
        <v>246.5</v>
      </c>
      <c r="D22">
        <f t="shared" si="0"/>
        <v>89972.5</v>
      </c>
      <c r="E22">
        <f t="shared" si="1"/>
        <v>89.972499999999997</v>
      </c>
    </row>
    <row r="23" spans="1:5" x14ac:dyDescent="0.35">
      <c r="A23" t="s">
        <v>20</v>
      </c>
      <c r="B23" t="s">
        <v>30</v>
      </c>
      <c r="C23">
        <v>153.1</v>
      </c>
      <c r="D23">
        <f t="shared" si="0"/>
        <v>55881.5</v>
      </c>
      <c r="E23">
        <f t="shared" si="1"/>
        <v>55.881500000000003</v>
      </c>
    </row>
    <row r="24" spans="1:5" x14ac:dyDescent="0.35">
      <c r="A24" t="s">
        <v>21</v>
      </c>
      <c r="B24" t="s">
        <v>20</v>
      </c>
      <c r="C24">
        <v>193.5</v>
      </c>
      <c r="D24">
        <f t="shared" si="0"/>
        <v>70627.5</v>
      </c>
      <c r="E24">
        <f t="shared" si="1"/>
        <v>70.627499999999998</v>
      </c>
    </row>
    <row r="25" spans="1:5" x14ac:dyDescent="0.35">
      <c r="A25" t="s">
        <v>21</v>
      </c>
      <c r="B25" t="s">
        <v>22</v>
      </c>
      <c r="C25">
        <v>431.4</v>
      </c>
      <c r="D25">
        <f t="shared" si="0"/>
        <v>157461</v>
      </c>
      <c r="E25">
        <f t="shared" si="1"/>
        <v>157.46100000000001</v>
      </c>
    </row>
    <row r="26" spans="1:5" x14ac:dyDescent="0.35">
      <c r="A26" t="s">
        <v>21</v>
      </c>
      <c r="B26" t="s">
        <v>23</v>
      </c>
      <c r="C26">
        <v>28.5</v>
      </c>
      <c r="D26">
        <f t="shared" si="0"/>
        <v>10402.5</v>
      </c>
      <c r="E26">
        <f t="shared" si="1"/>
        <v>10.4025</v>
      </c>
    </row>
    <row r="27" spans="1:5" x14ac:dyDescent="0.35">
      <c r="A27" t="s">
        <v>21</v>
      </c>
      <c r="B27" t="s">
        <v>48</v>
      </c>
      <c r="C27">
        <v>4.3</v>
      </c>
      <c r="D27">
        <f t="shared" si="0"/>
        <v>1569.5</v>
      </c>
      <c r="E27">
        <f t="shared" si="1"/>
        <v>1.5694999999999999</v>
      </c>
    </row>
    <row r="28" spans="1:5" x14ac:dyDescent="0.35">
      <c r="A28" t="s">
        <v>22</v>
      </c>
      <c r="B28" t="s">
        <v>19</v>
      </c>
      <c r="C28">
        <v>172.8</v>
      </c>
      <c r="D28">
        <f t="shared" si="0"/>
        <v>63072.000000000007</v>
      </c>
      <c r="E28">
        <f t="shared" si="1"/>
        <v>63.07200000000001</v>
      </c>
    </row>
    <row r="29" spans="1:5" x14ac:dyDescent="0.35">
      <c r="A29" t="s">
        <v>22</v>
      </c>
      <c r="B29" t="s">
        <v>21</v>
      </c>
      <c r="C29">
        <v>640.4</v>
      </c>
      <c r="D29">
        <f t="shared" si="0"/>
        <v>233746</v>
      </c>
      <c r="E29">
        <f t="shared" si="1"/>
        <v>233.74600000000001</v>
      </c>
    </row>
    <row r="30" spans="1:5" x14ac:dyDescent="0.35">
      <c r="A30" t="s">
        <v>22</v>
      </c>
      <c r="B30" t="s">
        <v>25</v>
      </c>
      <c r="C30">
        <v>100</v>
      </c>
      <c r="D30">
        <f t="shared" si="0"/>
        <v>36500</v>
      </c>
      <c r="E30">
        <f t="shared" si="1"/>
        <v>36.5</v>
      </c>
    </row>
    <row r="31" spans="1:5" x14ac:dyDescent="0.35">
      <c r="A31" t="s">
        <v>23</v>
      </c>
      <c r="B31" t="s">
        <v>21</v>
      </c>
      <c r="C31">
        <v>21.5</v>
      </c>
      <c r="D31">
        <f t="shared" si="0"/>
        <v>7847.5</v>
      </c>
      <c r="E31">
        <f t="shared" si="1"/>
        <v>7.8475000000000001</v>
      </c>
    </row>
    <row r="32" spans="1:5" x14ac:dyDescent="0.35">
      <c r="A32" t="s">
        <v>23</v>
      </c>
      <c r="B32" t="s">
        <v>24</v>
      </c>
      <c r="C32">
        <v>53.7</v>
      </c>
      <c r="D32">
        <f t="shared" si="0"/>
        <v>19600.5</v>
      </c>
      <c r="E32">
        <f t="shared" si="1"/>
        <v>19.6005</v>
      </c>
    </row>
    <row r="33" spans="1:5" x14ac:dyDescent="0.35">
      <c r="A33" t="s">
        <v>24</v>
      </c>
      <c r="B33" t="s">
        <v>23</v>
      </c>
      <c r="C33">
        <v>7.7</v>
      </c>
      <c r="D33">
        <f t="shared" si="0"/>
        <v>2810.5</v>
      </c>
      <c r="E33">
        <f t="shared" si="1"/>
        <v>2.8105000000000002</v>
      </c>
    </row>
    <row r="34" spans="1:5" x14ac:dyDescent="0.35">
      <c r="A34" t="s">
        <v>24</v>
      </c>
      <c r="B34" t="s">
        <v>30</v>
      </c>
      <c r="C34">
        <v>48.57</v>
      </c>
      <c r="D34">
        <f t="shared" si="0"/>
        <v>17728.05</v>
      </c>
      <c r="E34">
        <f t="shared" si="1"/>
        <v>17.72805</v>
      </c>
    </row>
    <row r="35" spans="1:5" x14ac:dyDescent="0.35">
      <c r="A35" t="s">
        <v>25</v>
      </c>
      <c r="B35" t="s">
        <v>17</v>
      </c>
      <c r="C35">
        <v>270</v>
      </c>
      <c r="D35">
        <f t="shared" si="0"/>
        <v>98550</v>
      </c>
      <c r="E35">
        <f t="shared" si="1"/>
        <v>98.55</v>
      </c>
    </row>
    <row r="36" spans="1:5" x14ac:dyDescent="0.35">
      <c r="A36" t="s">
        <v>25</v>
      </c>
      <c r="B36" t="s">
        <v>22</v>
      </c>
      <c r="C36">
        <v>223</v>
      </c>
      <c r="D36">
        <f t="shared" si="0"/>
        <v>81395</v>
      </c>
      <c r="E36">
        <f t="shared" si="1"/>
        <v>81.394999999999996</v>
      </c>
    </row>
    <row r="37" spans="1:5" x14ac:dyDescent="0.35">
      <c r="A37" t="s">
        <v>25</v>
      </c>
      <c r="B37" t="s">
        <v>37</v>
      </c>
      <c r="C37">
        <v>164.572</v>
      </c>
      <c r="D37">
        <f t="shared" si="0"/>
        <v>60068.78</v>
      </c>
      <c r="E37">
        <f t="shared" si="1"/>
        <v>60.068779999999997</v>
      </c>
    </row>
    <row r="38" spans="1:5" x14ac:dyDescent="0.35">
      <c r="A38" t="s">
        <v>26</v>
      </c>
      <c r="B38" t="s">
        <v>19</v>
      </c>
      <c r="C38">
        <v>4.1189999999999998</v>
      </c>
      <c r="D38">
        <f t="shared" si="0"/>
        <v>1503.4349999999999</v>
      </c>
      <c r="E38">
        <f t="shared" si="1"/>
        <v>1.5034349999999999</v>
      </c>
    </row>
    <row r="39" spans="1:5" x14ac:dyDescent="0.35">
      <c r="A39" t="s">
        <v>27</v>
      </c>
      <c r="B39" t="s">
        <v>19</v>
      </c>
      <c r="C39">
        <v>931.6</v>
      </c>
      <c r="D39">
        <f t="shared" si="0"/>
        <v>340034</v>
      </c>
      <c r="E39">
        <f t="shared" si="1"/>
        <v>340.03399999999999</v>
      </c>
    </row>
    <row r="40" spans="1:5" x14ac:dyDescent="0.35">
      <c r="A40" t="s">
        <v>28</v>
      </c>
      <c r="B40" t="s">
        <v>19</v>
      </c>
      <c r="C40">
        <v>1231.759</v>
      </c>
      <c r="D40">
        <f t="shared" si="0"/>
        <v>449592.03500000003</v>
      </c>
      <c r="E40">
        <f t="shared" si="1"/>
        <v>449.59203500000001</v>
      </c>
    </row>
    <row r="41" spans="1:5" x14ac:dyDescent="0.35">
      <c r="A41" t="s">
        <v>28</v>
      </c>
      <c r="B41" t="s">
        <v>27</v>
      </c>
      <c r="C41">
        <v>28</v>
      </c>
      <c r="D41">
        <f t="shared" si="0"/>
        <v>10220</v>
      </c>
      <c r="E41">
        <f t="shared" si="1"/>
        <v>10.220000000000001</v>
      </c>
    </row>
    <row r="42" spans="1:5" x14ac:dyDescent="0.35">
      <c r="A42" t="s">
        <v>28</v>
      </c>
      <c r="B42" t="s">
        <v>29</v>
      </c>
      <c r="C42">
        <v>1246.4000000000001</v>
      </c>
      <c r="D42">
        <f t="shared" si="0"/>
        <v>454936.00000000006</v>
      </c>
      <c r="E42">
        <f t="shared" si="1"/>
        <v>454.93600000000004</v>
      </c>
    </row>
    <row r="43" spans="1:5" x14ac:dyDescent="0.35">
      <c r="A43" t="s">
        <v>29</v>
      </c>
      <c r="B43" t="s">
        <v>20</v>
      </c>
      <c r="C43">
        <v>1570.4</v>
      </c>
      <c r="D43">
        <f t="shared" si="0"/>
        <v>573196</v>
      </c>
      <c r="E43">
        <f t="shared" si="1"/>
        <v>573.19600000000003</v>
      </c>
    </row>
    <row r="44" spans="1:5" x14ac:dyDescent="0.35">
      <c r="A44" t="s">
        <v>29</v>
      </c>
      <c r="B44" t="s">
        <v>28</v>
      </c>
      <c r="C44">
        <v>457.6</v>
      </c>
      <c r="D44">
        <f t="shared" si="0"/>
        <v>167024</v>
      </c>
      <c r="E44">
        <f t="shared" si="1"/>
        <v>167.024</v>
      </c>
    </row>
    <row r="45" spans="1:5" x14ac:dyDescent="0.35">
      <c r="A45" t="s">
        <v>29</v>
      </c>
      <c r="B45" t="s">
        <v>30</v>
      </c>
      <c r="C45">
        <v>128.9</v>
      </c>
      <c r="D45">
        <f t="shared" si="0"/>
        <v>47048.5</v>
      </c>
      <c r="E45">
        <f t="shared" si="1"/>
        <v>47.048499999999997</v>
      </c>
    </row>
    <row r="46" spans="1:5" x14ac:dyDescent="0.35">
      <c r="A46" t="s">
        <v>29</v>
      </c>
      <c r="B46" t="s">
        <v>39</v>
      </c>
      <c r="C46">
        <v>416</v>
      </c>
      <c r="D46">
        <f t="shared" si="0"/>
        <v>151840</v>
      </c>
      <c r="E46">
        <f t="shared" si="1"/>
        <v>151.84</v>
      </c>
    </row>
    <row r="47" spans="1:5" x14ac:dyDescent="0.35">
      <c r="A47" t="s">
        <v>30</v>
      </c>
      <c r="B47" t="s">
        <v>24</v>
      </c>
      <c r="C47">
        <v>77.400000000000006</v>
      </c>
      <c r="D47">
        <f t="shared" si="0"/>
        <v>28251.000000000004</v>
      </c>
      <c r="E47">
        <f t="shared" si="1"/>
        <v>28.251000000000005</v>
      </c>
    </row>
    <row r="48" spans="1:5" x14ac:dyDescent="0.35">
      <c r="A48" t="s">
        <v>30</v>
      </c>
      <c r="B48" t="s">
        <v>29</v>
      </c>
      <c r="C48">
        <v>50.883000000000003</v>
      </c>
      <c r="D48">
        <f t="shared" si="0"/>
        <v>18572.295000000002</v>
      </c>
      <c r="E48">
        <f t="shared" si="1"/>
        <v>18.572295</v>
      </c>
    </row>
    <row r="49" spans="1:5" x14ac:dyDescent="0.35">
      <c r="A49" t="s">
        <v>30</v>
      </c>
      <c r="B49" t="s">
        <v>31</v>
      </c>
      <c r="C49">
        <v>142</v>
      </c>
      <c r="D49">
        <f t="shared" si="0"/>
        <v>51830</v>
      </c>
      <c r="E49">
        <f t="shared" si="1"/>
        <v>51.83</v>
      </c>
    </row>
    <row r="50" spans="1:5" x14ac:dyDescent="0.35">
      <c r="A50" t="s">
        <v>30</v>
      </c>
      <c r="B50" t="s">
        <v>34</v>
      </c>
      <c r="C50">
        <v>77.5</v>
      </c>
      <c r="D50">
        <f t="shared" si="0"/>
        <v>28287.5</v>
      </c>
      <c r="E50">
        <f t="shared" si="1"/>
        <v>28.287500000000001</v>
      </c>
    </row>
    <row r="51" spans="1:5" x14ac:dyDescent="0.35">
      <c r="A51" t="s">
        <v>31</v>
      </c>
      <c r="B51" t="s">
        <v>32</v>
      </c>
      <c r="C51">
        <v>335.26</v>
      </c>
      <c r="D51">
        <f t="shared" si="0"/>
        <v>122369.9</v>
      </c>
      <c r="E51">
        <f t="shared" si="1"/>
        <v>122.3699</v>
      </c>
    </row>
    <row r="52" spans="1:5" x14ac:dyDescent="0.35">
      <c r="A52" t="s">
        <v>31</v>
      </c>
      <c r="B52" t="s">
        <v>45</v>
      </c>
      <c r="C52">
        <v>17.98</v>
      </c>
      <c r="D52">
        <f t="shared" si="0"/>
        <v>6562.7</v>
      </c>
      <c r="E52">
        <f t="shared" si="1"/>
        <v>6.5626999999999995</v>
      </c>
    </row>
    <row r="53" spans="1:5" x14ac:dyDescent="0.35">
      <c r="A53" t="s">
        <v>32</v>
      </c>
      <c r="B53" t="s">
        <v>31</v>
      </c>
      <c r="C53">
        <v>398.13</v>
      </c>
      <c r="D53">
        <f t="shared" si="0"/>
        <v>145317.45000000001</v>
      </c>
      <c r="E53">
        <f t="shared" si="1"/>
        <v>145.31745000000001</v>
      </c>
    </row>
    <row r="54" spans="1:5" x14ac:dyDescent="0.35">
      <c r="A54" t="s">
        <v>32</v>
      </c>
      <c r="B54" t="s">
        <v>33</v>
      </c>
      <c r="C54">
        <v>117.8</v>
      </c>
      <c r="D54">
        <f t="shared" si="0"/>
        <v>42997</v>
      </c>
      <c r="E54">
        <f t="shared" si="1"/>
        <v>42.997</v>
      </c>
    </row>
    <row r="55" spans="1:5" x14ac:dyDescent="0.35">
      <c r="A55" t="s">
        <v>32</v>
      </c>
      <c r="B55" t="s">
        <v>34</v>
      </c>
      <c r="C55">
        <v>148.15</v>
      </c>
      <c r="D55">
        <f t="shared" si="0"/>
        <v>54074.75</v>
      </c>
      <c r="E55">
        <f t="shared" si="1"/>
        <v>54.074750000000002</v>
      </c>
    </row>
    <row r="56" spans="1:5" x14ac:dyDescent="0.35">
      <c r="A56" t="s">
        <v>32</v>
      </c>
      <c r="B56" t="s">
        <v>46</v>
      </c>
      <c r="C56">
        <v>27.38</v>
      </c>
      <c r="D56">
        <f t="shared" si="0"/>
        <v>9993.6999999999989</v>
      </c>
      <c r="E56">
        <f t="shared" si="1"/>
        <v>9.9936999999999987</v>
      </c>
    </row>
    <row r="57" spans="1:5" x14ac:dyDescent="0.35">
      <c r="A57" t="s">
        <v>32</v>
      </c>
      <c r="B57" t="s">
        <v>47</v>
      </c>
      <c r="C57">
        <v>497.16</v>
      </c>
      <c r="D57">
        <f t="shared" si="0"/>
        <v>181463.40000000002</v>
      </c>
      <c r="E57">
        <f t="shared" si="1"/>
        <v>181.46340000000004</v>
      </c>
    </row>
    <row r="58" spans="1:5" x14ac:dyDescent="0.35">
      <c r="A58" t="s">
        <v>33</v>
      </c>
      <c r="B58" t="s">
        <v>32</v>
      </c>
      <c r="C58">
        <v>64.819999999999993</v>
      </c>
      <c r="D58">
        <f t="shared" si="0"/>
        <v>23659.3</v>
      </c>
      <c r="E58">
        <f t="shared" si="1"/>
        <v>23.659299999999998</v>
      </c>
    </row>
    <row r="59" spans="1:5" x14ac:dyDescent="0.35">
      <c r="A59" t="s">
        <v>33</v>
      </c>
      <c r="B59" t="s">
        <v>33</v>
      </c>
      <c r="C59">
        <v>53.4</v>
      </c>
      <c r="D59">
        <f t="shared" si="0"/>
        <v>19491</v>
      </c>
      <c r="E59">
        <f t="shared" si="1"/>
        <v>19.491</v>
      </c>
    </row>
    <row r="60" spans="1:5" x14ac:dyDescent="0.35">
      <c r="A60" t="s">
        <v>34</v>
      </c>
      <c r="B60" t="s">
        <v>30</v>
      </c>
      <c r="C60">
        <v>50.3</v>
      </c>
      <c r="D60">
        <f t="shared" si="0"/>
        <v>18359.5</v>
      </c>
      <c r="E60">
        <f t="shared" si="1"/>
        <v>18.359500000000001</v>
      </c>
    </row>
    <row r="61" spans="1:5" x14ac:dyDescent="0.35">
      <c r="A61" t="s">
        <v>34</v>
      </c>
      <c r="B61" t="s">
        <v>32</v>
      </c>
      <c r="C61">
        <v>805.75000000000011</v>
      </c>
      <c r="D61">
        <f t="shared" si="0"/>
        <v>294098.75000000006</v>
      </c>
      <c r="E61">
        <f t="shared" si="1"/>
        <v>294.09875000000005</v>
      </c>
    </row>
    <row r="62" spans="1:5" x14ac:dyDescent="0.35">
      <c r="A62" t="s">
        <v>34</v>
      </c>
      <c r="B62" t="s">
        <v>39</v>
      </c>
      <c r="C62">
        <v>122.2</v>
      </c>
      <c r="D62">
        <f t="shared" si="0"/>
        <v>44603</v>
      </c>
      <c r="E62">
        <f t="shared" si="1"/>
        <v>44.603000000000002</v>
      </c>
    </row>
    <row r="63" spans="1:5" x14ac:dyDescent="0.35">
      <c r="A63" t="s">
        <v>34</v>
      </c>
      <c r="B63" t="s">
        <v>40</v>
      </c>
      <c r="C63">
        <v>16.100000000000001</v>
      </c>
      <c r="D63">
        <f t="shared" si="0"/>
        <v>5876.5000000000009</v>
      </c>
      <c r="E63">
        <f t="shared" si="1"/>
        <v>5.8765000000000009</v>
      </c>
    </row>
    <row r="64" spans="1:5" x14ac:dyDescent="0.35">
      <c r="A64" t="s">
        <v>35</v>
      </c>
      <c r="B64" t="s">
        <v>36</v>
      </c>
      <c r="C64">
        <v>67.599999999999994</v>
      </c>
      <c r="D64">
        <f t="shared" si="0"/>
        <v>24673.999999999996</v>
      </c>
      <c r="E64">
        <f t="shared" si="1"/>
        <v>24.673999999999996</v>
      </c>
    </row>
    <row r="65" spans="1:5" x14ac:dyDescent="0.35">
      <c r="A65" t="s">
        <v>35</v>
      </c>
      <c r="B65" t="s">
        <v>41</v>
      </c>
      <c r="C65">
        <v>114.2</v>
      </c>
      <c r="D65">
        <f t="shared" si="0"/>
        <v>41683</v>
      </c>
      <c r="E65">
        <f t="shared" si="1"/>
        <v>41.683</v>
      </c>
    </row>
    <row r="66" spans="1:5" x14ac:dyDescent="0.35">
      <c r="A66" t="s">
        <v>36</v>
      </c>
      <c r="B66" t="s">
        <v>35</v>
      </c>
      <c r="C66">
        <v>65.099999999999994</v>
      </c>
      <c r="D66">
        <f t="shared" si="0"/>
        <v>23761.499999999996</v>
      </c>
      <c r="E66">
        <f t="shared" si="1"/>
        <v>23.761499999999998</v>
      </c>
    </row>
    <row r="67" spans="1:5" x14ac:dyDescent="0.35">
      <c r="A67" t="s">
        <v>36</v>
      </c>
      <c r="B67" t="s">
        <v>41</v>
      </c>
      <c r="C67">
        <v>85</v>
      </c>
      <c r="D67">
        <f t="shared" ref="D67:D90" si="2">C67*365</f>
        <v>31025</v>
      </c>
      <c r="E67">
        <f t="shared" ref="E67:E90" si="3">D67/1000</f>
        <v>31.024999999999999</v>
      </c>
    </row>
    <row r="68" spans="1:5" x14ac:dyDescent="0.35">
      <c r="A68" t="s">
        <v>37</v>
      </c>
      <c r="B68" t="s">
        <v>25</v>
      </c>
      <c r="C68">
        <v>224.4</v>
      </c>
      <c r="D68">
        <f t="shared" si="2"/>
        <v>81906</v>
      </c>
      <c r="E68">
        <f t="shared" si="3"/>
        <v>81.906000000000006</v>
      </c>
    </row>
    <row r="69" spans="1:5" x14ac:dyDescent="0.35">
      <c r="A69" t="s">
        <v>37</v>
      </c>
      <c r="B69" t="s">
        <v>38</v>
      </c>
      <c r="C69">
        <v>144</v>
      </c>
      <c r="D69">
        <f t="shared" si="2"/>
        <v>52560</v>
      </c>
      <c r="E69">
        <f t="shared" si="3"/>
        <v>52.56</v>
      </c>
    </row>
    <row r="70" spans="1:5" x14ac:dyDescent="0.35">
      <c r="A70" t="s">
        <v>38</v>
      </c>
      <c r="B70" t="s">
        <v>37</v>
      </c>
      <c r="C70">
        <v>80</v>
      </c>
      <c r="D70">
        <f t="shared" si="2"/>
        <v>29200</v>
      </c>
      <c r="E70">
        <f t="shared" si="3"/>
        <v>29.2</v>
      </c>
    </row>
    <row r="71" spans="1:5" x14ac:dyDescent="0.35">
      <c r="A71" t="s">
        <v>39</v>
      </c>
      <c r="B71" t="s">
        <v>27</v>
      </c>
      <c r="C71">
        <v>135.6</v>
      </c>
      <c r="D71">
        <f t="shared" si="2"/>
        <v>49494</v>
      </c>
      <c r="E71">
        <f t="shared" si="3"/>
        <v>49.494</v>
      </c>
    </row>
    <row r="72" spans="1:5" x14ac:dyDescent="0.35">
      <c r="A72" t="s">
        <v>39</v>
      </c>
      <c r="B72" t="s">
        <v>29</v>
      </c>
      <c r="C72">
        <v>2277.6</v>
      </c>
      <c r="D72">
        <f t="shared" si="2"/>
        <v>831324</v>
      </c>
      <c r="E72">
        <f t="shared" si="3"/>
        <v>831.32399999999996</v>
      </c>
    </row>
    <row r="73" spans="1:5" x14ac:dyDescent="0.35">
      <c r="A73" t="s">
        <v>39</v>
      </c>
      <c r="B73" t="s">
        <v>30</v>
      </c>
      <c r="C73">
        <v>515.6</v>
      </c>
      <c r="D73">
        <f t="shared" si="2"/>
        <v>188194</v>
      </c>
      <c r="E73">
        <f t="shared" si="3"/>
        <v>188.19399999999999</v>
      </c>
    </row>
    <row r="74" spans="1:5" x14ac:dyDescent="0.35">
      <c r="A74" t="s">
        <v>39</v>
      </c>
      <c r="B74" t="s">
        <v>34</v>
      </c>
      <c r="C74">
        <v>1163.4000000000001</v>
      </c>
      <c r="D74">
        <f t="shared" si="2"/>
        <v>424641.00000000006</v>
      </c>
      <c r="E74">
        <f t="shared" si="3"/>
        <v>424.64100000000008</v>
      </c>
    </row>
    <row r="75" spans="1:5" x14ac:dyDescent="0.35">
      <c r="A75" t="s">
        <v>40</v>
      </c>
      <c r="B75" t="s">
        <v>34</v>
      </c>
      <c r="C75">
        <v>2.2000000000000002</v>
      </c>
      <c r="D75">
        <f t="shared" si="2"/>
        <v>803.00000000000011</v>
      </c>
      <c r="E75">
        <f t="shared" si="3"/>
        <v>0.80300000000000016</v>
      </c>
    </row>
    <row r="76" spans="1:5" x14ac:dyDescent="0.35">
      <c r="A76" t="s">
        <v>41</v>
      </c>
      <c r="B76" t="s">
        <v>19</v>
      </c>
      <c r="C76">
        <v>1742</v>
      </c>
      <c r="D76">
        <f t="shared" si="2"/>
        <v>635830</v>
      </c>
      <c r="E76">
        <f t="shared" si="3"/>
        <v>635.83000000000004</v>
      </c>
    </row>
    <row r="77" spans="1:5" x14ac:dyDescent="0.35">
      <c r="A77" t="s">
        <v>41</v>
      </c>
      <c r="B77" t="s">
        <v>36</v>
      </c>
      <c r="C77">
        <v>168</v>
      </c>
      <c r="D77">
        <f t="shared" si="2"/>
        <v>61320</v>
      </c>
      <c r="E77">
        <f t="shared" si="3"/>
        <v>61.32</v>
      </c>
    </row>
    <row r="78" spans="1:5" x14ac:dyDescent="0.35">
      <c r="A78" t="s">
        <v>41</v>
      </c>
      <c r="B78" t="s">
        <v>55</v>
      </c>
      <c r="C78">
        <v>220</v>
      </c>
      <c r="D78">
        <f t="shared" si="2"/>
        <v>80300</v>
      </c>
      <c r="E78">
        <f t="shared" si="3"/>
        <v>80.3</v>
      </c>
    </row>
    <row r="79" spans="1:5" x14ac:dyDescent="0.35">
      <c r="A79" t="s">
        <v>42</v>
      </c>
      <c r="B79" t="s">
        <v>21</v>
      </c>
      <c r="C79">
        <v>487.1</v>
      </c>
      <c r="D79">
        <f t="shared" si="2"/>
        <v>177791.5</v>
      </c>
      <c r="E79">
        <f t="shared" si="3"/>
        <v>177.79150000000001</v>
      </c>
    </row>
    <row r="80" spans="1:5" x14ac:dyDescent="0.35">
      <c r="A80" t="s">
        <v>47</v>
      </c>
      <c r="B80" t="s">
        <v>32</v>
      </c>
      <c r="C80">
        <v>576.03</v>
      </c>
      <c r="D80">
        <f t="shared" si="2"/>
        <v>210250.94999999998</v>
      </c>
      <c r="E80">
        <f t="shared" si="3"/>
        <v>210.25094999999999</v>
      </c>
    </row>
    <row r="81" spans="1:5" x14ac:dyDescent="0.35">
      <c r="A81" t="s">
        <v>47</v>
      </c>
      <c r="B81" t="s">
        <v>33</v>
      </c>
      <c r="C81">
        <v>398.6</v>
      </c>
      <c r="D81">
        <f t="shared" si="2"/>
        <v>145489</v>
      </c>
      <c r="E81">
        <f t="shared" si="3"/>
        <v>145.489</v>
      </c>
    </row>
    <row r="82" spans="1:5" x14ac:dyDescent="0.35">
      <c r="A82" t="s">
        <v>49</v>
      </c>
      <c r="B82" t="s">
        <v>11</v>
      </c>
      <c r="C82">
        <v>1499.1</v>
      </c>
      <c r="D82">
        <f t="shared" si="2"/>
        <v>547171.5</v>
      </c>
      <c r="E82">
        <f t="shared" si="3"/>
        <v>547.17150000000004</v>
      </c>
    </row>
    <row r="83" spans="1:5" x14ac:dyDescent="0.35">
      <c r="A83" t="s">
        <v>49</v>
      </c>
      <c r="B83" t="s">
        <v>17</v>
      </c>
      <c r="C83">
        <v>488</v>
      </c>
      <c r="D83">
        <f t="shared" si="2"/>
        <v>178120</v>
      </c>
      <c r="E83">
        <f t="shared" si="3"/>
        <v>178.12</v>
      </c>
    </row>
    <row r="84" spans="1:5" x14ac:dyDescent="0.35">
      <c r="A84" t="s">
        <v>49</v>
      </c>
      <c r="B84" t="s">
        <v>19</v>
      </c>
      <c r="C84">
        <v>2210.5639999999999</v>
      </c>
      <c r="D84">
        <f t="shared" si="2"/>
        <v>806855.86</v>
      </c>
      <c r="E84">
        <f t="shared" si="3"/>
        <v>806.85586000000001</v>
      </c>
    </row>
    <row r="85" spans="1:5" x14ac:dyDescent="0.35">
      <c r="A85" t="s">
        <v>49</v>
      </c>
      <c r="B85" t="s">
        <v>25</v>
      </c>
      <c r="C85">
        <v>570</v>
      </c>
      <c r="D85">
        <f t="shared" si="2"/>
        <v>208050</v>
      </c>
      <c r="E85">
        <f t="shared" si="3"/>
        <v>208.05</v>
      </c>
    </row>
    <row r="86" spans="1:5" x14ac:dyDescent="0.35">
      <c r="A86" t="s">
        <v>50</v>
      </c>
      <c r="B86" t="s">
        <v>37</v>
      </c>
      <c r="C86">
        <v>731.7</v>
      </c>
      <c r="D86">
        <f t="shared" si="2"/>
        <v>267070.5</v>
      </c>
      <c r="E86">
        <f t="shared" si="3"/>
        <v>267.07049999999998</v>
      </c>
    </row>
    <row r="87" spans="1:5" x14ac:dyDescent="0.35">
      <c r="A87" t="s">
        <v>51</v>
      </c>
      <c r="B87" t="s">
        <v>21</v>
      </c>
      <c r="C87">
        <v>1138.0999999999999</v>
      </c>
      <c r="D87">
        <f t="shared" si="2"/>
        <v>415406.49999999994</v>
      </c>
      <c r="E87">
        <f t="shared" si="3"/>
        <v>415.40649999999994</v>
      </c>
    </row>
    <row r="88" spans="1:5" x14ac:dyDescent="0.35">
      <c r="A88" t="s">
        <v>52</v>
      </c>
      <c r="B88" t="s">
        <v>21</v>
      </c>
      <c r="C88">
        <v>475.8</v>
      </c>
      <c r="D88">
        <f t="shared" si="2"/>
        <v>173667</v>
      </c>
      <c r="E88">
        <f t="shared" si="3"/>
        <v>173.667</v>
      </c>
    </row>
    <row r="89" spans="1:5" x14ac:dyDescent="0.35">
      <c r="A89" t="s">
        <v>53</v>
      </c>
      <c r="B89" t="s">
        <v>27</v>
      </c>
      <c r="C89">
        <v>1203.4999999999998</v>
      </c>
      <c r="D89">
        <f t="shared" si="2"/>
        <v>439277.49999999994</v>
      </c>
      <c r="E89">
        <f t="shared" si="3"/>
        <v>439.27749999999992</v>
      </c>
    </row>
    <row r="90" spans="1:5" x14ac:dyDescent="0.35">
      <c r="A90" t="s">
        <v>53</v>
      </c>
      <c r="B90" t="s">
        <v>35</v>
      </c>
      <c r="C90">
        <v>325.39999999999998</v>
      </c>
      <c r="D90">
        <f t="shared" si="2"/>
        <v>118770.99999999999</v>
      </c>
      <c r="E90">
        <f t="shared" si="3"/>
        <v>118.77099999999999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8F6DC53-AE01-4DBE-BF9B-43427CD51EF0}">
  <dimension ref="A1:F34"/>
  <sheetViews>
    <sheetView tabSelected="1" topLeftCell="A22" workbookViewId="0">
      <selection activeCell="F28" sqref="F28"/>
    </sheetView>
  </sheetViews>
  <sheetFormatPr defaultRowHeight="14.5" x14ac:dyDescent="0.35"/>
  <sheetData>
    <row r="1" spans="1:5" x14ac:dyDescent="0.35">
      <c r="A1" t="s">
        <v>94</v>
      </c>
      <c r="B1" t="s">
        <v>95</v>
      </c>
      <c r="C1" t="s">
        <v>96</v>
      </c>
      <c r="D1" t="s">
        <v>109</v>
      </c>
      <c r="E1" t="s">
        <v>110</v>
      </c>
    </row>
    <row r="2" spans="1:5" x14ac:dyDescent="0.35">
      <c r="A2" t="s">
        <v>41</v>
      </c>
      <c r="B2" t="s">
        <v>39</v>
      </c>
      <c r="C2">
        <v>1334</v>
      </c>
      <c r="D2">
        <f>C2*365</f>
        <v>486910</v>
      </c>
      <c r="E2">
        <f>D2/1000</f>
        <v>486.91</v>
      </c>
    </row>
    <row r="3" spans="1:5" x14ac:dyDescent="0.35">
      <c r="A3" t="s">
        <v>98</v>
      </c>
      <c r="B3" t="s">
        <v>99</v>
      </c>
      <c r="C3">
        <v>395</v>
      </c>
      <c r="D3">
        <f t="shared" ref="D3:D28" si="0">C3*365</f>
        <v>144175</v>
      </c>
      <c r="E3">
        <f t="shared" ref="E3:E28" si="1">D3/1000</f>
        <v>144.17500000000001</v>
      </c>
    </row>
    <row r="4" spans="1:5" x14ac:dyDescent="0.35">
      <c r="A4" t="s">
        <v>39</v>
      </c>
      <c r="B4" t="s">
        <v>27</v>
      </c>
      <c r="C4">
        <v>135.6</v>
      </c>
      <c r="D4">
        <f t="shared" si="0"/>
        <v>49494</v>
      </c>
      <c r="E4">
        <f t="shared" si="1"/>
        <v>49.494</v>
      </c>
    </row>
    <row r="5" spans="1:5" x14ac:dyDescent="0.35">
      <c r="A5" t="s">
        <v>39</v>
      </c>
      <c r="B5" t="s">
        <v>29</v>
      </c>
      <c r="C5">
        <f>1799+436.8</f>
        <v>2235.8000000000002</v>
      </c>
      <c r="D5">
        <f t="shared" si="0"/>
        <v>816067.00000000012</v>
      </c>
      <c r="E5">
        <f t="shared" si="1"/>
        <v>816.06700000000012</v>
      </c>
    </row>
    <row r="6" spans="1:5" x14ac:dyDescent="0.35">
      <c r="A6" t="s">
        <v>39</v>
      </c>
      <c r="B6" t="s">
        <v>30</v>
      </c>
      <c r="C6">
        <v>517.5</v>
      </c>
      <c r="D6">
        <f t="shared" si="0"/>
        <v>188887.5</v>
      </c>
      <c r="E6">
        <f t="shared" si="1"/>
        <v>188.88749999999999</v>
      </c>
    </row>
    <row r="7" spans="1:5" x14ac:dyDescent="0.35">
      <c r="A7" t="s">
        <v>31</v>
      </c>
      <c r="B7" t="s">
        <v>30</v>
      </c>
      <c r="C7">
        <v>245.8</v>
      </c>
      <c r="D7">
        <f t="shared" si="0"/>
        <v>89717</v>
      </c>
      <c r="E7">
        <f t="shared" si="1"/>
        <v>89.716999999999999</v>
      </c>
    </row>
    <row r="8" spans="1:5" x14ac:dyDescent="0.35">
      <c r="A8" t="s">
        <v>32</v>
      </c>
      <c r="B8" t="s">
        <v>31</v>
      </c>
      <c r="C8">
        <v>467.5</v>
      </c>
      <c r="D8">
        <f t="shared" si="0"/>
        <v>170637.5</v>
      </c>
      <c r="E8">
        <f t="shared" si="1"/>
        <v>170.63749999999999</v>
      </c>
    </row>
    <row r="9" spans="1:5" x14ac:dyDescent="0.35">
      <c r="A9" t="s">
        <v>32</v>
      </c>
      <c r="B9" t="s">
        <v>46</v>
      </c>
      <c r="C9">
        <v>33.380000000000003</v>
      </c>
      <c r="D9">
        <f t="shared" si="0"/>
        <v>12183.7</v>
      </c>
      <c r="E9">
        <f t="shared" si="1"/>
        <v>12.1837</v>
      </c>
    </row>
    <row r="10" spans="1:5" x14ac:dyDescent="0.35">
      <c r="A10" t="s">
        <v>47</v>
      </c>
      <c r="B10" t="s">
        <v>32</v>
      </c>
      <c r="C10">
        <v>701.8</v>
      </c>
      <c r="D10">
        <f t="shared" si="0"/>
        <v>256156.99999999997</v>
      </c>
      <c r="E10">
        <f t="shared" si="1"/>
        <v>256.15699999999998</v>
      </c>
    </row>
    <row r="11" spans="1:5" x14ac:dyDescent="0.35">
      <c r="A11" t="s">
        <v>41</v>
      </c>
      <c r="B11" t="s">
        <v>36</v>
      </c>
      <c r="C11">
        <v>168</v>
      </c>
      <c r="D11">
        <f t="shared" si="0"/>
        <v>61320</v>
      </c>
      <c r="E11">
        <f t="shared" si="1"/>
        <v>61.32</v>
      </c>
    </row>
    <row r="12" spans="1:5" x14ac:dyDescent="0.35">
      <c r="A12" t="s">
        <v>41</v>
      </c>
      <c r="B12" t="s">
        <v>55</v>
      </c>
      <c r="C12">
        <v>220</v>
      </c>
      <c r="D12">
        <f t="shared" si="0"/>
        <v>80300</v>
      </c>
      <c r="E12">
        <f t="shared" si="1"/>
        <v>80.3</v>
      </c>
    </row>
    <row r="13" spans="1:5" x14ac:dyDescent="0.35">
      <c r="A13" t="s">
        <v>52</v>
      </c>
      <c r="B13" t="s">
        <v>21</v>
      </c>
      <c r="C13">
        <v>493.7</v>
      </c>
      <c r="D13">
        <f t="shared" si="0"/>
        <v>180200.5</v>
      </c>
      <c r="E13">
        <f t="shared" si="1"/>
        <v>180.20050000000001</v>
      </c>
    </row>
    <row r="14" spans="1:5" x14ac:dyDescent="0.35">
      <c r="A14" t="s">
        <v>51</v>
      </c>
      <c r="B14" t="s">
        <v>21</v>
      </c>
      <c r="C14">
        <v>1154</v>
      </c>
      <c r="D14">
        <f t="shared" si="0"/>
        <v>421210</v>
      </c>
      <c r="E14">
        <f t="shared" si="1"/>
        <v>421.21</v>
      </c>
    </row>
    <row r="15" spans="1:5" x14ac:dyDescent="0.35">
      <c r="A15" t="s">
        <v>50</v>
      </c>
      <c r="B15" t="s">
        <v>37</v>
      </c>
      <c r="C15">
        <v>337.1</v>
      </c>
      <c r="D15">
        <f t="shared" si="0"/>
        <v>123041.50000000001</v>
      </c>
      <c r="E15">
        <f t="shared" si="1"/>
        <v>123.04150000000001</v>
      </c>
    </row>
    <row r="16" spans="1:5" x14ac:dyDescent="0.35">
      <c r="A16" t="s">
        <v>100</v>
      </c>
      <c r="B16" t="s">
        <v>37</v>
      </c>
      <c r="C16">
        <v>442.8</v>
      </c>
      <c r="D16">
        <f t="shared" si="0"/>
        <v>161622</v>
      </c>
      <c r="E16">
        <f t="shared" si="1"/>
        <v>161.62200000000001</v>
      </c>
    </row>
    <row r="17" spans="1:6" x14ac:dyDescent="0.35">
      <c r="A17" t="s">
        <v>49</v>
      </c>
      <c r="B17" t="s">
        <v>19</v>
      </c>
      <c r="C17">
        <v>1247</v>
      </c>
      <c r="D17">
        <f t="shared" si="0"/>
        <v>455155</v>
      </c>
      <c r="E17">
        <f t="shared" si="1"/>
        <v>455.15499999999997</v>
      </c>
    </row>
    <row r="18" spans="1:6" x14ac:dyDescent="0.35">
      <c r="A18" t="s">
        <v>49</v>
      </c>
      <c r="B18" t="s">
        <v>18</v>
      </c>
      <c r="C18">
        <v>963.6</v>
      </c>
      <c r="D18">
        <f t="shared" si="0"/>
        <v>351714</v>
      </c>
      <c r="E18">
        <f t="shared" si="1"/>
        <v>351.714</v>
      </c>
    </row>
    <row r="19" spans="1:6" x14ac:dyDescent="0.35">
      <c r="A19" t="s">
        <v>49</v>
      </c>
      <c r="B19" t="s">
        <v>17</v>
      </c>
      <c r="C19">
        <v>459.6</v>
      </c>
      <c r="D19">
        <f t="shared" si="0"/>
        <v>167754</v>
      </c>
      <c r="E19">
        <f t="shared" si="1"/>
        <v>167.75399999999999</v>
      </c>
    </row>
    <row r="20" spans="1:6" x14ac:dyDescent="0.35">
      <c r="A20" t="s">
        <v>49</v>
      </c>
      <c r="B20" t="s">
        <v>25</v>
      </c>
      <c r="C20">
        <v>568.5</v>
      </c>
      <c r="D20">
        <f t="shared" si="0"/>
        <v>207502.5</v>
      </c>
      <c r="E20">
        <f t="shared" si="1"/>
        <v>207.5025</v>
      </c>
    </row>
    <row r="21" spans="1:6" x14ac:dyDescent="0.35">
      <c r="A21" t="s">
        <v>49</v>
      </c>
      <c r="B21" t="s">
        <v>11</v>
      </c>
      <c r="C21">
        <v>1406</v>
      </c>
      <c r="D21">
        <f t="shared" si="0"/>
        <v>513190</v>
      </c>
      <c r="E21">
        <f t="shared" si="1"/>
        <v>513.19000000000005</v>
      </c>
    </row>
    <row r="22" spans="1:6" x14ac:dyDescent="0.35">
      <c r="A22" t="s">
        <v>11</v>
      </c>
      <c r="B22" t="s">
        <v>101</v>
      </c>
      <c r="C22">
        <v>385</v>
      </c>
      <c r="D22">
        <f t="shared" si="0"/>
        <v>140525</v>
      </c>
      <c r="E22">
        <f t="shared" si="1"/>
        <v>140.52500000000001</v>
      </c>
    </row>
    <row r="23" spans="1:6" x14ac:dyDescent="0.35">
      <c r="A23" t="s">
        <v>11</v>
      </c>
      <c r="B23" t="s">
        <v>17</v>
      </c>
      <c r="C23">
        <v>227.2</v>
      </c>
      <c r="D23">
        <f t="shared" si="0"/>
        <v>82928</v>
      </c>
      <c r="E23">
        <f t="shared" si="1"/>
        <v>82.927999999999997</v>
      </c>
    </row>
    <row r="24" spans="1:6" x14ac:dyDescent="0.35">
      <c r="A24" t="s">
        <v>11</v>
      </c>
      <c r="B24" t="s">
        <v>18</v>
      </c>
      <c r="C24">
        <v>184.8</v>
      </c>
      <c r="D24">
        <f t="shared" si="0"/>
        <v>67452</v>
      </c>
      <c r="E24">
        <f t="shared" si="1"/>
        <v>67.451999999999998</v>
      </c>
    </row>
    <row r="25" spans="1:6" x14ac:dyDescent="0.35">
      <c r="A25" t="s">
        <v>42</v>
      </c>
      <c r="B25" t="s">
        <v>21</v>
      </c>
      <c r="C25">
        <v>549.9</v>
      </c>
      <c r="D25">
        <f t="shared" si="0"/>
        <v>200713.5</v>
      </c>
      <c r="E25">
        <f t="shared" si="1"/>
        <v>200.71350000000001</v>
      </c>
    </row>
    <row r="26" spans="1:6" x14ac:dyDescent="0.35">
      <c r="A26" t="s">
        <v>33</v>
      </c>
      <c r="B26" t="s">
        <v>42</v>
      </c>
      <c r="C26">
        <v>549.9</v>
      </c>
      <c r="D26">
        <f t="shared" si="0"/>
        <v>200713.5</v>
      </c>
      <c r="E26">
        <f t="shared" si="1"/>
        <v>200.71350000000001</v>
      </c>
    </row>
    <row r="27" spans="1:6" x14ac:dyDescent="0.35">
      <c r="A27" t="s">
        <v>99</v>
      </c>
      <c r="B27" t="s">
        <v>33</v>
      </c>
      <c r="C27">
        <v>395</v>
      </c>
      <c r="D27">
        <f t="shared" si="0"/>
        <v>144175</v>
      </c>
      <c r="E27">
        <f t="shared" si="1"/>
        <v>144.17500000000001</v>
      </c>
    </row>
    <row r="28" spans="1:6" x14ac:dyDescent="0.35">
      <c r="A28" t="s">
        <v>50</v>
      </c>
      <c r="B28" t="s">
        <v>100</v>
      </c>
      <c r="C28">
        <f>C15</f>
        <v>337.1</v>
      </c>
      <c r="D28">
        <f t="shared" si="0"/>
        <v>123041.50000000001</v>
      </c>
      <c r="E28">
        <f t="shared" si="1"/>
        <v>123.04150000000001</v>
      </c>
      <c r="F28" t="s">
        <v>127</v>
      </c>
    </row>
    <row r="30" spans="1:6" x14ac:dyDescent="0.35">
      <c r="A30" t="s">
        <v>49</v>
      </c>
      <c r="B30" t="s">
        <v>26</v>
      </c>
      <c r="C30">
        <v>321.89999999999998</v>
      </c>
      <c r="E30" t="s">
        <v>102</v>
      </c>
    </row>
    <row r="31" spans="1:6" x14ac:dyDescent="0.35">
      <c r="A31" t="s">
        <v>26</v>
      </c>
      <c r="B31" t="s">
        <v>27</v>
      </c>
      <c r="C31">
        <v>321.89999999999998</v>
      </c>
      <c r="E31" t="s">
        <v>102</v>
      </c>
    </row>
    <row r="34" spans="1:1" x14ac:dyDescent="0.35">
      <c r="A34" t="s">
        <v>97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nodes_lng</vt:lpstr>
      <vt:lpstr>nodes_gas_prod</vt:lpstr>
      <vt:lpstr>nodes_demand</vt:lpstr>
      <vt:lpstr>Connections</vt:lpstr>
      <vt:lpstr>Import_Connections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Johannes Felipe Giehl</dc:creator>
  <cp:lastModifiedBy>Johannes Felipe Giehl</cp:lastModifiedBy>
  <dcterms:created xsi:type="dcterms:W3CDTF">2015-06-05T18:19:34Z</dcterms:created>
  <dcterms:modified xsi:type="dcterms:W3CDTF">2024-03-16T12:00:18Z</dcterms:modified>
</cp:coreProperties>
</file>