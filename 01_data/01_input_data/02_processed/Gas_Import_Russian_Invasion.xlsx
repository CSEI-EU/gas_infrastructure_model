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C8EC2038-C6D4-4C86-BAE9-F1B63CC72F4B}" xr6:coauthVersionLast="47" xr6:coauthVersionMax="47" xr10:uidLastSave="{00000000-0000-0000-0000-000000000000}"/>
  <bookViews>
    <workbookView xWindow="-110" yWindow="-110" windowWidth="19420" windowHeight="10300" firstSheet="6" activeTab="8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" i="9" l="1"/>
  <c r="E84" i="9"/>
  <c r="E85" i="9"/>
  <c r="E86" i="9"/>
  <c r="E82" i="9"/>
  <c r="G82" i="9"/>
  <c r="G83" i="9"/>
  <c r="G84" i="9"/>
  <c r="G85" i="9"/>
  <c r="G86" i="9"/>
  <c r="E73" i="9"/>
  <c r="E77" i="9"/>
  <c r="E78" i="9"/>
  <c r="E71" i="9"/>
  <c r="E72" i="9"/>
  <c r="E74" i="9"/>
  <c r="E75" i="9"/>
  <c r="E76" i="9"/>
  <c r="E79" i="9"/>
  <c r="E80" i="9"/>
  <c r="E81" i="9"/>
  <c r="G71" i="9"/>
  <c r="G72" i="9"/>
  <c r="G73" i="9"/>
  <c r="G74" i="9"/>
  <c r="G75" i="9"/>
  <c r="G76" i="9"/>
  <c r="G77" i="9"/>
  <c r="G78" i="9"/>
  <c r="G79" i="9"/>
  <c r="G80" i="9"/>
  <c r="G81" i="9"/>
  <c r="E70" i="9"/>
  <c r="G70" i="9"/>
  <c r="G31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C70" i="3"/>
  <c r="C70" i="6"/>
  <c r="C44" i="3"/>
  <c r="C59" i="7"/>
  <c r="E78" i="6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C77" i="3"/>
  <c r="C65" i="2"/>
  <c r="C64" i="7"/>
  <c r="C67" i="7"/>
  <c r="C68" i="2"/>
  <c r="F54" i="2"/>
  <c r="F57" i="2"/>
  <c r="F59" i="2"/>
  <c r="F61" i="2"/>
  <c r="F62" i="2"/>
  <c r="F63" i="2"/>
  <c r="F64" i="2"/>
  <c r="F65" i="2"/>
  <c r="F67" i="2"/>
  <c r="F68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7" i="7"/>
  <c r="F67" i="7"/>
  <c r="E77" i="6"/>
  <c r="E64" i="9"/>
  <c r="E67" i="9"/>
  <c r="E68" i="9"/>
  <c r="E69" i="9"/>
  <c r="E65" i="9"/>
  <c r="E66" i="9"/>
  <c r="E58" i="9"/>
  <c r="E59" i="9"/>
  <c r="E60" i="9"/>
  <c r="E63" i="9"/>
  <c r="E61" i="9"/>
  <c r="E62" i="9"/>
  <c r="E57" i="9"/>
  <c r="E51" i="9"/>
  <c r="E53" i="9"/>
  <c r="E52" i="9"/>
  <c r="E54" i="9"/>
  <c r="E55" i="9"/>
  <c r="E56" i="9"/>
  <c r="E50" i="9"/>
  <c r="E48" i="9"/>
  <c r="E44" i="9"/>
  <c r="E45" i="9"/>
  <c r="E46" i="9"/>
  <c r="E47" i="9"/>
  <c r="E49" i="9"/>
  <c r="E43" i="9"/>
  <c r="E37" i="9"/>
  <c r="E38" i="9"/>
  <c r="E42" i="9"/>
  <c r="E39" i="9"/>
  <c r="E40" i="9"/>
  <c r="E41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C60" i="2"/>
  <c r="F60" i="2" s="1"/>
  <c r="E66" i="7"/>
  <c r="F66" i="7"/>
  <c r="C64" i="6"/>
  <c r="C64" i="3"/>
  <c r="E76" i="6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C67" i="3"/>
  <c r="C69" i="3" s="1"/>
  <c r="C62" i="3"/>
  <c r="C60" i="3"/>
  <c r="C61" i="3"/>
  <c r="C59" i="3"/>
  <c r="E75" i="6"/>
  <c r="E74" i="6"/>
  <c r="E73" i="6"/>
  <c r="E72" i="6"/>
  <c r="E71" i="6"/>
  <c r="E70" i="6"/>
  <c r="E69" i="6"/>
  <c r="E68" i="6"/>
  <c r="E67" i="6"/>
  <c r="C67" i="6"/>
  <c r="E66" i="6"/>
  <c r="C66" i="6"/>
  <c r="E65" i="6"/>
  <c r="E64" i="6"/>
  <c r="E63" i="6"/>
  <c r="E62" i="6"/>
  <c r="C62" i="6"/>
  <c r="E61" i="6"/>
  <c r="E60" i="6"/>
  <c r="C60" i="6"/>
  <c r="E59" i="6"/>
  <c r="C59" i="6"/>
  <c r="E58" i="6"/>
  <c r="C57" i="7"/>
  <c r="C66" i="2"/>
  <c r="F66" i="2" s="1"/>
  <c r="C65" i="7"/>
  <c r="C55" i="7"/>
  <c r="C54" i="7"/>
  <c r="F54" i="7" s="1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E54" i="7"/>
  <c r="E53" i="7"/>
  <c r="C58" i="2"/>
  <c r="F58" i="2" s="1"/>
  <c r="C56" i="2"/>
  <c r="F56" i="2" s="1"/>
  <c r="C55" i="2"/>
  <c r="F55" i="2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69" i="6" l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E10" i="7"/>
  <c r="F10" i="7" s="1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E40" i="2"/>
  <c r="F40" i="2" s="1"/>
  <c r="F3" i="2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<sst xmlns="http://schemas.openxmlformats.org/spreadsheetml/2006/main" count="1439" uniqueCount="249">
  <si>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</si>
  <si>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</si>
  <si>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</si>
  <si>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</si>
  <si>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</si>
  <si>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</si>
  <si>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</si>
  <si>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</si>
  <si>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</si>
  <si>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</si>
  <si>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</si>
  <si>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</si>
  <si>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</si>
  <si>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</si>
  <si>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</si>
  <si>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</si>
  <si>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</si>
  <si>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</si>
  <si>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</si>
  <si>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</si>
  <si>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</si>
  <si>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</si>
  <si>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</si>
  <si>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</si>
  <si>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</si>
  <si>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</si>
  <si>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</si>
  <si>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</si>
  <si>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</si>
  <si>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</si>
  <si>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</si>
  <si>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</si>
  <si>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</si>
  <si>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</si>
  <si>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</si>
  <si>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</si>
  <si>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</si>
  <si>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</si>
  <si>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</si>
  <si>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</si>
  <si>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</si>
  <si>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</si>
  <si>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</si>
  <si>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</si>
  <si>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</si>
  <si>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</si>
  <si>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</si>
  <si>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</si>
  <si>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</si>
  <si>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</si>
  <si>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</si>
  <si>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</si>
  <si>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</si>
  <si>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</si>
  <si>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</si>
  <si>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</si>
  <si>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</si>
  <si>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</si>
  <si>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</si>
  <si>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</si>
  <si>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</si>
  <si>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</si>
  <si>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</si>
  <si>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</si>
  <si>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</si>
  <si>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</si>
  <si>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</si>
  <si>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</si>
  <si>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</si>
  <si>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</si>
  <si>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</si>
  <si>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</si>
  <si>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</si>
  <si>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</si>
  <si>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</si>
  <si>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</si>
  <si>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</si>
  <si>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</si>
  <si>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</si>
  <si>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</si>
  <si>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</si>
  <si>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</si>
  <si>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</si>
  <si>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</si>
  <si>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</si>
  <si>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</si>
  <si>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</si>
  <si>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</si>
  <si>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</si>
  <si>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</si>
  <si>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</si>
  <si>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</si>
  <si>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</si>
  <si>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</si>
  <si>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</si>
  <si>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</si>
  <si>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</si>
  <si>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</si>
  <si>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</si>
  <si>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</si>
  <si>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</si>
  <si>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</si>
  <si>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</si>
  <si>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</si>
  <si>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</si>
  <si>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</si>
  <si>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</si>
  <si>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</si>
  <si>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</si>
  <si>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</si>
  <si>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</si>
  <si>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</si>
  <si>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</si>
  <si>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</si>
  <si>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</si>
  <si>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</si>
  <si>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</si>
  <si>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</si>
  <si>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</si>
  <si>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</si>
  <si>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</si>
  <si>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</si>
  <si>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</si>
  <si>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</si>
  <si>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</si>
  <si>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</si>
  <si>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</si>
  <si>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</si>
  <si>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</si>
  <si>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</si>
  <si>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</si>
  <si>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</si>
  <si>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</si>
  <si>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</si>
  <si>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</si>
  <si>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</si>
  <si>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</si>
  <si>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</si>
  <si>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</si>
  <si>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</si>
  <si>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</si>
  <si>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</si>
  <si>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</si>
  <si>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</si>
  <si>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</si>
  <si>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</si>
  <si>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</si>
  <si>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</si>
  <si>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</si>
  <si>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</si>
  <si>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</si>
  <si>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</si>
  <si>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</si>
  <si>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</si>
  <si>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</si>
  <si>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</si>
  <si>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</si>
  <si>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</si>
  <si>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</si>
  <si>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</si>
  <si>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</si>
  <si>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</si>
  <si>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</si>
  <si>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</si>
  <si>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</si>
  <si>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</si>
  <si>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</si>
  <si>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</si>
  <si>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</si>
  <si>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</si>
  <si>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</si>
  <si>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</si>
  <si>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</si>
  <si>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</si>
  <si>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</si>
  <si>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</si>
  <si>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</si>
  <si>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</si>
  <si>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</si>
  <si>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</si>
  <si>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</si>
  <si>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</si>
  <si>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</si>
  <si>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</si>
  <si>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</si>
  <si>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</si>
  <si>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</si>
  <si>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</si>
  <si>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</si>
  <si>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</si>
  <si>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</si>
  <si>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</si>
  <si>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</si>
  <si>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</si>
  <si>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</si>
  <si>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</si>
  <si>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</si>
  <si>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</si>
  <si>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</si>
  <si>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</si>
  <si>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</si>
  <si>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</si>
  <si>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</si>
  <si>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</si>
  <si>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</si>
  <si>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</si>
  <si>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to Tokyo</t>
  </si>
  <si>
    <t>to Mumbai</t>
  </si>
  <si>
    <t>to Dalian</t>
  </si>
  <si>
    <t>to Suez</t>
  </si>
  <si>
    <t>to Port Harcourt</t>
  </si>
  <si>
    <t>to Rio</t>
  </si>
  <si>
    <t>to Bangkok</t>
  </si>
  <si>
    <t>BE_LNG</t>
  </si>
  <si>
    <t>FR_LNG</t>
  </si>
  <si>
    <t>GR_LNG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</si>
  <si>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</si>
  <si>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</si>
  <si>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</si>
  <si>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</si>
  <si>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</si>
  <si>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</si>
  <si>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</si>
  <si>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</si>
  <si>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</si>
  <si>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to Zeebrugge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</si>
  <si>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</si>
  <si>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</si>
  <si>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</si>
  <si>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</si>
  <si>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</si>
  <si>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</si>
  <si>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</si>
  <si>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</si>
  <si>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</si>
  <si>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</si>
  <si>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</si>
  <si>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</si>
  <si>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Pembroke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</si>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</sst>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2" xfId="0" applyBorder="1"/>
    <xf numFmtId="0" fontId="0" fillId="4" borderId="6" xfId="0" applyFill="1" applyBorder="1"/>
    <xf numFmtId="0" fontId="0" fillId="0" borderId="0" xfId="0" applyBorder="1"/>
    <xf numFmtId="0" fontId="0" fillId="0" borderId="0" xfId="0" applyNumberFormat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2"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1"/>
    <tableColumn id="5" xr3:uid="{4278F9D8-E46F-44B9-A622-727B8E2C8EF1}" name="Mil m3 EU [2020]" dataDxfId="40"/>
    <tableColumn id="6" xr3:uid="{F2BDB73C-713D-4BC7-B762-048AA072F297}" name="Mrd m3 EU [2020]" dataDxfId="39">
      <calculatedColumnFormula>Table2[[#This Row],[Mil m3 EU '[2020']]]/1000</calculatedColumnFormula>
    </tableColumn>
    <tableColumn id="4" xr3:uid="{5BB2DA97-8C23-44BC-9268-BDBE2BCDBBC8}" name="TWh [2020]" dataDxfId="38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8" totalsRowShown="0" headerRowDxfId="37" headerRowBorderDxfId="36" tableBorderDxfId="35">
  <autoFilter ref="A53:F68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4">
      <calculatedColumnFormula>Table7[[#This Row],[Mil m3 '[2020']]]/1000</calculatedColumnFormula>
    </tableColumn>
    <tableColumn id="6" xr3:uid="{ECFA587C-DE79-4510-9945-328AB8DBC35F}" name="TWh [2020]" dataDxfId="3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2"/>
    <tableColumn id="5" xr3:uid="{42F1A333-D727-4655-B618-A9AB5617745F}" name="Mil m3 EU [2020]" dataDxfId="31"/>
    <tableColumn id="6" xr3:uid="{326B3A9A-70B2-4D34-8E01-54CBBD0565E6}" name="Mrd m3 EU [2020]" dataDxfId="30">
      <calculatedColumnFormula>Table26[[#This Row],[Mil m3 EU '[2020']]]/1000</calculatedColumnFormula>
    </tableColumn>
    <tableColumn id="4" xr3:uid="{DC1916A1-B3CC-4586-AE6D-12CF46A9C0F0}" name="TWh [2020]" dataDxfId="2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28" headerRowBorderDxfId="27" tableBorderDxfId="26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5">
      <calculatedColumnFormula>Table79[[#This Row],[Mil m3 '[2020']]]/1000</calculatedColumnFormula>
    </tableColumn>
    <tableColumn id="6" xr3:uid="{0CF67BB6-4E02-4893-BB83-4858F32AB909}" name="TWh [2020]" dataDxfId="2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3"/>
    <tableColumn id="4" xr3:uid="{1618AAC4-0782-47C3-91CE-2FEB95FBDD58}" name="TWh [2020]" dataDxfId="2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1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20" headerRowBorderDxfId="19" tableBorderDxfId="18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7">
      <calculatedColumnFormula>Table7910[[#This Row],[Mil m3 '[2020']]]/1000</calculatedColumnFormula>
    </tableColumn>
    <tableColumn id="6" xr3:uid="{44160680-3C35-4A7A-9677-B7F78304684A}" name="TWh [2020]" dataDxfId="1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5"/>
    <tableColumn id="4" xr3:uid="{60E83C2D-D521-4D6A-800D-160C3176DFC7}" name="TWh [2023]" dataDxfId="14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12" headerRowBorderDxfId="11" tableBorderDxfId="10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9">
      <calculatedColumnFormula>Table791011[[#This Row],[Mil m3 '[2020']]]/1000</calculatedColumnFormula>
    </tableColumn>
    <tableColumn id="6" xr3:uid="{28EBAF35-966D-44B9-8859-9AC70136DAAC}" name="TWh [2020]" dataDxfId="8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7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6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Table11" displayName="Table11" ref="A1:I86" totalsRowShown="0" headerRowDxfId="5" headerRowBorderDxfId="4" tableBorderDxfId="3" totalsRowBorderDxfId="2">
  <autoFilter ref="A1:I86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">
      <calculatedColumnFormula>Table11[[#This Row],[Distance '[miles']]]*1.60934449789256</calculatedColumnFormula>
    </tableColumn>
    <tableColumn id="9" xr3:uid="{DD9D70F1-D00A-43D9-9F09-037C2573E34A}" name="Suez or Panama" dataDxfId="0"/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opLeftCell="A4" workbookViewId="0">
      <selection activeCell="L15" sqref="L15:L19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8"/>
  <sheetViews>
    <sheetView topLeftCell="A25" workbookViewId="0">
      <selection activeCell="D76" sqref="D76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174</v>
      </c>
      <c r="E53" s="9" t="s">
        <v>175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202</v>
      </c>
      <c r="B55" t="s">
        <v>164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154</v>
      </c>
      <c r="B56" t="s">
        <v>165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155</v>
      </c>
      <c r="B57" t="s">
        <v>166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156</v>
      </c>
      <c r="B58" t="s">
        <v>167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157</v>
      </c>
      <c r="B59" t="s">
        <v>179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158</v>
      </c>
      <c r="B60" t="s">
        <v>168</v>
      </c>
      <c r="C60" s="2">
        <f>231.909048813308-C21-C3-C37-C67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159</v>
      </c>
      <c r="B61" t="s">
        <v>169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160</v>
      </c>
      <c r="B62" t="s">
        <v>170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161</v>
      </c>
      <c r="B63" t="s">
        <v>171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162</v>
      </c>
      <c r="B64" t="s">
        <v>172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163</v>
      </c>
      <c r="B65" t="s">
        <v>173</v>
      </c>
      <c r="C65">
        <f>656.2735508682-C64-C62-C61-C63-C68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176</v>
      </c>
      <c r="B66" t="s">
        <v>177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182</v>
      </c>
      <c r="B67" t="s">
        <v>183</v>
      </c>
      <c r="C67">
        <v>58.465174157714841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571.20475152087397</v>
      </c>
    </row>
    <row r="68" spans="1:6">
      <c r="A68" t="s">
        <v>198</v>
      </c>
      <c r="B68" t="s">
        <v>201</v>
      </c>
      <c r="C68">
        <f>64.6974253845862+73.0927934801951</f>
        <v>137.79021886478131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16" workbookViewId="0">
      <selection activeCell="C44" activeCellId="1" sqref="C53:C67 C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174</v>
      </c>
      <c r="E52" s="9" t="s">
        <v>175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202</v>
      </c>
      <c r="B54" t="s">
        <v>164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179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168</v>
      </c>
      <c r="C59" s="2">
        <f>253.649617284986-C21-C3-C37-C66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169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170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171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172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173</v>
      </c>
      <c r="C64">
        <f>691.83903700697-C63-C61-C60-C62-C67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176</v>
      </c>
      <c r="B65" t="s">
        <v>177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182</v>
      </c>
      <c r="B66" t="s">
        <v>183</v>
      </c>
      <c r="C66">
        <v>57.100413073730465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557.87103573034665</v>
      </c>
    </row>
    <row r="67" spans="1:6">
      <c r="A67" t="s">
        <v>198</v>
      </c>
      <c r="B67" t="s">
        <v>201</v>
      </c>
      <c r="C67">
        <f>64.2640381356325+81.074134147023</f>
        <v>145.33817228265551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opLeftCell="A31" workbookViewId="0">
      <selection activeCell="F77" sqref="F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44" spans="1:6">
      <c r="C44" s="2">
        <f>SUM(Table1[Mrd m3 '[2020']])</f>
        <v>541.77584793709366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'[2020']]])*9.77*(-1)</f>
        <v>-8153.5498638127028</v>
      </c>
    </row>
    <row r="59" spans="1:6">
      <c r="A59" t="s">
        <v>202</v>
      </c>
      <c r="B59" t="s">
        <v>164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'[2020']]])*9.77*(-1)</f>
        <v>-2027.6204220686873</v>
      </c>
    </row>
    <row r="60" spans="1:6">
      <c r="A60" t="s">
        <v>154</v>
      </c>
      <c r="B60" t="s">
        <v>165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'[2020']]])*9.77*(-1)</f>
        <v>-1303.1657124974754</v>
      </c>
    </row>
    <row r="61" spans="1:6">
      <c r="A61" t="s">
        <v>155</v>
      </c>
      <c r="B61" t="s">
        <v>166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'[2020']]])*9.77*(-1)</f>
        <v>-148.36377291714354</v>
      </c>
    </row>
    <row r="62" spans="1:6">
      <c r="A62" t="s">
        <v>156</v>
      </c>
      <c r="B62" t="s">
        <v>167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'[2020']]])*9.77*(-1)</f>
        <v>-5026.5112714781217</v>
      </c>
    </row>
    <row r="63" spans="1:6">
      <c r="A63" t="s">
        <v>157</v>
      </c>
      <c r="B63" t="s">
        <v>179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'[2020']]])*9.77*(-1)</f>
        <v>-375.297303107483</v>
      </c>
    </row>
    <row r="64" spans="1:6">
      <c r="A64" t="s">
        <v>158</v>
      </c>
      <c r="B64" t="s">
        <v>168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'[2020']]])*9.77*(-1)</f>
        <v>-395.18940186607011</v>
      </c>
    </row>
    <row r="65" spans="1:8">
      <c r="A65" t="s">
        <v>159</v>
      </c>
      <c r="B65" t="s">
        <v>169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'[2020']]])*9.77*(-1)</f>
        <v>-413.44041012725421</v>
      </c>
    </row>
    <row r="66" spans="1:8">
      <c r="A66" t="s">
        <v>160</v>
      </c>
      <c r="B66" t="s">
        <v>170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'[2020']]])*9.77*(-1)</f>
        <v>-3288.7505973451316</v>
      </c>
    </row>
    <row r="67" spans="1:8">
      <c r="A67" t="s">
        <v>161</v>
      </c>
      <c r="B67" t="s">
        <v>171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'[2020']]])*9.77*(-1)</f>
        <v>-1579.465226022091</v>
      </c>
    </row>
    <row r="68" spans="1:8">
      <c r="A68" t="s">
        <v>162</v>
      </c>
      <c r="B68" t="s">
        <v>172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'[2020']]])*9.77*(-1)</f>
        <v>-589.71838532941092</v>
      </c>
    </row>
    <row r="69" spans="1:8">
      <c r="A69" t="s">
        <v>163</v>
      </c>
      <c r="B69" t="s">
        <v>173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'[2020']]])*9.77*(-1)</f>
        <v>-1854.2239789296088</v>
      </c>
    </row>
    <row r="70" spans="1:8">
      <c r="A70" t="s">
        <v>176</v>
      </c>
      <c r="B70" t="s">
        <v>177</v>
      </c>
      <c r="C70">
        <f>554.955290969357-423.483407079646-17.7510088495575</f>
        <v>113.72087504015346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'[2020']]])*9.77*(-1)</f>
        <v>-1111.0529491422992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'[2020']]])*9.77*(-1)</f>
        <v>-4137.432887168141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'[2020']]])*9.77*(-1)</f>
        <v>-423.52986637499998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'[2020']]])*9.77*(-1)</f>
        <v>-75.228999999999999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'[2020']]])*9.77*(-1)</f>
        <v>-35.078727272727271</v>
      </c>
    </row>
    <row r="75" spans="1:8">
      <c r="A75" t="s">
        <v>98</v>
      </c>
      <c r="B75" t="s">
        <v>180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'[2020']]])*9.77*(-1)</f>
        <v>-7.6856810427436644</v>
      </c>
    </row>
    <row r="76" spans="1:8">
      <c r="A76" t="s">
        <v>182</v>
      </c>
      <c r="B76" t="s">
        <v>183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'[2020']]])*9.77*(-1)</f>
        <v>-569.66841625963582</v>
      </c>
    </row>
    <row r="77" spans="1:8">
      <c r="A77" t="s">
        <v>198</v>
      </c>
      <c r="B77" t="s">
        <v>201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'[2020']]])*9.77*(-1)</f>
        <v>-842.11728647519499</v>
      </c>
    </row>
    <row r="78" spans="1:8">
      <c r="A78" t="s">
        <v>53</v>
      </c>
      <c r="B78" t="s">
        <v>82</v>
      </c>
      <c r="C78">
        <v>17.7510088495575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'[2020']]])*9.77*(-1)</f>
        <v>-173.42735646017678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34" workbookViewId="0">
      <selection activeCell="F59" sqref="F5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'[2020']]])*9.77*(-1)</f>
        <v>-8660.7846598998185</v>
      </c>
    </row>
    <row r="59" spans="1:6">
      <c r="A59" t="s">
        <v>202</v>
      </c>
      <c r="B59" t="s">
        <v>164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'[2020']]])*9.77*(-1)</f>
        <v>-2132.7907642308792</v>
      </c>
    </row>
    <row r="60" spans="1:6">
      <c r="A60" t="s">
        <v>154</v>
      </c>
      <c r="B60" t="s">
        <v>165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'[2020']]])*9.77*(-1)</f>
        <v>-1438.139604719081</v>
      </c>
    </row>
    <row r="61" spans="1:6">
      <c r="A61" t="s">
        <v>155</v>
      </c>
      <c r="B61" t="s">
        <v>166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'[2020']]])*9.77*(-1)</f>
        <v>-141.70363816030851</v>
      </c>
    </row>
    <row r="62" spans="1:6">
      <c r="A62" t="s">
        <v>156</v>
      </c>
      <c r="B62" t="s">
        <v>167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'[2020']]])*9.77*(-1)</f>
        <v>-5212.4455255534276</v>
      </c>
    </row>
    <row r="63" spans="1:6">
      <c r="A63" t="s">
        <v>157</v>
      </c>
      <c r="B63" t="s">
        <v>179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'[2020']]])*9.77*(-1)</f>
        <v>-431.84687643593901</v>
      </c>
    </row>
    <row r="64" spans="1:6">
      <c r="A64" t="s">
        <v>158</v>
      </c>
      <c r="B64" t="s">
        <v>168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'[2020']]])*9.77*(-1)</f>
        <v>-458.53340662554189</v>
      </c>
    </row>
    <row r="65" spans="1:6">
      <c r="A65" t="s">
        <v>159</v>
      </c>
      <c r="B65" t="s">
        <v>169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'[2020']]])*9.77*(-1)</f>
        <v>-391.98708472127618</v>
      </c>
    </row>
    <row r="66" spans="1:6">
      <c r="A66" t="s">
        <v>160</v>
      </c>
      <c r="B66" t="s">
        <v>170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'[2020']]])*9.77*(-1)</f>
        <v>-4002.6213997252307</v>
      </c>
    </row>
    <row r="67" spans="1:6">
      <c r="A67" t="s">
        <v>161</v>
      </c>
      <c r="B67" t="s">
        <v>171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'[2020']]])*9.77*(-1)</f>
        <v>-1489.8809967005398</v>
      </c>
    </row>
    <row r="68" spans="1:6">
      <c r="A68" t="s">
        <v>162</v>
      </c>
      <c r="B68" t="s">
        <v>172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'[2020']]])*9.77*(-1)</f>
        <v>-611.70270126686103</v>
      </c>
    </row>
    <row r="69" spans="1:6">
      <c r="A69" t="s">
        <v>163</v>
      </c>
      <c r="B69" t="s">
        <v>173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'[2020']]])*9.77*(-1)</f>
        <v>-1748.3915086808172</v>
      </c>
    </row>
    <row r="70" spans="1:6">
      <c r="A70" t="s">
        <v>176</v>
      </c>
      <c r="B70" t="s">
        <v>177</v>
      </c>
      <c r="C70">
        <f>596.017542286885-453.370943952802-16.7840359905841</f>
        <v>125.86256234349892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'[2020']]])*9.77*(-1)</f>
        <v>-1229.6772340959844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'[2020']]])*9.77*(-1)</f>
        <v>-4429.4341224188756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'[2020']]])*9.77*(-1)</f>
        <v>-491.80958750000002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'[2020']]])*9.77*(-1)</f>
        <v>-98.676999999999992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'[2020']]])*9.77*(-1)</f>
        <v>-35.078727272727271</v>
      </c>
    </row>
    <row r="75" spans="1:6">
      <c r="A75" t="s">
        <v>98</v>
      </c>
      <c r="B75" t="s">
        <v>180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'[2020']]])*9.77*(-1)</f>
        <v>-2.1757375189927228</v>
      </c>
    </row>
    <row r="76" spans="1:6">
      <c r="A76" t="s">
        <v>182</v>
      </c>
      <c r="B76" t="s">
        <v>183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'[2020']]])*9.77*(-1)</f>
        <v>-586.63367669240563</v>
      </c>
    </row>
    <row r="77" spans="1:6">
      <c r="A77" t="s">
        <v>198</v>
      </c>
      <c r="B77" t="s">
        <v>201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'[2020']]])*9.77*(-1)</f>
        <v>-894.11611117837549</v>
      </c>
    </row>
    <row r="78" spans="1:6">
      <c r="A78" t="s">
        <v>53</v>
      </c>
      <c r="B78" t="s">
        <v>82</v>
      </c>
      <c r="C78">
        <v>16.784035990584101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'[2020']]])*9.77*(-1)</f>
        <v>-163.98003162800666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202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202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topLeftCell="A82"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202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202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86"/>
  <sheetViews>
    <sheetView tabSelected="1" topLeftCell="A60" workbookViewId="0">
      <selection activeCell="L69" sqref="L69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186</v>
      </c>
      <c r="D1" s="9" t="s">
        <v>107</v>
      </c>
      <c r="E1" s="9" t="s">
        <v>108</v>
      </c>
      <c r="F1" s="9" t="s">
        <v>204</v>
      </c>
      <c r="G1" s="9" t="s">
        <v>203</v>
      </c>
      <c r="H1" s="9" t="s">
        <v>226</v>
      </c>
      <c r="I1" s="9" t="s">
        <v>144</v>
      </c>
      <c r="M1" t="s">
        <v>205</v>
      </c>
    </row>
    <row r="2" spans="1:13">
      <c r="A2" s="6" t="s">
        <v>184</v>
      </c>
      <c r="B2" s="6" t="s">
        <v>185</v>
      </c>
      <c r="C2" s="6"/>
      <c r="D2" s="6"/>
      <c r="E2" s="6">
        <f t="shared" ref="E2:E5" si="0">D2/1000</f>
        <v>0</v>
      </c>
      <c r="F2" s="6"/>
      <c r="G2" s="6">
        <f>Table11[[#This Row],[Distance '[miles']]]*1.60934449789256</f>
        <v>0</v>
      </c>
      <c r="H2" s="6"/>
      <c r="I2" s="6"/>
    </row>
    <row r="3" spans="1:13">
      <c r="A3" s="11" t="s">
        <v>187</v>
      </c>
      <c r="B3" s="11" t="s">
        <v>185</v>
      </c>
      <c r="C3" s="11"/>
      <c r="D3" s="11"/>
      <c r="E3" s="11">
        <f t="shared" si="0"/>
        <v>0</v>
      </c>
      <c r="F3" s="11"/>
      <c r="G3" s="11">
        <f>Table11[[#This Row],[Distance '[miles']]]*1.60934449789256</f>
        <v>0</v>
      </c>
      <c r="H3" s="11"/>
      <c r="I3" s="11"/>
    </row>
    <row r="4" spans="1:13">
      <c r="A4" t="s">
        <v>188</v>
      </c>
      <c r="B4" s="12" t="s">
        <v>185</v>
      </c>
      <c r="C4" s="12"/>
      <c r="D4" s="12"/>
      <c r="E4" s="12">
        <f t="shared" si="0"/>
        <v>0</v>
      </c>
      <c r="F4" s="12"/>
      <c r="G4" s="12">
        <f>Table11[[#This Row],[Distance '[miles']]]*1.60934449789256</f>
        <v>0</v>
      </c>
      <c r="H4" s="12"/>
      <c r="I4" s="12"/>
    </row>
    <row r="5" spans="1:13">
      <c r="A5" t="s">
        <v>189</v>
      </c>
      <c r="B5" t="s">
        <v>185</v>
      </c>
      <c r="E5" s="11">
        <f t="shared" si="0"/>
        <v>0</v>
      </c>
      <c r="F5" s="13"/>
      <c r="G5" s="13">
        <f>Table11[[#This Row],[Distance '[miles']]]*1.60934449789256</f>
        <v>0</v>
      </c>
      <c r="H5" s="13"/>
    </row>
    <row r="6" spans="1:13">
      <c r="A6" t="s">
        <v>190</v>
      </c>
      <c r="B6" t="s">
        <v>185</v>
      </c>
      <c r="E6">
        <f t="shared" ref="E6:E29" si="1">D6/1000</f>
        <v>0</v>
      </c>
      <c r="G6">
        <f>Table11[[#This Row],[Distance '[miles']]]*1.60934449789256</f>
        <v>0</v>
      </c>
    </row>
    <row r="7" spans="1:13">
      <c r="A7" t="s">
        <v>191</v>
      </c>
      <c r="B7" t="s">
        <v>185</v>
      </c>
      <c r="E7">
        <f t="shared" si="1"/>
        <v>0</v>
      </c>
      <c r="G7">
        <f>Table11[[#This Row],[Distance '[miles']]]*1.60934449789256</f>
        <v>0</v>
      </c>
    </row>
    <row r="8" spans="1:13">
      <c r="A8" t="s">
        <v>184</v>
      </c>
      <c r="B8" t="s">
        <v>192</v>
      </c>
      <c r="E8">
        <f t="shared" si="1"/>
        <v>0</v>
      </c>
      <c r="G8">
        <f>Table11[[#This Row],[Distance '[miles']]]*1.60934449789256</f>
        <v>0</v>
      </c>
    </row>
    <row r="9" spans="1:13">
      <c r="A9" t="s">
        <v>184</v>
      </c>
      <c r="B9" t="s">
        <v>190</v>
      </c>
      <c r="E9">
        <f t="shared" si="1"/>
        <v>0</v>
      </c>
      <c r="G9">
        <f>Table11[[#This Row],[Distance '[miles']]]*1.60934449789256</f>
        <v>0</v>
      </c>
    </row>
    <row r="10" spans="1:13">
      <c r="A10" t="s">
        <v>184</v>
      </c>
      <c r="B10" t="s">
        <v>193</v>
      </c>
      <c r="E10">
        <f t="shared" si="1"/>
        <v>0</v>
      </c>
      <c r="G10">
        <f>Table11[[#This Row],[Distance '[miles']]]*1.60934449789256</f>
        <v>0</v>
      </c>
    </row>
    <row r="11" spans="1:13">
      <c r="A11" t="s">
        <v>184</v>
      </c>
      <c r="B11" t="s">
        <v>194</v>
      </c>
      <c r="E11">
        <f t="shared" si="1"/>
        <v>0</v>
      </c>
      <c r="G11">
        <f>Table11[[#This Row],[Distance '[miles']]]*1.60934449789256</f>
        <v>0</v>
      </c>
    </row>
    <row r="12" spans="1:13">
      <c r="A12" t="s">
        <v>184</v>
      </c>
      <c r="B12" t="s">
        <v>195</v>
      </c>
      <c r="E12">
        <f t="shared" si="1"/>
        <v>0</v>
      </c>
      <c r="G12">
        <f>Table11[[#This Row],[Distance '[miles']]]*1.60934449789256</f>
        <v>0</v>
      </c>
    </row>
    <row r="13" spans="1:13">
      <c r="A13" t="s">
        <v>184</v>
      </c>
      <c r="B13" t="s">
        <v>196</v>
      </c>
      <c r="E13">
        <f t="shared" si="1"/>
        <v>0</v>
      </c>
      <c r="G13">
        <f>Table11[[#This Row],[Distance '[miles']]]*1.60934449789256</f>
        <v>0</v>
      </c>
    </row>
    <row r="14" spans="1:13">
      <c r="A14" t="s">
        <v>184</v>
      </c>
      <c r="B14" t="s">
        <v>197</v>
      </c>
      <c r="E14">
        <f t="shared" si="1"/>
        <v>0</v>
      </c>
      <c r="G14">
        <f>Table11[[#This Row],[Distance '[miles']]]*1.60934449789256</f>
        <v>0</v>
      </c>
    </row>
    <row r="15" spans="1:13">
      <c r="A15" t="s">
        <v>187</v>
      </c>
      <c r="B15" t="s">
        <v>192</v>
      </c>
      <c r="E15">
        <f t="shared" si="1"/>
        <v>0</v>
      </c>
      <c r="G15">
        <f>Table11[[#This Row],[Distance '[miles']]]*1.60934449789256</f>
        <v>0</v>
      </c>
    </row>
    <row r="16" spans="1:13">
      <c r="A16" t="s">
        <v>187</v>
      </c>
      <c r="B16" t="s">
        <v>190</v>
      </c>
      <c r="E16">
        <f t="shared" si="1"/>
        <v>0</v>
      </c>
      <c r="G16">
        <f>Table11[[#This Row],[Distance '[miles']]]*1.60934449789256</f>
        <v>0</v>
      </c>
    </row>
    <row r="17" spans="1:9">
      <c r="A17" t="s">
        <v>187</v>
      </c>
      <c r="B17" t="s">
        <v>193</v>
      </c>
      <c r="E17">
        <f t="shared" si="1"/>
        <v>0</v>
      </c>
      <c r="G17">
        <f>Table11[[#This Row],[Distance '[miles']]]*1.60934449789256</f>
        <v>0</v>
      </c>
    </row>
    <row r="18" spans="1:9">
      <c r="A18" t="s">
        <v>187</v>
      </c>
      <c r="B18" t="s">
        <v>194</v>
      </c>
      <c r="E18">
        <f t="shared" si="1"/>
        <v>0</v>
      </c>
      <c r="G18">
        <f>Table11[[#This Row],[Distance '[miles']]]*1.60934449789256</f>
        <v>0</v>
      </c>
    </row>
    <row r="19" spans="1:9">
      <c r="A19" t="s">
        <v>187</v>
      </c>
      <c r="B19" t="s">
        <v>195</v>
      </c>
      <c r="E19">
        <f t="shared" si="1"/>
        <v>0</v>
      </c>
      <c r="G19">
        <f>Table11[[#This Row],[Distance '[miles']]]*1.60934449789256</f>
        <v>0</v>
      </c>
    </row>
    <row r="20" spans="1:9">
      <c r="A20" t="s">
        <v>187</v>
      </c>
      <c r="B20" t="s">
        <v>196</v>
      </c>
      <c r="E20">
        <f t="shared" si="1"/>
        <v>0</v>
      </c>
      <c r="G20">
        <f>Table11[[#This Row],[Distance '[miles']]]*1.60934449789256</f>
        <v>0</v>
      </c>
    </row>
    <row r="21" spans="1:9">
      <c r="A21" t="s">
        <v>187</v>
      </c>
      <c r="B21" t="s">
        <v>197</v>
      </c>
      <c r="E21">
        <f t="shared" si="1"/>
        <v>0</v>
      </c>
      <c r="G21">
        <f>Table11[[#This Row],[Distance '[miles']]]*1.60934449789256</f>
        <v>0</v>
      </c>
    </row>
    <row r="22" spans="1:9">
      <c r="A22" t="s">
        <v>188</v>
      </c>
      <c r="B22" t="s">
        <v>192</v>
      </c>
      <c r="E22">
        <f t="shared" si="1"/>
        <v>0</v>
      </c>
      <c r="G22">
        <f>Table11[[#This Row],[Distance '[miles']]]*1.60934449789256</f>
        <v>0</v>
      </c>
    </row>
    <row r="23" spans="1:9">
      <c r="A23" t="s">
        <v>188</v>
      </c>
      <c r="B23" t="s">
        <v>190</v>
      </c>
      <c r="E23">
        <f t="shared" si="1"/>
        <v>0</v>
      </c>
      <c r="G23">
        <f>Table11[[#This Row],[Distance '[miles']]]*1.60934449789256</f>
        <v>0</v>
      </c>
    </row>
    <row r="24" spans="1:9">
      <c r="A24" t="s">
        <v>188</v>
      </c>
      <c r="B24" t="s">
        <v>193</v>
      </c>
      <c r="E24">
        <f t="shared" si="1"/>
        <v>0</v>
      </c>
      <c r="G24">
        <f>Table11[[#This Row],[Distance '[miles']]]*1.60934449789256</f>
        <v>0</v>
      </c>
    </row>
    <row r="25" spans="1:9">
      <c r="A25" t="s">
        <v>188</v>
      </c>
      <c r="B25" t="s">
        <v>194</v>
      </c>
      <c r="E25">
        <f t="shared" si="1"/>
        <v>0</v>
      </c>
      <c r="G25">
        <f>Table11[[#This Row],[Distance '[miles']]]*1.60934449789256</f>
        <v>0</v>
      </c>
    </row>
    <row r="26" spans="1:9">
      <c r="A26" t="s">
        <v>188</v>
      </c>
      <c r="B26" t="s">
        <v>195</v>
      </c>
      <c r="E26">
        <f t="shared" si="1"/>
        <v>0</v>
      </c>
      <c r="G26">
        <f>Table11[[#This Row],[Distance '[miles']]]*1.60934449789256</f>
        <v>0</v>
      </c>
    </row>
    <row r="27" spans="1:9">
      <c r="A27" t="s">
        <v>188</v>
      </c>
      <c r="B27" t="s">
        <v>196</v>
      </c>
      <c r="E27">
        <f t="shared" si="1"/>
        <v>0</v>
      </c>
      <c r="G27">
        <f>Table11[[#This Row],[Distance '[miles']]]*1.60934449789256</f>
        <v>0</v>
      </c>
    </row>
    <row r="28" spans="1:9">
      <c r="A28" t="s">
        <v>188</v>
      </c>
      <c r="B28" t="s">
        <v>197</v>
      </c>
      <c r="E28">
        <f t="shared" si="1"/>
        <v>0</v>
      </c>
      <c r="G28">
        <f>Table11[[#This Row],[Distance '[miles']]]*1.60934449789256</f>
        <v>0</v>
      </c>
    </row>
    <row r="29" spans="1:9">
      <c r="A29" t="s">
        <v>189</v>
      </c>
      <c r="B29" t="s">
        <v>192</v>
      </c>
      <c r="E29">
        <f t="shared" si="1"/>
        <v>0</v>
      </c>
      <c r="F29">
        <v>8158</v>
      </c>
      <c r="G29">
        <f>Table11[[#This Row],[Distance '[miles']]]*1.60934449789256</f>
        <v>13129.032413807505</v>
      </c>
      <c r="I29" t="s">
        <v>211</v>
      </c>
    </row>
    <row r="30" spans="1:9">
      <c r="A30" t="s">
        <v>189</v>
      </c>
      <c r="B30" t="s">
        <v>190</v>
      </c>
      <c r="E30">
        <f t="shared" ref="E30:E35" si="2">D30/1000</f>
        <v>0</v>
      </c>
      <c r="F30">
        <v>7349</v>
      </c>
      <c r="G30">
        <f>Table11[[#This Row],[Distance '[miles']]]*1.60934449789256</f>
        <v>11827.072715012424</v>
      </c>
      <c r="I30" t="s">
        <v>210</v>
      </c>
    </row>
    <row r="31" spans="1:9">
      <c r="A31" t="s">
        <v>189</v>
      </c>
      <c r="B31" t="s">
        <v>193</v>
      </c>
      <c r="E31">
        <f t="shared" si="2"/>
        <v>0</v>
      </c>
      <c r="F31">
        <v>6227</v>
      </c>
      <c r="G31">
        <f>Table11[[#This Row],[Distance '[miles']]]*1.60934449789256</f>
        <v>10021.38818837697</v>
      </c>
      <c r="I31" t="s">
        <v>208</v>
      </c>
    </row>
    <row r="32" spans="1:9">
      <c r="A32" t="s">
        <v>189</v>
      </c>
      <c r="B32" t="s">
        <v>194</v>
      </c>
      <c r="E32">
        <f t="shared" si="2"/>
        <v>0</v>
      </c>
      <c r="F32">
        <v>6512</v>
      </c>
      <c r="G32">
        <f>Table11[[#This Row],[Distance '[miles']]]*1.60934449789256</f>
        <v>10480.051370276351</v>
      </c>
      <c r="I32" t="s">
        <v>206</v>
      </c>
    </row>
    <row r="33" spans="1:9">
      <c r="A33" t="s">
        <v>189</v>
      </c>
      <c r="B33" t="s">
        <v>195</v>
      </c>
      <c r="E33">
        <f t="shared" si="2"/>
        <v>0</v>
      </c>
      <c r="F33">
        <v>1300</v>
      </c>
      <c r="G33">
        <f>Table11[[#This Row],[Distance '[miles']]]*1.60934449789256</f>
        <v>2092.147847260328</v>
      </c>
      <c r="I33" t="s">
        <v>207</v>
      </c>
    </row>
    <row r="34" spans="1:9">
      <c r="A34" t="s">
        <v>189</v>
      </c>
      <c r="B34" t="s">
        <v>196</v>
      </c>
      <c r="E34">
        <f t="shared" si="2"/>
        <v>0</v>
      </c>
      <c r="F34">
        <v>4439</v>
      </c>
      <c r="G34">
        <f>Table11[[#This Row],[Distance '[miles']]]*1.60934449789256</f>
        <v>7143.8802261450737</v>
      </c>
      <c r="I34" t="s">
        <v>212</v>
      </c>
    </row>
    <row r="35" spans="1:9">
      <c r="A35" t="s">
        <v>189</v>
      </c>
      <c r="B35" t="s">
        <v>197</v>
      </c>
      <c r="E35">
        <f t="shared" si="2"/>
        <v>0</v>
      </c>
      <c r="F35">
        <v>2982</v>
      </c>
      <c r="G35">
        <f>Table11[[#This Row],[Distance '[miles']]]*1.60934449789256</f>
        <v>4799.0652927156134</v>
      </c>
      <c r="I35" t="s">
        <v>209</v>
      </c>
    </row>
    <row r="36" spans="1:9">
      <c r="A36" t="s">
        <v>190</v>
      </c>
      <c r="B36" t="s">
        <v>192</v>
      </c>
      <c r="E36">
        <f>D36/1000</f>
        <v>0</v>
      </c>
      <c r="G36">
        <f>Table11[[#This Row],[Distance '[miles']]]*1.60934449789256</f>
        <v>0</v>
      </c>
    </row>
    <row r="37" spans="1:9">
      <c r="A37" t="s">
        <v>190</v>
      </c>
      <c r="B37" t="s">
        <v>190</v>
      </c>
      <c r="E37">
        <f t="shared" ref="E37:E42" si="3">D37/1000</f>
        <v>0</v>
      </c>
      <c r="G37">
        <f>Table11[[#This Row],[Distance '[miles']]]*1.60934449789256</f>
        <v>0</v>
      </c>
    </row>
    <row r="38" spans="1:9">
      <c r="A38" t="s">
        <v>190</v>
      </c>
      <c r="B38" t="s">
        <v>193</v>
      </c>
      <c r="E38">
        <f t="shared" si="3"/>
        <v>0</v>
      </c>
      <c r="G38">
        <f>Table11[[#This Row],[Distance '[miles']]]*1.60934449789256</f>
        <v>0</v>
      </c>
    </row>
    <row r="39" spans="1:9">
      <c r="A39" t="s">
        <v>190</v>
      </c>
      <c r="B39" t="s">
        <v>194</v>
      </c>
      <c r="E39">
        <f t="shared" si="3"/>
        <v>0</v>
      </c>
      <c r="G39">
        <f>Table11[[#This Row],[Distance '[miles']]]*1.60934449789256</f>
        <v>0</v>
      </c>
    </row>
    <row r="40" spans="1:9">
      <c r="A40" t="s">
        <v>190</v>
      </c>
      <c r="B40" t="s">
        <v>195</v>
      </c>
      <c r="E40">
        <f t="shared" si="3"/>
        <v>0</v>
      </c>
      <c r="G40">
        <f>Table11[[#This Row],[Distance '[miles']]]*1.60934449789256</f>
        <v>0</v>
      </c>
    </row>
    <row r="41" spans="1:9">
      <c r="A41" t="s">
        <v>190</v>
      </c>
      <c r="B41" t="s">
        <v>196</v>
      </c>
      <c r="E41">
        <f t="shared" si="3"/>
        <v>0</v>
      </c>
      <c r="G41">
        <f>Table11[[#This Row],[Distance '[miles']]]*1.60934449789256</f>
        <v>0</v>
      </c>
    </row>
    <row r="42" spans="1:9">
      <c r="A42" t="s">
        <v>190</v>
      </c>
      <c r="B42" t="s">
        <v>197</v>
      </c>
      <c r="E42">
        <f t="shared" si="3"/>
        <v>0</v>
      </c>
      <c r="G42">
        <f>Table11[[#This Row],[Distance '[miles']]]*1.60934449789256</f>
        <v>0</v>
      </c>
    </row>
    <row r="43" spans="1:9">
      <c r="A43" t="s">
        <v>191</v>
      </c>
      <c r="B43" t="s">
        <v>192</v>
      </c>
      <c r="E43">
        <f>D43/1000</f>
        <v>0</v>
      </c>
      <c r="G43">
        <f>Table11[[#This Row],[Distance '[miles']]]*1.60934449789256</f>
        <v>0</v>
      </c>
    </row>
    <row r="44" spans="1:9">
      <c r="A44" t="s">
        <v>191</v>
      </c>
      <c r="B44" t="s">
        <v>190</v>
      </c>
      <c r="E44">
        <f t="shared" ref="E44:E49" si="4">D44/1000</f>
        <v>0</v>
      </c>
      <c r="G44">
        <f>Table11[[#This Row],[Distance '[miles']]]*1.60934449789256</f>
        <v>0</v>
      </c>
    </row>
    <row r="45" spans="1:9">
      <c r="A45" t="s">
        <v>191</v>
      </c>
      <c r="B45" t="s">
        <v>193</v>
      </c>
      <c r="E45">
        <f t="shared" si="4"/>
        <v>0</v>
      </c>
      <c r="G45">
        <f>Table11[[#This Row],[Distance '[miles']]]*1.60934449789256</f>
        <v>0</v>
      </c>
    </row>
    <row r="46" spans="1:9">
      <c r="A46" t="s">
        <v>191</v>
      </c>
      <c r="B46" t="s">
        <v>194</v>
      </c>
      <c r="E46">
        <f t="shared" si="4"/>
        <v>0</v>
      </c>
      <c r="G46">
        <f>Table11[[#This Row],[Distance '[miles']]]*1.60934449789256</f>
        <v>0</v>
      </c>
    </row>
    <row r="47" spans="1:9">
      <c r="A47" t="s">
        <v>191</v>
      </c>
      <c r="B47" t="s">
        <v>195</v>
      </c>
      <c r="E47">
        <f t="shared" si="4"/>
        <v>0</v>
      </c>
      <c r="G47">
        <f>Table11[[#This Row],[Distance '[miles']]]*1.60934449789256</f>
        <v>0</v>
      </c>
    </row>
    <row r="48" spans="1:9">
      <c r="A48" t="s">
        <v>191</v>
      </c>
      <c r="B48" t="s">
        <v>196</v>
      </c>
      <c r="E48">
        <f t="shared" si="4"/>
        <v>0</v>
      </c>
      <c r="G48">
        <f>Table11[[#This Row],[Distance '[miles']]]*1.60934449789256</f>
        <v>0</v>
      </c>
    </row>
    <row r="49" spans="1:7">
      <c r="A49" t="s">
        <v>191</v>
      </c>
      <c r="B49" t="s">
        <v>197</v>
      </c>
      <c r="E49">
        <f t="shared" si="4"/>
        <v>0</v>
      </c>
      <c r="G49">
        <f>Table11[[#This Row],[Distance '[miles']]]*1.60934449789256</f>
        <v>0</v>
      </c>
    </row>
    <row r="50" spans="1:7">
      <c r="A50" t="s">
        <v>199</v>
      </c>
      <c r="B50" t="s">
        <v>192</v>
      </c>
      <c r="E50">
        <f>D50/1000</f>
        <v>0</v>
      </c>
      <c r="G50">
        <f>Table11[[#This Row],[Distance '[miles']]]*1.60934449789256</f>
        <v>0</v>
      </c>
    </row>
    <row r="51" spans="1:7">
      <c r="A51" t="s">
        <v>199</v>
      </c>
      <c r="B51" t="s">
        <v>190</v>
      </c>
      <c r="E51">
        <f t="shared" ref="E51:E56" si="5">D51/1000</f>
        <v>0</v>
      </c>
      <c r="G51">
        <f>Table11[[#This Row],[Distance '[miles']]]*1.60934449789256</f>
        <v>0</v>
      </c>
    </row>
    <row r="52" spans="1:7">
      <c r="A52" t="s">
        <v>199</v>
      </c>
      <c r="B52" t="s">
        <v>193</v>
      </c>
      <c r="E52">
        <f t="shared" si="5"/>
        <v>0</v>
      </c>
      <c r="G52">
        <f>Table11[[#This Row],[Distance '[miles']]]*1.60934449789256</f>
        <v>0</v>
      </c>
    </row>
    <row r="53" spans="1:7">
      <c r="A53" t="s">
        <v>199</v>
      </c>
      <c r="B53" t="s">
        <v>194</v>
      </c>
      <c r="E53">
        <f t="shared" si="5"/>
        <v>0</v>
      </c>
      <c r="G53">
        <f>Table11[[#This Row],[Distance '[miles']]]*1.60934449789256</f>
        <v>0</v>
      </c>
    </row>
    <row r="54" spans="1:7">
      <c r="A54" t="s">
        <v>199</v>
      </c>
      <c r="B54" t="s">
        <v>195</v>
      </c>
      <c r="E54">
        <f t="shared" si="5"/>
        <v>0</v>
      </c>
      <c r="G54">
        <f>Table11[[#This Row],[Distance '[miles']]]*1.60934449789256</f>
        <v>0</v>
      </c>
    </row>
    <row r="55" spans="1:7">
      <c r="A55" t="s">
        <v>199</v>
      </c>
      <c r="B55" t="s">
        <v>196</v>
      </c>
      <c r="E55">
        <f t="shared" si="5"/>
        <v>0</v>
      </c>
      <c r="G55">
        <f>Table11[[#This Row],[Distance '[miles']]]*1.60934449789256</f>
        <v>0</v>
      </c>
    </row>
    <row r="56" spans="1:7">
      <c r="A56" t="s">
        <v>199</v>
      </c>
      <c r="B56" t="s">
        <v>197</v>
      </c>
      <c r="E56">
        <f t="shared" si="5"/>
        <v>0</v>
      </c>
      <c r="G56">
        <f>Table11[[#This Row],[Distance '[miles']]]*1.60934449789256</f>
        <v>0</v>
      </c>
    </row>
    <row r="57" spans="1:7">
      <c r="A57" t="s">
        <v>197</v>
      </c>
      <c r="B57" t="s">
        <v>192</v>
      </c>
      <c r="E57">
        <f>D57/1000</f>
        <v>0</v>
      </c>
      <c r="G57">
        <f>Table11[[#This Row],[Distance '[miles']]]*1.60934449789256</f>
        <v>0</v>
      </c>
    </row>
    <row r="58" spans="1:7">
      <c r="A58" t="s">
        <v>197</v>
      </c>
      <c r="B58" t="s">
        <v>190</v>
      </c>
      <c r="E58">
        <f t="shared" ref="E58:E63" si="6">D58/1000</f>
        <v>0</v>
      </c>
      <c r="G58">
        <f>Table11[[#This Row],[Distance '[miles']]]*1.60934449789256</f>
        <v>0</v>
      </c>
    </row>
    <row r="59" spans="1:7">
      <c r="A59" t="s">
        <v>197</v>
      </c>
      <c r="B59" t="s">
        <v>193</v>
      </c>
      <c r="E59">
        <f t="shared" si="6"/>
        <v>0</v>
      </c>
      <c r="G59">
        <f>Table11[[#This Row],[Distance '[miles']]]*1.60934449789256</f>
        <v>0</v>
      </c>
    </row>
    <row r="60" spans="1:7">
      <c r="A60" t="s">
        <v>197</v>
      </c>
      <c r="B60" t="s">
        <v>194</v>
      </c>
      <c r="E60">
        <f t="shared" si="6"/>
        <v>0</v>
      </c>
      <c r="G60">
        <f>Table11[[#This Row],[Distance '[miles']]]*1.60934449789256</f>
        <v>0</v>
      </c>
    </row>
    <row r="61" spans="1:7">
      <c r="A61" t="s">
        <v>197</v>
      </c>
      <c r="B61" t="s">
        <v>195</v>
      </c>
      <c r="E61">
        <f t="shared" si="6"/>
        <v>0</v>
      </c>
      <c r="G61">
        <f>Table11[[#This Row],[Distance '[miles']]]*1.60934449789256</f>
        <v>0</v>
      </c>
    </row>
    <row r="62" spans="1:7">
      <c r="A62" t="s">
        <v>197</v>
      </c>
      <c r="B62" t="s">
        <v>196</v>
      </c>
      <c r="E62">
        <f t="shared" si="6"/>
        <v>0</v>
      </c>
      <c r="G62">
        <f>Table11[[#This Row],[Distance '[miles']]]*1.60934449789256</f>
        <v>0</v>
      </c>
    </row>
    <row r="63" spans="1:7">
      <c r="A63" t="s">
        <v>200</v>
      </c>
      <c r="B63" t="s">
        <v>192</v>
      </c>
      <c r="E63">
        <f t="shared" si="6"/>
        <v>0</v>
      </c>
      <c r="G63">
        <f>Table11[[#This Row],[Distance '[miles']]]*1.60934449789256</f>
        <v>0</v>
      </c>
    </row>
    <row r="64" spans="1:7">
      <c r="A64" t="s">
        <v>200</v>
      </c>
      <c r="B64" t="s">
        <v>190</v>
      </c>
      <c r="E64">
        <f t="shared" ref="E64:E69" si="7">D64/1000</f>
        <v>0</v>
      </c>
      <c r="G64">
        <f>Table11[[#This Row],[Distance '[miles']]]*1.60934449789256</f>
        <v>0</v>
      </c>
    </row>
    <row r="65" spans="1:9">
      <c r="A65" t="s">
        <v>200</v>
      </c>
      <c r="B65" t="s">
        <v>193</v>
      </c>
      <c r="E65">
        <f t="shared" si="7"/>
        <v>0</v>
      </c>
      <c r="G65">
        <f>Table11[[#This Row],[Distance '[miles']]]*1.60934449789256</f>
        <v>0</v>
      </c>
    </row>
    <row r="66" spans="1:9">
      <c r="A66" t="s">
        <v>200</v>
      </c>
      <c r="B66" t="s">
        <v>194</v>
      </c>
      <c r="E66">
        <f t="shared" si="7"/>
        <v>0</v>
      </c>
      <c r="G66">
        <f>Table11[[#This Row],[Distance '[miles']]]*1.60934449789256</f>
        <v>0</v>
      </c>
    </row>
    <row r="67" spans="1:9">
      <c r="A67" t="s">
        <v>200</v>
      </c>
      <c r="B67" t="s">
        <v>195</v>
      </c>
      <c r="E67">
        <f t="shared" si="7"/>
        <v>0</v>
      </c>
      <c r="G67">
        <f>Table11[[#This Row],[Distance '[miles']]]*1.60934449789256</f>
        <v>0</v>
      </c>
    </row>
    <row r="68" spans="1:9">
      <c r="A68" t="s">
        <v>200</v>
      </c>
      <c r="B68" t="s">
        <v>196</v>
      </c>
      <c r="E68">
        <f t="shared" si="7"/>
        <v>0</v>
      </c>
      <c r="G68">
        <f>Table11[[#This Row],[Distance '[miles']]]*1.60934449789256</f>
        <v>0</v>
      </c>
    </row>
    <row r="69" spans="1:9">
      <c r="A69" t="s">
        <v>200</v>
      </c>
      <c r="B69" t="s">
        <v>197</v>
      </c>
      <c r="E69">
        <f t="shared" si="7"/>
        <v>0</v>
      </c>
      <c r="G69">
        <f>Table11[[#This Row],[Distance '[miles']]]*1.60934449789256</f>
        <v>0</v>
      </c>
    </row>
    <row r="70" spans="1:9">
      <c r="A70" t="s">
        <v>189</v>
      </c>
      <c r="B70" t="s">
        <v>213</v>
      </c>
      <c r="E70">
        <f>D70/1000</f>
        <v>0</v>
      </c>
      <c r="F70">
        <v>6277</v>
      </c>
      <c r="G70" s="14">
        <f>Table11[[#This Row],[Distance '[miles']]]*1.60934449789256</f>
        <v>10101.855413271598</v>
      </c>
      <c r="H70" s="14" t="s">
        <v>227</v>
      </c>
      <c r="I70" t="s">
        <v>225</v>
      </c>
    </row>
    <row r="71" spans="1:9">
      <c r="A71" t="s">
        <v>189</v>
      </c>
      <c r="B71" t="s">
        <v>214</v>
      </c>
      <c r="E71">
        <f t="shared" ref="E71:E81" si="8">D71/1000</f>
        <v>0</v>
      </c>
      <c r="F71">
        <v>4581</v>
      </c>
      <c r="G71" s="14">
        <f>Table11[[#This Row],[Distance '[miles']]]*1.60934449789256</f>
        <v>7372.4071448458171</v>
      </c>
      <c r="H71" s="14" t="s">
        <v>227</v>
      </c>
      <c r="I71" t="s">
        <v>228</v>
      </c>
    </row>
    <row r="72" spans="1:9">
      <c r="A72" t="s">
        <v>189</v>
      </c>
      <c r="B72" t="s">
        <v>215</v>
      </c>
      <c r="E72">
        <f t="shared" si="8"/>
        <v>0</v>
      </c>
      <c r="F72">
        <v>3668</v>
      </c>
      <c r="G72" s="14">
        <f>Table11[[#This Row],[Distance '[miles']]]*1.60934449789256</f>
        <v>5903.0756182699097</v>
      </c>
      <c r="H72" s="14" t="s">
        <v>227</v>
      </c>
      <c r="I72" t="s">
        <v>229</v>
      </c>
    </row>
    <row r="73" spans="1:9">
      <c r="A73" t="s">
        <v>189</v>
      </c>
      <c r="B73" t="s">
        <v>216</v>
      </c>
      <c r="E73">
        <f t="shared" si="8"/>
        <v>0</v>
      </c>
      <c r="F73">
        <v>4452</v>
      </c>
      <c r="G73" s="14">
        <f>Table11[[#This Row],[Distance '[miles']]]*1.60934449789256</f>
        <v>7164.8017046176765</v>
      </c>
      <c r="H73" s="14" t="s">
        <v>227</v>
      </c>
      <c r="I73" t="s">
        <v>230</v>
      </c>
    </row>
    <row r="74" spans="1:9">
      <c r="A74" t="s">
        <v>189</v>
      </c>
      <c r="B74" t="s">
        <v>217</v>
      </c>
      <c r="E74">
        <f t="shared" si="8"/>
        <v>0</v>
      </c>
      <c r="F74">
        <v>4327</v>
      </c>
      <c r="G74" s="14">
        <f>Table11[[#This Row],[Distance '[miles']]]*1.60934449789256</f>
        <v>6963.6336423811072</v>
      </c>
      <c r="H74" s="14" t="s">
        <v>227</v>
      </c>
      <c r="I74" t="s">
        <v>231</v>
      </c>
    </row>
    <row r="75" spans="1:9">
      <c r="A75" t="s">
        <v>189</v>
      </c>
      <c r="B75" t="s">
        <v>218</v>
      </c>
      <c r="E75">
        <f t="shared" si="8"/>
        <v>0</v>
      </c>
      <c r="F75">
        <v>7211</v>
      </c>
      <c r="G75" s="14">
        <f>Table11[[#This Row],[Distance '[miles']]]*1.60934449789256</f>
        <v>11604.98317430325</v>
      </c>
      <c r="H75" s="14" t="s">
        <v>227</v>
      </c>
      <c r="I75" t="s">
        <v>232</v>
      </c>
    </row>
    <row r="76" spans="1:9">
      <c r="A76" t="s">
        <v>189</v>
      </c>
      <c r="B76" t="s">
        <v>219</v>
      </c>
      <c r="E76">
        <f t="shared" si="8"/>
        <v>0</v>
      </c>
      <c r="F76">
        <v>6346</v>
      </c>
      <c r="G76" s="14">
        <f>Table11[[#This Row],[Distance '[miles']]]*1.60934449789256</f>
        <v>10212.900183626185</v>
      </c>
      <c r="H76" s="14" t="s">
        <v>227</v>
      </c>
      <c r="I76" t="s">
        <v>233</v>
      </c>
    </row>
    <row r="77" spans="1:9">
      <c r="A77" t="s">
        <v>189</v>
      </c>
      <c r="B77" t="s">
        <v>220</v>
      </c>
      <c r="E77">
        <f t="shared" si="8"/>
        <v>0</v>
      </c>
      <c r="F77">
        <v>7020</v>
      </c>
      <c r="G77" s="14">
        <f>Table11[[#This Row],[Distance '[miles']]]*1.60934449789256</f>
        <v>11297.598375205771</v>
      </c>
      <c r="H77" s="14" t="s">
        <v>227</v>
      </c>
      <c r="I77" t="s">
        <v>234</v>
      </c>
    </row>
    <row r="78" spans="1:9">
      <c r="A78" t="s">
        <v>189</v>
      </c>
      <c r="B78" t="s">
        <v>221</v>
      </c>
      <c r="E78">
        <f t="shared" si="8"/>
        <v>0</v>
      </c>
      <c r="F78">
        <v>5266</v>
      </c>
      <c r="G78" s="14">
        <f>Table11[[#This Row],[Distance '[miles']]]*1.60934449789256</f>
        <v>8474.8081259022201</v>
      </c>
      <c r="H78" s="14" t="s">
        <v>227</v>
      </c>
      <c r="I78" t="s">
        <v>235</v>
      </c>
    </row>
    <row r="79" spans="1:9">
      <c r="A79" t="s">
        <v>189</v>
      </c>
      <c r="B79" t="s">
        <v>222</v>
      </c>
      <c r="E79">
        <f t="shared" si="8"/>
        <v>0</v>
      </c>
      <c r="F79">
        <v>4657</v>
      </c>
      <c r="G79" s="14">
        <f>Table11[[#This Row],[Distance '[miles']]]*1.60934449789256</f>
        <v>7494.7173266856516</v>
      </c>
      <c r="H79" s="14" t="s">
        <v>227</v>
      </c>
      <c r="I79" t="s">
        <v>236</v>
      </c>
    </row>
    <row r="80" spans="1:9">
      <c r="A80" t="s">
        <v>189</v>
      </c>
      <c r="B80" t="s">
        <v>223</v>
      </c>
      <c r="E80">
        <f t="shared" si="8"/>
        <v>0</v>
      </c>
      <c r="F80">
        <v>3667</v>
      </c>
      <c r="G80" s="14">
        <f>Table11[[#This Row],[Distance '[miles']]]*1.60934449789256</f>
        <v>5901.4662737720173</v>
      </c>
      <c r="H80" s="14" t="s">
        <v>227</v>
      </c>
      <c r="I80" t="s">
        <v>237</v>
      </c>
    </row>
    <row r="81" spans="1:9">
      <c r="A81" t="s">
        <v>189</v>
      </c>
      <c r="B81" t="s">
        <v>224</v>
      </c>
      <c r="E81">
        <f t="shared" si="8"/>
        <v>0</v>
      </c>
      <c r="F81">
        <v>6094</v>
      </c>
      <c r="G81" s="14">
        <f>Table11[[#This Row],[Distance '[miles']]]*1.60934449789256</f>
        <v>9807.3453701572598</v>
      </c>
      <c r="H81" s="14" t="s">
        <v>227</v>
      </c>
      <c r="I81" t="s">
        <v>238</v>
      </c>
    </row>
    <row r="82" spans="1:9">
      <c r="A82" t="s">
        <v>189</v>
      </c>
      <c r="B82" t="s">
        <v>239</v>
      </c>
      <c r="E82">
        <f t="shared" ref="E82:E86" si="9">D82/1000</f>
        <v>0</v>
      </c>
      <c r="F82">
        <v>7423</v>
      </c>
      <c r="G82" s="14">
        <f>Table11[[#This Row],[Distance '[miles']]]*1.60934449789256</f>
        <v>11946.164207856473</v>
      </c>
      <c r="H82" s="14" t="s">
        <v>227</v>
      </c>
      <c r="I82" t="s">
        <v>244</v>
      </c>
    </row>
    <row r="83" spans="1:9">
      <c r="A83" t="s">
        <v>189</v>
      </c>
      <c r="B83" t="s">
        <v>240</v>
      </c>
      <c r="E83">
        <f t="shared" si="9"/>
        <v>0</v>
      </c>
      <c r="F83">
        <v>7423</v>
      </c>
      <c r="G83" s="14">
        <f>Table11[[#This Row],[Distance '[miles']]]*1.60934449789256</f>
        <v>11946.164207856473</v>
      </c>
      <c r="H83" s="14" t="s">
        <v>227</v>
      </c>
      <c r="I83" t="s">
        <v>245</v>
      </c>
    </row>
    <row r="84" spans="1:9">
      <c r="A84" t="s">
        <v>189</v>
      </c>
      <c r="B84" t="s">
        <v>241</v>
      </c>
      <c r="E84">
        <f t="shared" si="9"/>
        <v>0</v>
      </c>
      <c r="F84">
        <v>6540</v>
      </c>
      <c r="G84" s="14">
        <f>Table11[[#This Row],[Distance '[miles']]]*1.60934449789256</f>
        <v>10525.113016217341</v>
      </c>
      <c r="H84" s="14" t="s">
        <v>227</v>
      </c>
      <c r="I84" t="s">
        <v>246</v>
      </c>
    </row>
    <row r="85" spans="1:9">
      <c r="A85" t="s">
        <v>189</v>
      </c>
      <c r="B85" t="s">
        <v>242</v>
      </c>
      <c r="E85">
        <f t="shared" si="9"/>
        <v>0</v>
      </c>
      <c r="F85">
        <v>6078</v>
      </c>
      <c r="G85" s="14">
        <f>Table11[[#This Row],[Distance '[miles']]]*1.60934449789256</f>
        <v>9781.5958581909799</v>
      </c>
      <c r="H85" s="14" t="s">
        <v>227</v>
      </c>
      <c r="I85" t="s">
        <v>247</v>
      </c>
    </row>
    <row r="86" spans="1:9">
      <c r="A86" t="s">
        <v>189</v>
      </c>
      <c r="B86" t="s">
        <v>243</v>
      </c>
      <c r="E86">
        <f t="shared" si="9"/>
        <v>0</v>
      </c>
      <c r="F86">
        <v>7363</v>
      </c>
      <c r="G86" s="14">
        <f>Table11[[#This Row],[Distance '[miles']]]*1.60934449789256</f>
        <v>11849.603537982919</v>
      </c>
      <c r="H86" s="14" t="s">
        <v>227</v>
      </c>
      <c r="I86" t="s">
        <v>248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2025-03-18T11:43:51Z</dcterms:modified>
</cp:coreProperties>
</file>