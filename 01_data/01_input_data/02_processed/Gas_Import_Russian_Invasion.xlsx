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441A09C5-75FF-4221-BA74-C8AF2F57A9CF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nodes_lng" sheetId="1" r:id="rId1"/>
    <sheet name="nodes_gas_prod" sheetId="2" r:id="rId2"/>
    <sheet name="nodes_demand_2020" sheetId="3" r:id="rId3"/>
    <sheet name="nodes_demand_2023" sheetId="6" r:id="rId4"/>
    <sheet name="Connections" sheetId="4" r:id="rId5"/>
    <sheet name="Import_Connection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4" i="6"/>
  <c r="F25" i="6"/>
  <c r="F26" i="6"/>
  <c r="F27" i="6"/>
  <c r="F28" i="6"/>
  <c r="F29" i="6"/>
  <c r="F30" i="6"/>
  <c r="F33" i="6"/>
  <c r="F34" i="6"/>
  <c r="F35" i="6"/>
  <c r="F36" i="6"/>
  <c r="F37" i="6"/>
  <c r="F38" i="6"/>
  <c r="F39" i="6"/>
  <c r="F40" i="6"/>
  <c r="E27" i="6"/>
  <c r="F2" i="6" s="1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92" i="4"/>
  <c r="D91" i="4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F41" i="6" l="1"/>
  <c r="F32" i="6"/>
  <c r="F31" i="6"/>
  <c r="F23" i="6"/>
  <c r="F22" i="6"/>
  <c r="F42" i="6"/>
  <c r="F21" i="6"/>
  <c r="F5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<sst xmlns="http://schemas.openxmlformats.org/spreadsheetml/2006/main" count="605" uniqueCount="137">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</sst>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50"/>
      </bottom>
      <diagonal/>
    </border>
  </borders>
  <cellStyleXfs count="43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3" fillId="0" borderId="0" applyFill="0" applyBorder="0">
      <alignment vertical="center"/>
    </xf>
    <xf numFmtId="0" fontId="2" fillId="0" borderId="0" applyNumberFormat="0" applyFill="0" applyBorder="0" applyAlignment="0" applyProtection="0"/>
    <xf numFmtId="0" fontId="5" fillId="0" borderId="0" applyFill="0" applyBorder="0">
      <alignment vertical="center"/>
    </xf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43">
    <cellStyle name="03_Table Notes" xfId="5" xr:uid="{957BCF11-BB00-461F-A0F4-0368139C34F0}"/>
    <cellStyle name="04_Table text" xfId="3" xr:uid="{60FAF7FD-D988-4AB0-B86F-CAD4D7C5E89B}"/>
    <cellStyle name="C01_Main head" xfId="24" xr:uid="{3FF1BF2F-769C-4CF6-BB03-FA58B69C5545}"/>
    <cellStyle name="C02_Column heads" xfId="18" xr:uid="{6AA76714-52DD-4B3B-9F1F-E7ED06188786}"/>
    <cellStyle name="C03_Sub head bold" xfId="19" xr:uid="{71BDF15F-8FAB-4B9D-BF56-0C82A383AA8E}"/>
    <cellStyle name="C04_Total text white bold" xfId="22" xr:uid="{287E28E8-DA9A-4DA7-94AD-5AF1C537F15F}"/>
    <cellStyle name="C04a_Total text black with rule" xfId="21" xr:uid="{16CE27B2-E630-4389-8700-BC6F07A207BB}"/>
    <cellStyle name="C05_Main text" xfId="20" xr:uid="{19A3C003-4A4D-4B53-B889-86660BE2F4A7}"/>
    <cellStyle name="C06_Figs" xfId="26" xr:uid="{6EF7291D-EE46-4629-B94D-1ECDF30BDA6F}"/>
    <cellStyle name="C07_Figs 1 dec percent" xfId="34" xr:uid="{47221C8E-FC37-465A-9665-18759B74A6CE}"/>
    <cellStyle name="C09_Notes" xfId="9" xr:uid="{9085F154-117F-416B-8D81-36A9DB81FB8C}"/>
    <cellStyle name="Comma 2" xfId="16" xr:uid="{C220F88A-4F55-4623-B6C1-AD23C8E74659}"/>
    <cellStyle name="Comma 5" xfId="31" xr:uid="{0067ED6D-11E5-44AC-9D53-C45880789330}"/>
    <cellStyle name="Hyperlink 2" xfId="2" xr:uid="{BA9329EA-B184-49A9-9DC3-748FF9EBB7D9}"/>
    <cellStyle name="Hyperlink 2 2" xfId="4" xr:uid="{F9103865-4F21-4889-8B72-20BE8654C338}"/>
    <cellStyle name="Hyperlink 2 2 2" xfId="14" xr:uid="{5BCD4CE7-6B2C-456F-8FB9-324AD7E49CAD}"/>
    <cellStyle name="Hyperlink 3" xfId="15" xr:uid="{94940656-2676-4A09-B05D-BC18288B254C}"/>
    <cellStyle name="Normal" xfId="0" builtinId="0"/>
    <cellStyle name="Normal 18" xfId="32" xr:uid="{E7EAE102-3B70-42A2-97BE-6613C6991711}"/>
    <cellStyle name="Normal 2" xfId="1" xr:uid="{190F2216-BF41-4842-8670-90BCBED25C1F}"/>
    <cellStyle name="Normal 2 2" xfId="10" xr:uid="{BBA1F6BA-F8D2-45BD-89F2-5F79E7C1C329}"/>
    <cellStyle name="Normal 2 2 2" xfId="28" xr:uid="{AD51099B-D49D-45FE-80D3-1F4120CAB713}"/>
    <cellStyle name="Normal 2 2 3" xfId="33" xr:uid="{685F2931-69F1-4742-862E-8D36BACD9F1A}"/>
    <cellStyle name="Normal 2 2 9 2" xfId="39" xr:uid="{1D997E3D-2769-4905-B0EB-950CAA58DB0A}"/>
    <cellStyle name="Normal 2 3" xfId="42" xr:uid="{1A02E014-9D0A-45BD-84AD-CEF3659D5A24}"/>
    <cellStyle name="Normal 2 5" xfId="29" xr:uid="{BA56A082-19D7-4317-9FF5-DEC1FFBEF23C}"/>
    <cellStyle name="Normal 2 6" xfId="11" xr:uid="{A9C605D1-161F-4025-811E-28DABC062934}"/>
    <cellStyle name="Normal 20" xfId="23" xr:uid="{648D11FF-279B-4F0E-B09D-8C1EC6061892}"/>
    <cellStyle name="Normal 3" xfId="12" xr:uid="{C48EB3F3-1975-4918-BAB7-BE900719A5F7}"/>
    <cellStyle name="Normal 33" xfId="7" xr:uid="{5CD1E707-8667-45EC-ABF6-B60F6E9E59D3}"/>
    <cellStyle name="Normal 4" xfId="41" xr:uid="{6FD259F4-48D1-4A86-985F-41950DBD9149}"/>
    <cellStyle name="Normal 4 2 2" xfId="6" xr:uid="{919221B1-42A4-4700-9239-2DAFE893779F}"/>
    <cellStyle name="Normal 5" xfId="38" xr:uid="{7566378D-1084-4857-A4BB-1DAAB3764B14}"/>
    <cellStyle name="Normal 5 8 2" xfId="40" xr:uid="{AEB2F650-B345-44F9-857E-1FF7EFC5D55E}"/>
    <cellStyle name="Normal 6" xfId="13" xr:uid="{D03254E9-8E42-4BF4-8A58-7DE6DA4A8303}"/>
    <cellStyle name="Normal 8" xfId="8" xr:uid="{90F0E83A-EA1A-48E1-A5EE-D67EB082C60D}"/>
    <cellStyle name="Normal 8 2" xfId="25" xr:uid="{A358C3D2-DBD8-459F-9B06-BAA976C32485}"/>
    <cellStyle name="Normal 8 7" xfId="27" xr:uid="{76B13E51-C838-4F8D-AADA-E10D7E632F63}"/>
    <cellStyle name="Percent 2" xfId="17" xr:uid="{8FA158A0-20DC-4018-9CF3-EDDF9FADF72C}"/>
    <cellStyle name="Percent 2 2" xfId="30" xr:uid="{0AA4CE3F-8960-4102-9CAE-7448A8126969}"/>
    <cellStyle name="Percent 3" xfId="36" xr:uid="{8AB380C1-64CC-421C-8275-BF15C8D4F870}"/>
    <cellStyle name="Percent 4" xfId="37" xr:uid="{FBC58B8C-7B58-4A54-9EE4-7950F3EA222E}"/>
    <cellStyle name="Percent 8" xfId="35" xr:uid="{304ED844-55A0-412B-ADC5-6D43390D8D63}"/>
  </cellStyles>
  <dxfs count="10"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9"/>
    <tableColumn id="5" xr3:uid="{4278F9D8-E46F-44B9-A622-727B8E2C8EF1}" name="Mil m3 EU [2020]" dataDxfId="8"/>
    <tableColumn id="6" xr3:uid="{F2BDB73C-713D-4BC7-B762-048AA072F297}" name="Mrd m3 EU [2020]" dataDxfId="7">
      <calculatedColumnFormula>Table2[[#This Row],[Mil m3 EU '[2020']]]/1000</calculatedColumnFormula>
    </tableColumn>
    <tableColumn id="4" xr3:uid="{5BB2DA97-8C23-44BC-9268-BDBE2BCDBBC8}" name="TWh [2020]" dataDxfId="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"/>
    <tableColumn id="4" xr3:uid="{1618AAC4-0782-47C3-91CE-2FEB95FBDD58}" name="TWh [2020]" dataDxfId="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0]" dataDxfId="2"/>
    <tableColumn id="4" xr3:uid="{60E83C2D-D521-4D6A-800D-160C3176DFC7}" name="TWh [2020]" dataDxfId="1">
      <calculatedColumnFormula>Table15[[#This Row],[Mrd m3 '[2020']]]*9.77*-1</calculatedColumnFormula>
    </tableColumn>
    <tableColumn id="5" xr3:uid="{1EC72689-3FEE-4998-85C2-E4533CF3E650}" name="Population 2020 [Tsd]"/>
    <tableColumn id="6" xr3:uid="{EA1A4D0E-E13A-491B-8024-93E1A98AD8DD}" name="TWh by share" dataDxfId="0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2" totalsRowShown="0">
  <autoFilter ref="A1:E92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G15" sqref="G15"/>
    </sheetView>
  </sheetViews>
  <sheetFormatPr defaultRowHeight="14.5"/>
  <sheetData>
    <row r="1" spans="1:13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104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104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104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104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104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104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104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104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104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104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104</v>
      </c>
      <c r="L13" t="str">
        <f t="shared" si="2"/>
        <v>UK_LNG</v>
      </c>
      <c r="M13" t="str">
        <f t="shared" si="3"/>
        <v>UK</v>
      </c>
    </row>
    <row r="14" spans="1:13">
      <c r="A14" t="s">
        <v>93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103</v>
      </c>
    </row>
    <row r="15" spans="1:13">
      <c r="A15" t="s">
        <v>132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104</v>
      </c>
      <c r="L15" t="str">
        <f t="shared" si="2"/>
        <v>EE_LNG</v>
      </c>
      <c r="M15" t="str">
        <f t="shared" si="3"/>
        <v>EE</v>
      </c>
    </row>
    <row r="16" spans="1:13">
      <c r="A16" t="s">
        <v>131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104</v>
      </c>
      <c r="L16" t="str">
        <f t="shared" si="2"/>
        <v>FI_LNG</v>
      </c>
      <c r="M16" t="str">
        <f t="shared" si="3"/>
        <v>FI</v>
      </c>
    </row>
    <row r="17" spans="1:13">
      <c r="A17" t="s">
        <v>133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104</v>
      </c>
      <c r="L17" t="str">
        <f t="shared" si="2"/>
        <v>DE_LNG</v>
      </c>
      <c r="M17" t="str">
        <f t="shared" si="3"/>
        <v>DE</v>
      </c>
    </row>
    <row r="18" spans="1:13">
      <c r="A18" t="s">
        <v>134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104</v>
      </c>
      <c r="L18" t="str">
        <f t="shared" si="2"/>
        <v>IE_LNG</v>
      </c>
      <c r="M18" t="str">
        <f t="shared" si="3"/>
        <v>IE</v>
      </c>
    </row>
    <row r="19" spans="1:13">
      <c r="A19" t="s">
        <v>135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104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85</v>
      </c>
    </row>
    <row r="48" spans="1:13">
      <c r="A48" t="s">
        <v>80</v>
      </c>
      <c r="B48" t="s">
        <v>91</v>
      </c>
    </row>
    <row r="49" spans="1:2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87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89</v>
      </c>
      <c r="B27" t="s">
        <v>90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88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136</v>
      </c>
    </row>
    <row r="51" spans="1:2">
      <c r="A51" t="s">
        <v>116</v>
      </c>
    </row>
    <row r="52" spans="1:2">
      <c r="A52" t="s">
        <v>117</v>
      </c>
      <c r="B52" t="s">
        <v>118</v>
      </c>
    </row>
    <row r="53" spans="1:2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abSelected="1" workbookViewId="0">
      <selection activeCell="I7" sqref="I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>
      <c r="A2" t="s">
        <v>42</v>
      </c>
      <c r="B2" t="s">
        <v>74</v>
      </c>
      <c r="C2" s="2"/>
      <c r="D2">
        <f>Table15[[#This Row],[Mrd m3 '[2020']]]*9.77*-1</f>
        <v>0</v>
      </c>
      <c r="E2">
        <v>2846</v>
      </c>
      <c r="F2">
        <f>IF(Table1[[#This Row],[TWh '[2020']]]=0,$D$27*(E2/$E$27),0)</f>
        <v>-3.3547123739475664</v>
      </c>
    </row>
    <row r="3" spans="1:6">
      <c r="A3" t="s">
        <v>20</v>
      </c>
      <c r="B3" t="s">
        <v>58</v>
      </c>
      <c r="C3" s="2">
        <v>8.5</v>
      </c>
      <c r="D3">
        <f>Table15[[#This Row],[Mrd m3 '[2020']]]*9.77*-1</f>
        <v>-83.045000000000002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17</v>
      </c>
      <c r="D4">
        <f>Table15[[#This Row],[Mrd m3 '[2020']]]*9.77*-1</f>
        <v>-166.09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'[2020']]]*9.77*-1</f>
        <v>0</v>
      </c>
      <c r="E5">
        <v>3492</v>
      </c>
      <c r="F5">
        <f>IF(Table1[[#This Row],[TWh '[2020']]]=0,$D$27*(E5/$E$27),0)</f>
        <v>-4.1161825754830996</v>
      </c>
    </row>
    <row r="6" spans="1:6">
      <c r="A6" t="s">
        <v>32</v>
      </c>
      <c r="B6" t="s">
        <v>65</v>
      </c>
      <c r="C6" s="2"/>
      <c r="D6">
        <f>Table15[[#This Row],[Mrd m3 '[2020']]]*9.77*-1</f>
        <v>0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/>
      <c r="D7">
        <f>Table15[[#This Row],[Mrd m3 '[2020']]]*9.77*-1</f>
        <v>0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8.5</v>
      </c>
      <c r="D8">
        <f>Table15[[#This Row],[Mrd m3 '[2020']]]*9.77*-1</f>
        <v>-83.045000000000002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/>
      <c r="D9">
        <f>Table15[[#This Row],[Mrd m3 '[2020']]]*9.77*-1</f>
        <v>0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/>
      <c r="D10">
        <f>Table15[[#This Row],[Mrd m3 '[2020']]]*9.77*-1</f>
        <v>0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87</v>
      </c>
      <c r="C11" s="2">
        <v>2</v>
      </c>
      <c r="D11">
        <f>Table15[[#This Row],[Mrd m3 '[2020']]]*9.77*-1</f>
        <v>-19.54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40.700000000000003</v>
      </c>
      <c r="D12">
        <f>Table15[[#This Row],[Mrd m3 '[2020']]]*9.77*-1</f>
        <v>-397.63900000000001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86.5</v>
      </c>
      <c r="D13">
        <f>Table15[[#This Row],[Mrd m3 '[2020']]]*9.77*-1</f>
        <v>-845.10500000000002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5.7</v>
      </c>
      <c r="D14">
        <f>Table15[[#This Row],[Mrd m3 '[2020']]]*9.77*-1</f>
        <v>-55.689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10.199999999999999</v>
      </c>
      <c r="D15">
        <f>Table15[[#This Row],[Mrd m3 '[2020']]]*9.77*-1</f>
        <v>-99.653999999999982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/>
      <c r="D16">
        <f>Table15[[#This Row],[Mrd m3 '[2020']]]*9.77*-1</f>
        <v>0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67.7</v>
      </c>
      <c r="D17">
        <f>Table15[[#This Row],[Mrd m3 '[2020']]]*9.77*-1</f>
        <v>-661.42899999999997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/>
      <c r="D18">
        <f>Table15[[#This Row],[Mrd m3 '[2020']]]*9.77*-1</f>
        <v>0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/>
      <c r="D19">
        <f>Table15[[#This Row],[Mrd m3 '[2020']]]*9.77*-1</f>
        <v>0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/>
      <c r="D20">
        <f>Table15[[#This Row],[Mrd m3 '[2020']]]*9.77*-1</f>
        <v>0</v>
      </c>
      <c r="E20">
        <v>626.1</v>
      </c>
      <c r="F20">
        <f>IF(Table1[[#This Row],[TWh '[2020']]]=0,$D$27*(E20/$E$27),0)</f>
        <v>0</v>
      </c>
    </row>
    <row r="21" spans="1:6">
      <c r="A21" t="s">
        <v>114</v>
      </c>
      <c r="B21" t="s">
        <v>93</v>
      </c>
      <c r="C21" s="2"/>
      <c r="D21">
        <f>Table15[[#This Row],[Mrd m3 '[2020']]]*9.77*-1</f>
        <v>0</v>
      </c>
      <c r="E21">
        <v>514.6</v>
      </c>
      <c r="F21">
        <f>IF(Table1[[#This Row],[TWh '[2020']]]=0,$D$27*(E21/$E$27),0)</f>
        <v>-0.60658291905601469</v>
      </c>
    </row>
    <row r="22" spans="1:6">
      <c r="A22" t="s">
        <v>40</v>
      </c>
      <c r="B22" t="s">
        <v>69</v>
      </c>
      <c r="C22" s="2"/>
      <c r="D22">
        <f>Table15[[#This Row],[Mrd m3 '[2020']]]*9.77*-1</f>
        <v>0</v>
      </c>
      <c r="E22">
        <v>2579</v>
      </c>
      <c r="F22">
        <f>IF(Table1[[#This Row],[TWh '[2020']]]=0,$D$27*(E22/$E$27),0)</f>
        <v>-3.0399870739321062</v>
      </c>
    </row>
    <row r="23" spans="1:6">
      <c r="B23" t="s">
        <v>115</v>
      </c>
      <c r="C23" s="2"/>
      <c r="D23">
        <f>Table15[[#This Row],[Mrd m3 '[2020']]]*9.77*-1</f>
        <v>0</v>
      </c>
      <c r="E23">
        <v>621.9</v>
      </c>
      <c r="F23">
        <f>IF(Table1[[#This Row],[TWh '[2020']]]=0,$D$27*(E23/$E$27),0)</f>
        <v>-0.73306241228320157</v>
      </c>
    </row>
    <row r="24" spans="1:6">
      <c r="A24" t="s">
        <v>18</v>
      </c>
      <c r="B24" t="s">
        <v>7</v>
      </c>
      <c r="C24" s="2">
        <v>36.6</v>
      </c>
      <c r="D24">
        <f>Table15[[#This Row],[Mrd m3 '[2020']]]*9.77*-1</f>
        <v>-357.58199999999999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/>
      <c r="D25">
        <f>Table15[[#This Row],[Mrd m3 '[2020']]]*9.77*-1</f>
        <v>0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4.4000000000000004</v>
      </c>
      <c r="D26">
        <f>Table15[[#This Row],[Mrd m3 '[2020']]]*9.77*-1</f>
        <v>-42.988</v>
      </c>
      <c r="E26">
        <v>5367.6</v>
      </c>
      <c r="F26">
        <f>IF(Table1[[#This Row],[TWh '[2020']]]=0,$D$27*(E26/$E$27),0)</f>
        <v>0</v>
      </c>
    </row>
    <row r="27" spans="1:6">
      <c r="A27" t="s">
        <v>89</v>
      </c>
      <c r="B27" t="s">
        <v>90</v>
      </c>
      <c r="C27" s="2">
        <v>6.9655227952428636</v>
      </c>
      <c r="D27">
        <f>Table15[[#This Row],[Mrd m3 '[2020']]]*9.77*-1</f>
        <v>-68.053157709522779</v>
      </c>
      <c r="E27">
        <f>SUMIF(D2:D26,"=0",E2:E26)+SUMIF(D28:D42,"=0",E28:E42)</f>
        <v>57733.5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21.6</v>
      </c>
      <c r="D28">
        <f>Table15[[#This Row],[Mrd m3 '[2020']]]*9.77*-1</f>
        <v>-211.03200000000001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</v>
      </c>
      <c r="D29">
        <f>Table15[[#This Row],[Mrd m3 '[2020']]]*9.77*-1</f>
        <v>-58.62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88</v>
      </c>
      <c r="C30" s="2">
        <v>11.3</v>
      </c>
      <c r="D30">
        <f>Table15[[#This Row],[Mrd m3 '[2020']]]*9.77*-1</f>
        <v>-110.401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'[2020']]]*9.77*-1</f>
        <v>0</v>
      </c>
      <c r="E32">
        <v>6926.7</v>
      </c>
      <c r="F32">
        <f>IF(Table1[[#This Row],[TWh '[2020']]]=0,$D$27*(E32/$E$27),0)</f>
        <v>-8.1648229798392862</v>
      </c>
    </row>
    <row r="33" spans="1:6">
      <c r="A33" t="s">
        <v>29</v>
      </c>
      <c r="B33" t="s">
        <v>63</v>
      </c>
      <c r="C33" s="2"/>
      <c r="D33">
        <f>Table15[[#This Row],[Mrd m3 '[2020']]]*9.77*-1</f>
        <v>0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/>
      <c r="D34">
        <f>Table15[[#This Row],[Mrd m3 '[2020']]]*9.77*-1</f>
        <v>0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</v>
      </c>
      <c r="D35">
        <f>Table15[[#This Row],[Mrd m3 '[2020']]]*9.77*-1</f>
        <v>-316.54799999999994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1.1000000000000001</v>
      </c>
      <c r="D36">
        <f>Table15[[#This Row],[Mrd m3 '[2020']]]*9.77*-1</f>
        <v>-10.747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3.2</v>
      </c>
      <c r="D37">
        <f>Table15[[#This Row],[Mrd m3 '[2020']]]*9.77*-1</f>
        <v>-31.263999999999999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46.4</v>
      </c>
      <c r="D38">
        <f>Table15[[#This Row],[Mrd m3 '[2020']]]*9.77*-1</f>
        <v>-453.32799999999997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72.5</v>
      </c>
      <c r="D39">
        <f>Table15[[#This Row],[Mrd m3 '[2020']]]*9.77*-1</f>
        <v>-708.32499999999993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</v>
      </c>
      <c r="D40">
        <f>Table15[[#This Row],[Mrd m3 '[2020']]]*9.77*-1</f>
        <v>-286.26099999999997</v>
      </c>
      <c r="E40">
        <v>41733</v>
      </c>
      <c r="F40">
        <f>IF(Table1[[#This Row],[TWh '[2020']]]=0,$D$27*(E40/$E$27),0)</f>
        <v>0</v>
      </c>
    </row>
    <row r="41" spans="1:6">
      <c r="A41" t="s">
        <v>112</v>
      </c>
      <c r="B41" t="s">
        <v>113</v>
      </c>
      <c r="C41" s="2"/>
      <c r="D41">
        <f>Table15[[#This Row],[Mrd m3 '[2020']]]*9.77*-1</f>
        <v>0</v>
      </c>
      <c r="E41">
        <v>888</v>
      </c>
      <c r="F41">
        <f>IF(Table1[[#This Row],[TWh '[2020']]]=0,$D$27*(E41/$E$27),0)</f>
        <v>-1.046726840500857</v>
      </c>
    </row>
    <row r="42" spans="1:6">
      <c r="B42" t="s">
        <v>121</v>
      </c>
      <c r="C42" s="2"/>
      <c r="D42">
        <f>Table15[[#This Row],[Mrd m3 '[2020']]]*9.77*-1</f>
        <v>0</v>
      </c>
      <c r="E42">
        <v>1782</v>
      </c>
      <c r="F42">
        <f>IF(Table1[[#This Row],[TWh '[2020']]]=0,$D$27*(E42/$E$27),0)</f>
        <v>-2.1005261596537466</v>
      </c>
    </row>
    <row r="50" spans="1:2">
      <c r="A50" t="s">
        <v>136</v>
      </c>
    </row>
    <row r="51" spans="1:2">
      <c r="A51" t="s">
        <v>116</v>
      </c>
    </row>
    <row r="52" spans="1:2">
      <c r="A52" t="s">
        <v>117</v>
      </c>
      <c r="B52" t="s">
        <v>118</v>
      </c>
    </row>
    <row r="53" spans="1:2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2"/>
  <sheetViews>
    <sheetView workbookViewId="0">
      <selection activeCell="G95" sqref="G95"/>
    </sheetView>
  </sheetViews>
  <sheetFormatPr defaultRowHeight="14.5"/>
  <cols>
    <col min="3" max="3" width="8.90625" customWidth="1"/>
    <col min="4" max="4" width="8.81640625" customWidth="1"/>
  </cols>
  <sheetData>
    <row r="1" spans="1: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  <row r="91" spans="1:5">
      <c r="A91" s="4" t="s">
        <v>54</v>
      </c>
      <c r="B91" s="4" t="s">
        <v>36</v>
      </c>
      <c r="C91" s="4"/>
      <c r="D91" s="4">
        <f>C91*365</f>
        <v>0</v>
      </c>
      <c r="E91" s="4">
        <v>24.424999999999997</v>
      </c>
    </row>
    <row r="92" spans="1:5">
      <c r="A92" t="s">
        <v>36</v>
      </c>
      <c r="B92" t="s">
        <v>54</v>
      </c>
      <c r="D92">
        <f>C92*365</f>
        <v>0</v>
      </c>
      <c r="E92" s="4">
        <v>24.424999999999997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/>
  <sheetData>
    <row r="1" spans="1: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>
      <c r="A31" t="s">
        <v>41</v>
      </c>
      <c r="B31" t="s">
        <v>53</v>
      </c>
      <c r="F31" t="s">
        <v>130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102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102</v>
      </c>
    </row>
    <row r="37" spans="1:6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nodes_lng</vt:lpstr>
      <vt:lpstr>nodes_gas_prod</vt:lpstr>
      <vt:lpstr>nodes_demand_2020</vt:lpstr>
      <vt:lpstr>nodes_demand_2023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2025-02-19T07:32:10Z</dcterms:modified>
</cp:coreProperties>
</file>