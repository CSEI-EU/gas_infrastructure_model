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E88EF693-7830-4B34-8BD0-27770147B45D}" xr6:coauthVersionLast="47" xr6:coauthVersionMax="47" xr10:uidLastSave="{00000000-0000-0000-0000-000000000000}"/>
  <bookViews>
    <workbookView xWindow="-80" yWindow="-80" windowWidth="19360" windowHeight="10240" tabRatio="790" firstSheet="7" activeTab="7" xr2:uid="{00000000-000D-0000-FFFF-FFFF00000000}"/>
  </bookViews>
  <sheets>
    <sheet name="nodes_lng_europe_2020" sheetId="1" r:id="rId1"/>
    <sheet name="nodes_lng_europe_2024" sheetId="15" r:id="rId2"/>
    <sheet name="nodes_lng_europe_2035" sheetId="17" r:id="rId3"/>
    <sheet name="nodes_gas_prod_europe_2020" sheetId="2" r:id="rId4"/>
    <sheet name="nodes_gas_prod_world_2020" sheetId="11" r:id="rId5"/>
    <sheet name="nodes_gas_prod_europe_2024" sheetId="7" r:id="rId6"/>
    <sheet name="nodes_gas_prod_world_2024" sheetId="12" r:id="rId7"/>
    <sheet name="nodes_gas_prod_europe_2035_SP" sheetId="23" r:id="rId8"/>
    <sheet name="nodes_gas_prod_europe_2035_AP" sheetId="24" r:id="rId9"/>
    <sheet name="nodes_gas_prod_world_2035" sheetId="22" r:id="rId10"/>
    <sheet name="nodes_demand_europe_2020" sheetId="3" r:id="rId11"/>
    <sheet name="nodes_demand_world_2020" sheetId="13" r:id="rId12"/>
    <sheet name="nodes_demand_europe_2024" sheetId="6" r:id="rId13"/>
    <sheet name="nodes_demand_europe_2035" sheetId="18" r:id="rId14"/>
    <sheet name="nodes_demand_europe_2035_SP" sheetId="20" r:id="rId15"/>
    <sheet name="nodes_demand_europe_2035_AP" sheetId="21" r:id="rId16"/>
    <sheet name="nodes_demand_world_2024" sheetId="14" r:id="rId17"/>
    <sheet name="nodes_demand_world_2035" sheetId="19" r:id="rId18"/>
    <sheet name="Connections_2020" sheetId="4" r:id="rId19"/>
    <sheet name="Import_Connections_EU" sheetId="5" r:id="rId20"/>
    <sheet name="Connections_2024" sheetId="8" r:id="rId21"/>
    <sheet name="Global_Connections" sheetId="10" r:id="rId22"/>
    <sheet name="global_LNG_connections_2020" sheetId="9" r:id="rId23"/>
    <sheet name="global_LNG_connections_2024" sheetId="16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4" l="1"/>
  <c r="C36" i="24" s="1"/>
  <c r="G36" i="24" s="1"/>
  <c r="F36" i="24" s="1"/>
  <c r="E44" i="24"/>
  <c r="N42" i="24"/>
  <c r="M42" i="24"/>
  <c r="N41" i="24"/>
  <c r="M41" i="24"/>
  <c r="G41" i="24"/>
  <c r="F41" i="24"/>
  <c r="N40" i="24"/>
  <c r="M40" i="24"/>
  <c r="N39" i="24"/>
  <c r="M39" i="24"/>
  <c r="N38" i="24"/>
  <c r="M38" i="24"/>
  <c r="N37" i="24"/>
  <c r="M37" i="24"/>
  <c r="C37" i="24"/>
  <c r="G37" i="24" s="1"/>
  <c r="F37" i="24" s="1"/>
  <c r="N36" i="24"/>
  <c r="M36" i="24"/>
  <c r="N35" i="24"/>
  <c r="M35" i="24"/>
  <c r="N34" i="24"/>
  <c r="M34" i="24"/>
  <c r="N33" i="24"/>
  <c r="M33" i="24"/>
  <c r="N32" i="24"/>
  <c r="M32" i="24"/>
  <c r="N31" i="24"/>
  <c r="M31" i="24"/>
  <c r="C31" i="24"/>
  <c r="D44" i="24" s="1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C21" i="24"/>
  <c r="G21" i="24" s="1"/>
  <c r="F21" i="24" s="1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6" i="24"/>
  <c r="M6" i="24"/>
  <c r="K6" i="24"/>
  <c r="N5" i="24"/>
  <c r="M5" i="24"/>
  <c r="K5" i="24"/>
  <c r="C42" i="24" s="1"/>
  <c r="G42" i="24" s="1"/>
  <c r="F42" i="24" s="1"/>
  <c r="N4" i="24"/>
  <c r="M4" i="24"/>
  <c r="N3" i="24"/>
  <c r="M3" i="24"/>
  <c r="C3" i="24"/>
  <c r="G3" i="24" s="1"/>
  <c r="F3" i="24" s="1"/>
  <c r="N2" i="24"/>
  <c r="M2" i="24"/>
  <c r="C19" i="23"/>
  <c r="C15" i="23"/>
  <c r="C11" i="23"/>
  <c r="C4" i="23"/>
  <c r="K6" i="23"/>
  <c r="K5" i="23"/>
  <c r="C31" i="23"/>
  <c r="G21" i="23"/>
  <c r="C21" i="23"/>
  <c r="C37" i="23"/>
  <c r="C3" i="23"/>
  <c r="G3" i="23"/>
  <c r="F3" i="23" s="1"/>
  <c r="G11" i="23"/>
  <c r="F11" i="23" s="1"/>
  <c r="G19" i="23"/>
  <c r="F19" i="23" s="1"/>
  <c r="G31" i="23"/>
  <c r="F31" i="23" s="1"/>
  <c r="G37" i="23"/>
  <c r="G41" i="23"/>
  <c r="F41" i="23" s="1"/>
  <c r="D44" i="23"/>
  <c r="N42" i="23"/>
  <c r="M42" i="23"/>
  <c r="N41" i="23"/>
  <c r="M41" i="23"/>
  <c r="N40" i="23"/>
  <c r="M40" i="23"/>
  <c r="N39" i="23"/>
  <c r="M39" i="23"/>
  <c r="N38" i="23"/>
  <c r="M38" i="23"/>
  <c r="N37" i="23"/>
  <c r="M37" i="23"/>
  <c r="F37" i="23"/>
  <c r="N36" i="23"/>
  <c r="M36" i="23"/>
  <c r="N35" i="23"/>
  <c r="M35" i="23"/>
  <c r="N34" i="23"/>
  <c r="M34" i="23"/>
  <c r="N33" i="23"/>
  <c r="M33" i="23"/>
  <c r="N32" i="23"/>
  <c r="M32" i="23"/>
  <c r="N31" i="23"/>
  <c r="M31" i="23"/>
  <c r="N30" i="23"/>
  <c r="M30" i="23"/>
  <c r="N29" i="23"/>
  <c r="M29" i="23"/>
  <c r="N28" i="23"/>
  <c r="M28" i="23"/>
  <c r="N27" i="23"/>
  <c r="M27" i="23"/>
  <c r="N26" i="23"/>
  <c r="M26" i="23"/>
  <c r="N25" i="23"/>
  <c r="M25" i="23"/>
  <c r="N24" i="23"/>
  <c r="M24" i="23"/>
  <c r="N23" i="23"/>
  <c r="M23" i="23"/>
  <c r="N22" i="23"/>
  <c r="M22" i="23"/>
  <c r="N21" i="23"/>
  <c r="M21" i="23"/>
  <c r="F2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6" i="23"/>
  <c r="M6" i="23"/>
  <c r="N5" i="23"/>
  <c r="M5" i="23"/>
  <c r="N4" i="23"/>
  <c r="M4" i="23"/>
  <c r="N3" i="23"/>
  <c r="M3" i="23"/>
  <c r="N2" i="23"/>
  <c r="M2" i="23"/>
  <c r="E44" i="23"/>
  <c r="C14" i="22"/>
  <c r="G14" i="22" s="1"/>
  <c r="C13" i="22"/>
  <c r="C11" i="22"/>
  <c r="C10" i="22"/>
  <c r="C17" i="22"/>
  <c r="E17" i="22"/>
  <c r="C16" i="22"/>
  <c r="C15" i="22"/>
  <c r="C9" i="22"/>
  <c r="C8" i="22"/>
  <c r="G8" i="22"/>
  <c r="C7" i="22"/>
  <c r="G7" i="22" s="1"/>
  <c r="F7" i="22" s="1"/>
  <c r="C6" i="22"/>
  <c r="G6" i="22"/>
  <c r="F6" i="22" s="1"/>
  <c r="C5" i="22"/>
  <c r="C4" i="22"/>
  <c r="C3" i="22"/>
  <c r="C2" i="22"/>
  <c r="G16" i="22"/>
  <c r="F16" i="22" s="1"/>
  <c r="G15" i="22"/>
  <c r="G13" i="22"/>
  <c r="F13" i="22" s="1"/>
  <c r="G12" i="22"/>
  <c r="F12" i="22" s="1"/>
  <c r="G11" i="22"/>
  <c r="F11" i="22" s="1"/>
  <c r="G10" i="22"/>
  <c r="F10" i="22" s="1"/>
  <c r="G9" i="22"/>
  <c r="G5" i="22"/>
  <c r="F5" i="22" s="1"/>
  <c r="G4" i="22"/>
  <c r="F4" i="22" s="1"/>
  <c r="G3" i="22"/>
  <c r="G2" i="22"/>
  <c r="F2" i="22" s="1"/>
  <c r="F9" i="22"/>
  <c r="F27" i="20"/>
  <c r="C40" i="24" l="1"/>
  <c r="G40" i="24" s="1"/>
  <c r="F40" i="24" s="1"/>
  <c r="C38" i="24"/>
  <c r="G38" i="24" s="1"/>
  <c r="F38" i="24" s="1"/>
  <c r="C39" i="24"/>
  <c r="G39" i="24" s="1"/>
  <c r="F39" i="24" s="1"/>
  <c r="C2" i="24"/>
  <c r="C5" i="24"/>
  <c r="G5" i="24" s="1"/>
  <c r="F5" i="24" s="1"/>
  <c r="C7" i="24"/>
  <c r="G7" i="24" s="1"/>
  <c r="F7" i="24" s="1"/>
  <c r="G2" i="24"/>
  <c r="F2" i="24" s="1"/>
  <c r="C13" i="24"/>
  <c r="G13" i="24" s="1"/>
  <c r="F13" i="24" s="1"/>
  <c r="C29" i="24"/>
  <c r="G29" i="24" s="1"/>
  <c r="F29" i="24" s="1"/>
  <c r="C10" i="24"/>
  <c r="G10" i="24" s="1"/>
  <c r="F10" i="24" s="1"/>
  <c r="C18" i="24"/>
  <c r="G18" i="24" s="1"/>
  <c r="F18" i="24" s="1"/>
  <c r="C26" i="24"/>
  <c r="G26" i="24" s="1"/>
  <c r="F26" i="24" s="1"/>
  <c r="C34" i="24"/>
  <c r="G34" i="24" s="1"/>
  <c r="F34" i="24" s="1"/>
  <c r="C15" i="24"/>
  <c r="G15" i="24" s="1"/>
  <c r="F15" i="24" s="1"/>
  <c r="C23" i="24"/>
  <c r="G23" i="24" s="1"/>
  <c r="F23" i="24" s="1"/>
  <c r="C4" i="24"/>
  <c r="G4" i="24" s="1"/>
  <c r="F4" i="24" s="1"/>
  <c r="C12" i="24"/>
  <c r="G12" i="24" s="1"/>
  <c r="F12" i="24" s="1"/>
  <c r="C28" i="24"/>
  <c r="G28" i="24" s="1"/>
  <c r="F28" i="24" s="1"/>
  <c r="C9" i="24"/>
  <c r="G9" i="24" s="1"/>
  <c r="F9" i="24" s="1"/>
  <c r="C17" i="24"/>
  <c r="G17" i="24" s="1"/>
  <c r="F17" i="24" s="1"/>
  <c r="C25" i="24"/>
  <c r="G25" i="24" s="1"/>
  <c r="F25" i="24" s="1"/>
  <c r="G31" i="24"/>
  <c r="F31" i="24" s="1"/>
  <c r="C33" i="24"/>
  <c r="G33" i="24" s="1"/>
  <c r="F33" i="24" s="1"/>
  <c r="C6" i="24"/>
  <c r="G6" i="24" s="1"/>
  <c r="F6" i="24" s="1"/>
  <c r="C14" i="24"/>
  <c r="G14" i="24" s="1"/>
  <c r="F14" i="24" s="1"/>
  <c r="C30" i="24"/>
  <c r="G30" i="24" s="1"/>
  <c r="F30" i="24" s="1"/>
  <c r="C11" i="24"/>
  <c r="G11" i="24" s="1"/>
  <c r="F11" i="24" s="1"/>
  <c r="C19" i="24"/>
  <c r="G19" i="24" s="1"/>
  <c r="F19" i="24" s="1"/>
  <c r="C27" i="24"/>
  <c r="G27" i="24" s="1"/>
  <c r="F27" i="24" s="1"/>
  <c r="C35" i="24"/>
  <c r="G35" i="24" s="1"/>
  <c r="F35" i="24" s="1"/>
  <c r="C20" i="24"/>
  <c r="G20" i="24" s="1"/>
  <c r="F20" i="24" s="1"/>
  <c r="C22" i="24"/>
  <c r="G22" i="24" s="1"/>
  <c r="F22" i="24" s="1"/>
  <c r="C8" i="24"/>
  <c r="G8" i="24" s="1"/>
  <c r="F8" i="24" s="1"/>
  <c r="C16" i="24"/>
  <c r="G16" i="24" s="1"/>
  <c r="F16" i="24" s="1"/>
  <c r="C24" i="24"/>
  <c r="G24" i="24" s="1"/>
  <c r="F24" i="24" s="1"/>
  <c r="C32" i="24"/>
  <c r="G32" i="24" s="1"/>
  <c r="F32" i="24" s="1"/>
  <c r="G15" i="23"/>
  <c r="F15" i="23" s="1"/>
  <c r="G17" i="22"/>
  <c r="F17" i="22" s="1"/>
  <c r="F3" i="22"/>
  <c r="F8" i="22"/>
  <c r="F15" i="22"/>
  <c r="F14" i="22"/>
  <c r="C2" i="21"/>
  <c r="D2" i="21" s="1"/>
  <c r="C3" i="21"/>
  <c r="C4" i="21"/>
  <c r="C5" i="21"/>
  <c r="C6" i="21"/>
  <c r="C7" i="21"/>
  <c r="D7" i="21" s="1"/>
  <c r="G7" i="21" s="1"/>
  <c r="C8" i="21"/>
  <c r="C9" i="21"/>
  <c r="D9" i="21" s="1"/>
  <c r="G9" i="21" s="1"/>
  <c r="C10" i="21"/>
  <c r="D10" i="21" s="1"/>
  <c r="C11" i="21"/>
  <c r="C12" i="21"/>
  <c r="C13" i="21"/>
  <c r="C14" i="21"/>
  <c r="C15" i="21"/>
  <c r="D15" i="21" s="1"/>
  <c r="G15" i="21" s="1"/>
  <c r="C16" i="21"/>
  <c r="C17" i="21"/>
  <c r="D17" i="21" s="1"/>
  <c r="G17" i="21" s="1"/>
  <c r="C18" i="21"/>
  <c r="D18" i="21" s="1"/>
  <c r="C19" i="21"/>
  <c r="C20" i="21"/>
  <c r="C21" i="21"/>
  <c r="C22" i="21"/>
  <c r="C23" i="21"/>
  <c r="D23" i="21" s="1"/>
  <c r="G23" i="21" s="1"/>
  <c r="C24" i="21"/>
  <c r="C25" i="21"/>
  <c r="D25" i="21" s="1"/>
  <c r="G25" i="21" s="1"/>
  <c r="C26" i="21"/>
  <c r="D26" i="21" s="1"/>
  <c r="C27" i="21"/>
  <c r="C28" i="21"/>
  <c r="C29" i="21"/>
  <c r="C30" i="21"/>
  <c r="C31" i="21"/>
  <c r="D31" i="21" s="1"/>
  <c r="C32" i="21"/>
  <c r="C33" i="21"/>
  <c r="D33" i="21" s="1"/>
  <c r="C34" i="21"/>
  <c r="D34" i="21" s="1"/>
  <c r="G34" i="21" s="1"/>
  <c r="C35" i="21"/>
  <c r="C36" i="21"/>
  <c r="C37" i="21"/>
  <c r="C38" i="21"/>
  <c r="C39" i="21"/>
  <c r="D39" i="21" s="1"/>
  <c r="C40" i="21"/>
  <c r="C41" i="21"/>
  <c r="D41" i="21" s="1"/>
  <c r="C42" i="21"/>
  <c r="D42" i="21" s="1"/>
  <c r="G42" i="21" s="1"/>
  <c r="D40" i="21"/>
  <c r="G40" i="21" s="1"/>
  <c r="D38" i="21"/>
  <c r="G38" i="21" s="1"/>
  <c r="D37" i="21"/>
  <c r="D36" i="21"/>
  <c r="G36" i="21" s="1"/>
  <c r="D35" i="21"/>
  <c r="D32" i="21"/>
  <c r="D30" i="21"/>
  <c r="D29" i="21"/>
  <c r="D28" i="21"/>
  <c r="D27" i="21"/>
  <c r="F27" i="21" s="1"/>
  <c r="D24" i="21"/>
  <c r="G24" i="21" s="1"/>
  <c r="D22" i="21"/>
  <c r="G22" i="21" s="1"/>
  <c r="D21" i="21"/>
  <c r="G21" i="21" s="1"/>
  <c r="D20" i="21"/>
  <c r="D19" i="21"/>
  <c r="G19" i="21" s="1"/>
  <c r="D16" i="21"/>
  <c r="D14" i="21"/>
  <c r="D13" i="21"/>
  <c r="G13" i="21" s="1"/>
  <c r="D12" i="21"/>
  <c r="D11" i="21"/>
  <c r="G11" i="21" s="1"/>
  <c r="D8" i="21"/>
  <c r="D6" i="21"/>
  <c r="D5" i="21"/>
  <c r="G5" i="21" s="1"/>
  <c r="D4" i="21"/>
  <c r="D3" i="21"/>
  <c r="G3" i="21" s="1"/>
  <c r="D2" i="20"/>
  <c r="D3" i="20"/>
  <c r="D4" i="20"/>
  <c r="D5" i="20"/>
  <c r="D6" i="20"/>
  <c r="F6" i="20" s="1"/>
  <c r="D7" i="20"/>
  <c r="F7" i="20" s="1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F22" i="20" s="1"/>
  <c r="D23" i="20"/>
  <c r="F23" i="20" s="1"/>
  <c r="D24" i="20"/>
  <c r="D25" i="20"/>
  <c r="D26" i="20"/>
  <c r="D27" i="20"/>
  <c r="D28" i="20"/>
  <c r="D29" i="20"/>
  <c r="D30" i="20"/>
  <c r="F30" i="20" s="1"/>
  <c r="D31" i="20"/>
  <c r="F31" i="20" s="1"/>
  <c r="D32" i="20"/>
  <c r="D33" i="20"/>
  <c r="D34" i="20"/>
  <c r="D35" i="20"/>
  <c r="D36" i="20"/>
  <c r="D37" i="20"/>
  <c r="D38" i="20"/>
  <c r="F38" i="20" s="1"/>
  <c r="D39" i="20"/>
  <c r="F39" i="20" s="1"/>
  <c r="D40" i="20"/>
  <c r="D41" i="20"/>
  <c r="D42" i="20"/>
  <c r="F2" i="20"/>
  <c r="F3" i="20"/>
  <c r="F11" i="20"/>
  <c r="F15" i="20"/>
  <c r="F19" i="20"/>
  <c r="F35" i="20"/>
  <c r="F4" i="20"/>
  <c r="F5" i="20"/>
  <c r="F8" i="20"/>
  <c r="F9" i="20"/>
  <c r="F10" i="20"/>
  <c r="F12" i="20"/>
  <c r="F13" i="20"/>
  <c r="F14" i="20"/>
  <c r="F16" i="20"/>
  <c r="F17" i="20"/>
  <c r="F18" i="20"/>
  <c r="F20" i="20"/>
  <c r="F21" i="20"/>
  <c r="F24" i="20"/>
  <c r="F25" i="20"/>
  <c r="F26" i="20"/>
  <c r="F28" i="20"/>
  <c r="F29" i="20"/>
  <c r="F32" i="20"/>
  <c r="F33" i="20"/>
  <c r="F34" i="20"/>
  <c r="F36" i="20"/>
  <c r="F37" i="20"/>
  <c r="F40" i="20"/>
  <c r="F41" i="20"/>
  <c r="F42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3" i="20"/>
  <c r="C4" i="20"/>
  <c r="C2" i="20"/>
  <c r="G2" i="6"/>
  <c r="I2" i="18"/>
  <c r="G2" i="19"/>
  <c r="F2" i="19" s="1"/>
  <c r="G3" i="19"/>
  <c r="F3" i="19" s="1"/>
  <c r="G10" i="19"/>
  <c r="G12" i="19"/>
  <c r="G15" i="19"/>
  <c r="E4" i="19"/>
  <c r="G2" i="14"/>
  <c r="J2" i="18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C44" i="24" l="1"/>
  <c r="C45" i="24" s="1"/>
  <c r="F12" i="19"/>
  <c r="F7" i="19"/>
  <c r="F4" i="19"/>
  <c r="F17" i="19"/>
  <c r="F18" i="19"/>
  <c r="F9" i="19"/>
  <c r="F5" i="19"/>
  <c r="F20" i="19"/>
  <c r="F6" i="19"/>
  <c r="F22" i="19"/>
  <c r="G6" i="21"/>
  <c r="F6" i="21"/>
  <c r="F33" i="21"/>
  <c r="G33" i="21"/>
  <c r="G8" i="21"/>
  <c r="F8" i="21"/>
  <c r="G28" i="21"/>
  <c r="F28" i="21"/>
  <c r="F35" i="21"/>
  <c r="G35" i="21"/>
  <c r="G16" i="21"/>
  <c r="F16" i="21"/>
  <c r="G12" i="21"/>
  <c r="F12" i="21"/>
  <c r="G14" i="21"/>
  <c r="F14" i="21"/>
  <c r="F29" i="21"/>
  <c r="G29" i="21"/>
  <c r="G41" i="21"/>
  <c r="F41" i="21"/>
  <c r="G32" i="21"/>
  <c r="F32" i="21"/>
  <c r="G26" i="21"/>
  <c r="F26" i="21"/>
  <c r="F39" i="21"/>
  <c r="G39" i="21"/>
  <c r="G4" i="21"/>
  <c r="F4" i="21"/>
  <c r="G20" i="21"/>
  <c r="F20" i="21"/>
  <c r="G30" i="21"/>
  <c r="F30" i="21"/>
  <c r="G2" i="21"/>
  <c r="F2" i="21"/>
  <c r="E27" i="21"/>
  <c r="G31" i="21" s="1"/>
  <c r="G18" i="21"/>
  <c r="F18" i="21"/>
  <c r="G10" i="21"/>
  <c r="F10" i="21"/>
  <c r="F31" i="21"/>
  <c r="F37" i="21"/>
  <c r="G37" i="21"/>
  <c r="F3" i="21"/>
  <c r="F5" i="21"/>
  <c r="F7" i="21"/>
  <c r="F9" i="21"/>
  <c r="F11" i="21"/>
  <c r="F13" i="21"/>
  <c r="F15" i="21"/>
  <c r="F17" i="21"/>
  <c r="F19" i="21"/>
  <c r="F21" i="21"/>
  <c r="F23" i="21"/>
  <c r="F25" i="21"/>
  <c r="G27" i="21"/>
  <c r="F22" i="21"/>
  <c r="F24" i="21"/>
  <c r="F34" i="21"/>
  <c r="F36" i="21"/>
  <c r="F38" i="21"/>
  <c r="F40" i="21"/>
  <c r="F42" i="21"/>
  <c r="E27" i="20"/>
  <c r="G20" i="20" s="1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5" i="18" s="1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G28" i="20" l="1"/>
  <c r="G26" i="20"/>
  <c r="G30" i="20"/>
  <c r="G36" i="20"/>
  <c r="G37" i="20"/>
  <c r="G12" i="20"/>
  <c r="G25" i="20"/>
  <c r="G18" i="20"/>
  <c r="G38" i="20"/>
  <c r="G10" i="20"/>
  <c r="G34" i="20"/>
  <c r="G6" i="20"/>
  <c r="G27" i="20"/>
  <c r="G24" i="20"/>
  <c r="G39" i="20"/>
  <c r="G16" i="20"/>
  <c r="G4" i="20"/>
  <c r="G35" i="20"/>
  <c r="G15" i="20"/>
  <c r="G3" i="20"/>
  <c r="G33" i="20"/>
  <c r="G14" i="20"/>
  <c r="G29" i="20"/>
  <c r="G13" i="20"/>
  <c r="G11" i="20"/>
  <c r="G8" i="20"/>
  <c r="G19" i="20"/>
  <c r="G7" i="20"/>
  <c r="G17" i="20"/>
  <c r="G9" i="20"/>
  <c r="G40" i="20"/>
  <c r="G32" i="20"/>
  <c r="G2" i="20"/>
  <c r="G42" i="20"/>
  <c r="G31" i="20"/>
  <c r="G5" i="20"/>
  <c r="G41" i="20"/>
  <c r="G23" i="20"/>
  <c r="G22" i="20"/>
  <c r="G21" i="20"/>
  <c r="D28" i="18"/>
  <c r="D35" i="18"/>
  <c r="H44" i="18"/>
  <c r="H45" i="18"/>
  <c r="C5" i="18" s="1"/>
  <c r="I5" i="18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C12" i="18" l="1"/>
  <c r="I12" i="18" s="1"/>
  <c r="D34" i="18"/>
  <c r="D4" i="18"/>
  <c r="D20" i="18"/>
  <c r="D33" i="18"/>
  <c r="D27" i="18"/>
  <c r="D15" i="18"/>
  <c r="D36" i="18"/>
  <c r="D21" i="18"/>
  <c r="D37" i="18"/>
  <c r="D17" i="18"/>
  <c r="D7" i="18"/>
  <c r="D3" i="18"/>
  <c r="D18" i="18"/>
  <c r="D19" i="18"/>
  <c r="D42" i="18"/>
  <c r="D5" i="18"/>
  <c r="D26" i="18"/>
  <c r="D9" i="18"/>
  <c r="D12" i="18"/>
  <c r="D39" i="18"/>
  <c r="D6" i="18"/>
  <c r="D22" i="18"/>
  <c r="D8" i="18"/>
  <c r="D30" i="18"/>
  <c r="D2" i="18"/>
  <c r="C2" i="18"/>
  <c r="D23" i="18"/>
  <c r="D32" i="18"/>
  <c r="D41" i="18"/>
  <c r="D14" i="18"/>
  <c r="D13" i="18"/>
  <c r="D25" i="18"/>
  <c r="D29" i="18"/>
  <c r="D11" i="18"/>
  <c r="D31" i="18"/>
  <c r="D10" i="18"/>
  <c r="D40" i="18"/>
  <c r="D38" i="18"/>
  <c r="D16" i="18"/>
  <c r="D24" i="18"/>
  <c r="C16" i="18"/>
  <c r="I16" i="18" s="1"/>
  <c r="C32" i="18"/>
  <c r="I32" i="18" s="1"/>
  <c r="C35" i="18"/>
  <c r="I35" i="18" s="1"/>
  <c r="C36" i="18"/>
  <c r="I36" i="18" s="1"/>
  <c r="C19" i="18"/>
  <c r="I19" i="18" s="1"/>
  <c r="C21" i="18"/>
  <c r="I21" i="18" s="1"/>
  <c r="C13" i="18"/>
  <c r="I13" i="18" s="1"/>
  <c r="C39" i="18"/>
  <c r="I39" i="18" s="1"/>
  <c r="C10" i="18"/>
  <c r="I10" i="18" s="1"/>
  <c r="C26" i="18"/>
  <c r="I26" i="18" s="1"/>
  <c r="C22" i="18"/>
  <c r="I22" i="18" s="1"/>
  <c r="C40" i="18"/>
  <c r="I40" i="18" s="1"/>
  <c r="C41" i="18"/>
  <c r="I41" i="18" s="1"/>
  <c r="C29" i="18"/>
  <c r="I29" i="18" s="1"/>
  <c r="C9" i="18"/>
  <c r="I9" i="18" s="1"/>
  <c r="C25" i="18"/>
  <c r="I25" i="18" s="1"/>
  <c r="C4" i="18"/>
  <c r="I4" i="18" s="1"/>
  <c r="C33" i="18"/>
  <c r="I33" i="18" s="1"/>
  <c r="C34" i="18"/>
  <c r="I34" i="18" s="1"/>
  <c r="C20" i="18"/>
  <c r="I20" i="18" s="1"/>
  <c r="C24" i="18"/>
  <c r="I24" i="18" s="1"/>
  <c r="C30" i="18"/>
  <c r="I30" i="18" s="1"/>
  <c r="C23" i="18"/>
  <c r="I23" i="18" s="1"/>
  <c r="C7" i="18"/>
  <c r="I7" i="18" s="1"/>
  <c r="C3" i="18"/>
  <c r="I3" i="18" s="1"/>
  <c r="C18" i="18"/>
  <c r="I18" i="18" s="1"/>
  <c r="C14" i="18"/>
  <c r="I14" i="18" s="1"/>
  <c r="C42" i="18"/>
  <c r="I42" i="18" s="1"/>
  <c r="C11" i="18"/>
  <c r="I11" i="18" s="1"/>
  <c r="C38" i="18"/>
  <c r="I38" i="18" s="1"/>
  <c r="C6" i="18"/>
  <c r="I6" i="18" s="1"/>
  <c r="C8" i="18"/>
  <c r="I8" i="18" s="1"/>
  <c r="C27" i="18"/>
  <c r="I27" i="18" s="1"/>
  <c r="C17" i="18"/>
  <c r="I17" i="18" s="1"/>
  <c r="C15" i="18"/>
  <c r="I15" i="18" s="1"/>
  <c r="C28" i="18"/>
  <c r="I28" i="18" s="1"/>
  <c r="C31" i="18"/>
  <c r="I31" i="18" s="1"/>
  <c r="C37" i="18"/>
  <c r="I37" i="18" s="1"/>
  <c r="G17" i="12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3" i="6"/>
  <c r="G21" i="6"/>
  <c r="G31" i="6"/>
  <c r="G5" i="6"/>
  <c r="G41" i="6"/>
  <c r="G32" i="6"/>
  <c r="G13" i="23"/>
  <c r="F13" i="23" s="1"/>
  <c r="C13" i="23"/>
  <c r="C8" i="23"/>
  <c r="G8" i="23" s="1"/>
  <c r="F8" i="23" s="1"/>
  <c r="G14" i="23"/>
  <c r="F14" i="23" s="1"/>
  <c r="C14" i="23"/>
  <c r="C34" i="23"/>
  <c r="G34" i="23" s="1"/>
  <c r="F34" i="23" s="1"/>
  <c r="C36" i="23"/>
  <c r="G36" i="23" s="1"/>
  <c r="F36" i="23" s="1"/>
  <c r="C23" i="23"/>
  <c r="G23" i="23" s="1"/>
  <c r="F23" i="23" s="1"/>
  <c r="C6" i="23"/>
  <c r="G6" i="23" s="1"/>
  <c r="F6" i="23" s="1"/>
  <c r="C20" i="23"/>
  <c r="G20" i="23" s="1"/>
  <c r="F20" i="23" s="1"/>
  <c r="G17" i="23"/>
  <c r="F17" i="23" s="1"/>
  <c r="C17" i="23"/>
  <c r="C16" i="23"/>
  <c r="G16" i="23" s="1"/>
  <c r="F16" i="23" s="1"/>
  <c r="C28" i="23"/>
  <c r="G28" i="23" s="1"/>
  <c r="F28" i="23" s="1"/>
  <c r="C25" i="23"/>
  <c r="G25" i="23" s="1"/>
  <c r="F25" i="23" s="1"/>
  <c r="C18" i="23"/>
  <c r="G18" i="23" s="1"/>
  <c r="F18" i="23" s="1"/>
  <c r="C42" i="23"/>
  <c r="G42" i="23" s="1"/>
  <c r="F42" i="23" s="1"/>
  <c r="G12" i="23"/>
  <c r="F12" i="23" s="1"/>
  <c r="C12" i="23"/>
  <c r="C35" i="23"/>
  <c r="G35" i="23" s="1"/>
  <c r="F35" i="23" s="1"/>
  <c r="C29" i="23"/>
  <c r="G29" i="23"/>
  <c r="F29" i="23" s="1"/>
  <c r="C30" i="23"/>
  <c r="G30" i="23" s="1"/>
  <c r="F30" i="23" s="1"/>
  <c r="C9" i="23"/>
  <c r="G9" i="23" s="1"/>
  <c r="F9" i="23" s="1"/>
  <c r="C24" i="23"/>
  <c r="G24" i="23" s="1"/>
  <c r="F24" i="23" s="1"/>
  <c r="C10" i="23"/>
  <c r="G10" i="23" s="1"/>
  <c r="F10" i="23" s="1"/>
  <c r="C22" i="23"/>
  <c r="G22" i="23"/>
  <c r="F22" i="23"/>
  <c r="G4" i="23"/>
  <c r="F4" i="23" s="1"/>
  <c r="J6" i="23"/>
  <c r="C5" i="23" s="1"/>
  <c r="G5" i="23" s="1"/>
  <c r="F5" i="23" s="1"/>
  <c r="C33" i="23" l="1"/>
  <c r="G33" i="23" s="1"/>
  <c r="F33" i="23" s="1"/>
  <c r="C7" i="23"/>
  <c r="G7" i="23" s="1"/>
  <c r="F7" i="23" s="1"/>
  <c r="C32" i="23"/>
  <c r="G32" i="23" s="1"/>
  <c r="F32" i="23" s="1"/>
  <c r="C38" i="23"/>
  <c r="G38" i="23" s="1"/>
  <c r="F38" i="23" s="1"/>
  <c r="C39" i="23"/>
  <c r="G39" i="23" s="1"/>
  <c r="F39" i="23" s="1"/>
  <c r="C2" i="23"/>
  <c r="C27" i="23"/>
  <c r="G27" i="23" s="1"/>
  <c r="F27" i="23" s="1"/>
  <c r="C26" i="23"/>
  <c r="G26" i="23" s="1"/>
  <c r="F26" i="23" s="1"/>
  <c r="C40" i="23"/>
  <c r="G40" i="23" s="1"/>
  <c r="F40" i="23" s="1"/>
  <c r="C44" i="23" l="1"/>
  <c r="C45" i="23" s="1"/>
  <c r="G2" i="23"/>
  <c r="F2" i="23" s="1"/>
</calcChain>
</file>

<file path=xl/sharedStrings.xml><?xml version="1.0" encoding="utf-8"?>
<sst xmlns="http://schemas.openxmlformats.org/spreadsheetml/2006/main" count="3341" uniqueCount="308">
  <si>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</si>
  <si>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</si>
  <si>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</si>
  <si>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</si>
  <si>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</si>
  <si>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</si>
  <si>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</si>
  <si>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</si>
  <si>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</si>
  <si>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</si>
  <si>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</si>
  <si>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</si>
  <si>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</si>
  <si>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</si>
  <si>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</si>
  <si>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</si>
  <si>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</si>
  <si>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</si>
  <si>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</si>
  <si>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</si>
  <si>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</si>
  <si>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</si>
  <si>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</si>
  <si>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</si>
  <si>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</si>
  <si>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</si>
  <si>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</si>
  <si>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</si>
  <si>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</si>
  <si>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</si>
  <si>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</si>
  <si>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</si>
  <si>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</si>
  <si>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</si>
  <si>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</si>
  <si>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</si>
  <si>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</si>
  <si>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</si>
  <si>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</si>
  <si>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</si>
  <si>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</si>
  <si>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</si>
  <si>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</si>
  <si>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</si>
  <si>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</si>
  <si>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</si>
  <si>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</si>
  <si>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</si>
  <si>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</si>
  <si>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</si>
  <si>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</si>
  <si>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</si>
  <si>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</si>
  <si>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</si>
  <si>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</si>
  <si>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</si>
  <si>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</si>
  <si>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</si>
  <si>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</si>
  <si>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</si>
  <si>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</si>
  <si>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</si>
  <si>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</si>
  <si>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</si>
  <si>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</si>
  <si>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</si>
  <si>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</si>
  <si>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</si>
  <si>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</si>
  <si>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</si>
  <si>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</si>
  <si>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</si>
  <si>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</si>
  <si>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</si>
  <si>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</si>
  <si>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</si>
  <si>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</si>
  <si>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</si>
  <si>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</si>
  <si>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</si>
  <si>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</si>
  <si>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</si>
  <si>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</si>
  <si>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</si>
  <si>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</si>
  <si>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</si>
  <si>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</si>
  <si>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</si>
  <si>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</si>
  <si>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</si>
  <si>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</si>
  <si>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</si>
  <si>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</si>
  <si>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</si>
  <si>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</si>
  <si>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</si>
  <si>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</si>
  <si>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</si>
  <si>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</si>
  <si>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</si>
  <si>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</si>
  <si>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</si>
  <si>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</si>
  <si>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</si>
  <si>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</si>
  <si>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</si>
  <si>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</si>
  <si>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</si>
  <si>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</si>
  <si>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</si>
  <si>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</si>
  <si>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</si>
  <si>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</si>
  <si>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</si>
  <si>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</si>
  <si>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</si>
  <si>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</si>
  <si>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</si>
  <si>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</si>
  <si>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</si>
  <si>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</si>
  <si>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</si>
  <si>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</si>
  <si>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</si>
  <si>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</si>
  <si>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</si>
  <si>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</si>
  <si>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</si>
  <si>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</si>
  <si>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</si>
  <si>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</si>
  <si>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</si>
  <si>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</si>
  <si>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</si>
  <si>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</si>
  <si>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</si>
  <si>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</si>
  <si>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</si>
  <si>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</si>
  <si>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</si>
  <si>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</si>
  <si>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</si>
  <si>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</si>
  <si>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</si>
  <si>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</si>
  <si>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</si>
  <si>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</si>
  <si>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</si>
  <si>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</si>
  <si>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</si>
  <si>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</si>
  <si>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</si>
  <si>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</si>
  <si>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</si>
  <si>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</si>
  <si>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</si>
  <si>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</si>
  <si>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</si>
  <si>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</si>
  <si>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</si>
  <si>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</si>
  <si>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</si>
  <si>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</si>
  <si>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</si>
  <si>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</si>
  <si>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</si>
  <si>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</si>
  <si>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</si>
  <si>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</si>
  <si>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</si>
  <si>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</si>
  <si>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</si>
  <si>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</si>
  <si>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</si>
  <si>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</si>
  <si>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</si>
  <si>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</si>
  <si>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</si>
  <si>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</si>
  <si>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</si>
  <si>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</si>
  <si>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</si>
  <si>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</si>
  <si>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</si>
  <si>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</si>
  <si>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</si>
  <si>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</si>
  <si>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</si>
  <si>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</si>
  <si>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</si>
  <si>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</si>
  <si>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</si>
  <si>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</si>
  <si>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</si>
  <si>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</si>
  <si>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</si>
  <si>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</si>
  <si>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</si>
  <si>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</si>
  <si>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</si>
  <si>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</si>
  <si>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</si>
  <si>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</si>
  <si>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</si>
  <si>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</si>
  <si>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</si>
  <si>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</si>
  <si>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</si>
  <si>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</si>
  <si>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</si>
  <si>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</si>
  <si>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</si>
  <si>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</si>
  <si>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</si>
  <si>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</si>
  <si>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</si>
  <si>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</si>
  <si>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</si>
  <si>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</si>
  <si>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</si>
  <si>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</si>
  <si>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</si>
  <si>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</si>
  <si>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</si>
  <si>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</si>
  <si>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</si>
  <si>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</si>
  <si>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</si>
  <si>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</si>
  <si>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</si>
  <si>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</si>
  <si>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</si>
  <si>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</si>
  <si>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</si>
  <si>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</si>
  <si>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</si>
  <si>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</si>
  <si>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</si>
  <si>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</si>
  <si>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</si>
  <si>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</si>
  <si>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</si>
  <si>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</si>
  <si>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</si>
  <si>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</si>
  <si>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</si>
  <si>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</si>
  <si>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</si>
  <si>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</si>
  <si>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</si>
  <si>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</si>
  <si>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</si>
  <si>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</si>
  <si>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</si>
  <si>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</si>
  <si>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</si>
  <si>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</si>
  <si>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</si>
  <si>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</si>
  <si>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</si>
  <si>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</si>
  <si>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</si>
  <si>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</si>
  <si>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</si>
  <si>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</si>
  <si>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</si>
  <si>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</si>
  <si>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</si>
  <si>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</si>
  <si>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</si>
  <si>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</si>
  <si>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</si>
  <si>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</si>
  <si>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</si>
  <si>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</si>
  <si>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</si>
  <si>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</si>
  <si>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</si>
  <si>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</si>
  <si>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</si>
  <si>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</si>
  <si>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</si>
  <si>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</si>
  <si>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</si>
  <si>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</si>
  <si>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</si>
  <si>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</si>
  <si>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</si>
  <si>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</si>
  <si>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</si>
  <si>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</si>
  <si>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</si>
  <si>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</si>
  <si>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</si>
  <si>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</si>
  <si>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</si>
  <si>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</si>
  <si>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</si>
  <si>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</si>
  <si>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</si>
  <si>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</si>
  <si>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</si>
  <si>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</si>
  <si>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</si>
  <si>
    <t>Mil m3 [2024]</t>
  </si>
  <si>
    <t>Mil m3 EU [2024]</t>
  </si>
  <si>
    <t>Stated Policy</t>
  </si>
  <si>
    <t>non 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</si>
</sst>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97"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bottom style="thin">
          <color rgb="FF9BC2E6"/>
        </bottom>
      </border>
    </dxf>
    <dxf>
      <border outline="0">
        <top style="thin">
          <color rgb="FF9BC2E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96"/>
    <tableColumn id="5" xr3:uid="{4278F9D8-E46F-44B9-A622-727B8E2C8EF1}" name="Mil m3 EU [2020]" dataDxfId="95"/>
    <tableColumn id="6" xr3:uid="{F2BDB73C-713D-4BC7-B762-048AA072F297}" name="Mrd m3 EU [2020]" dataDxfId="94">
      <calculatedColumnFormula>Table2[[#This Row],[Mil m3 EU '[2020']]]/1000</calculatedColumnFormula>
    </tableColumn>
    <tableColumn id="7" xr3:uid="{337F5DC2-FD6B-445B-A2F7-5464B34B589E}" name="GWh [2020]" dataDxfId="93">
      <calculatedColumnFormula>Table2[[#This Row],[TWh '[2020']2]]*1000</calculatedColumnFormula>
    </tableColumn>
    <tableColumn id="4" xr3:uid="{5BB2DA97-8C23-44BC-9268-BDBE2BCDBBC8}" name="TWh [2020]2" dataDxfId="92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91" headerRowBorderDxfId="90" tableBorderDxfId="89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88">
      <calculatedColumnFormula>Table7[[#This Row],[Mil m3 '[2020']]]/1000</calculatedColumnFormula>
    </tableColumn>
    <tableColumn id="7" xr3:uid="{4A1E0E2A-2ECC-45EB-9D63-EC01B197BAA8}" name="GWh [2020]" dataDxfId="87">
      <calculatedColumnFormula>Table7[[#This Row],[TWh '[2020']2]]*1000</calculatedColumnFormula>
    </tableColumn>
    <tableColumn id="6" xr3:uid="{ECFA587C-DE79-4510-9945-328AB8DBC35F}" name="TWh [2020]2" dataDxfId="86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85"/>
    <tableColumn id="5" xr3:uid="{42F1A333-D727-4655-B618-A9AB5617745F}" name="Mil m3 EU [2020]" dataDxfId="84"/>
    <tableColumn id="6" xr3:uid="{326B3A9A-70B2-4D34-8E01-54CBBD0565E6}" name="Mrd m3 EU [2020]" dataDxfId="83">
      <calculatedColumnFormula>Table26[[#This Row],[Mil m3 EU '[2020']]]/1000</calculatedColumnFormula>
    </tableColumn>
    <tableColumn id="7" xr3:uid="{7EF7045A-D72E-40AA-A523-1A389D57AAF5}" name="GWh [2020]" dataDxfId="82">
      <calculatedColumnFormula>Table26[[#This Row],[TWh '[2020']]]*1000</calculatedColumnFormula>
    </tableColumn>
    <tableColumn id="4" xr3:uid="{DC1916A1-B3CC-4586-AE6D-12CF46A9C0F0}" name="TWh [2020]" dataDxfId="81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80" headerRowBorderDxfId="79" tableBorderDxfId="78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77">
      <calculatedColumnFormula>Table79[[#This Row],[Mil m3 '[2020']]]/1000</calculatedColumnFormula>
    </tableColumn>
    <tableColumn id="7" xr3:uid="{A1AF1224-2FA6-47E0-9ECD-AB8B46DF628B}" name="GWh [2020]" dataDxfId="76">
      <calculatedColumnFormula>Table79[[#This Row],[TWh '[2020']]]*1000</calculatedColumnFormula>
    </tableColumn>
    <tableColumn id="6" xr3:uid="{0CF67BB6-4E02-4893-BB83-4858F32AB909}" name="TWh [2020]" dataDxfId="75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D9E5571-1845-4A9F-9E7C-B667F6A8C670}" name="Table2620" displayName="Table2620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372275E9-F8BA-48D2-ACA0-A4A1A54CB9AA}" name="Country"/>
    <tableColumn id="2" xr3:uid="{82057241-5F95-4876-AE25-27D76578972D}" name="Long_name"/>
    <tableColumn id="3" xr3:uid="{87A0EF48-52CD-4413-BE4C-7A6E497EBCAC}" name="Mrd m3 [2035] SP" dataDxfId="9"/>
    <tableColumn id="5" xr3:uid="{6BE9D8BC-17DF-46B0-904B-E214536BC73C}" name="Mil m3 EU [2024]" dataDxfId="8"/>
    <tableColumn id="6" xr3:uid="{88443DA7-833C-4668-ABC7-6640612488C4}" name="Mrd m3 EU [2020]" dataDxfId="7"/>
    <tableColumn id="7" xr3:uid="{64FD0380-738D-4F61-AAEA-FA6952811E43}" name="GWh [2020]" dataDxfId="6">
      <calculatedColumnFormula>Table2620[[#This Row],[TWh '[2020']]]*1000</calculatedColumnFormula>
    </tableColumn>
    <tableColumn id="4" xr3:uid="{920F5378-329F-48CE-AB35-E8FBBE6E4295}" name="TWh [2020]" dataDxfId="5">
      <calculatedColumnFormula>(Table2620[[#This Row],[Mrd m3 '[2035'] SP]])*9.77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735A1A2-A9D6-4626-8E5A-A0290FCFFE36}" name="Table262021" displayName="Table262021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483DC4F-74A0-4FD7-965D-2CF2BE907B9E}" name="Country"/>
    <tableColumn id="2" xr3:uid="{79BB7EB0-D282-4AEF-A564-63421732A219}" name="Long_name"/>
    <tableColumn id="3" xr3:uid="{FF87377E-E2DA-4047-84FC-189C87065CD1}" name="Mrd m3 [2035] SP" dataDxfId="4"/>
    <tableColumn id="5" xr3:uid="{31D61434-4BE8-4DF8-919D-0B08C9C85FF9}" name="Mil m3 EU [2024]" dataDxfId="3"/>
    <tableColumn id="6" xr3:uid="{791C1399-23F6-4DDC-8608-02DCF3203E4D}" name="Mrd m3 EU [2020]" dataDxfId="2"/>
    <tableColumn id="7" xr3:uid="{C7B33927-885B-433C-9C92-1A5BB72E75AE}" name="GWh [2020]" dataDxfId="1">
      <calculatedColumnFormula>Table262021[[#This Row],[TWh '[2020']]]*1000</calculatedColumnFormula>
    </tableColumn>
    <tableColumn id="4" xr3:uid="{5CDEC814-A327-4D11-A6C7-3DEC6EA2D16D}" name="TWh [2020]" dataDxfId="0">
      <calculatedColumnFormula>(Table262021[[#This Row],[Mrd m3 '[2035'] SP]])*9.77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B215816-2FDA-4829-AC16-2EE92DD94CC3}" name="Table7919" displayName="Table7919" ref="A1:G17" totalsRowShown="0" headerRowDxfId="15" headerRowBorderDxfId="13" tableBorderDxfId="14">
  <autoFilter ref="A1:G17" xr:uid="{FA14358E-0A26-44DE-ADCA-3F13E2A3D0D9}"/>
  <tableColumns count="7">
    <tableColumn id="1" xr3:uid="{B2335C45-F098-43ED-B93A-E5FB5EF8509D}" name="Country"/>
    <tableColumn id="2" xr3:uid="{154B3C8E-B922-470F-AE16-75ED247FB778}" name="Long_name"/>
    <tableColumn id="3" xr3:uid="{2680A50A-41AA-4265-9E71-910C95E8A40D}" name="Mrd m3 [2020]"/>
    <tableColumn id="4" xr3:uid="{6E87E63F-505E-420A-A1BB-88EED1DA4433}" name="Mil m3 [2024]"/>
    <tableColumn id="5" xr3:uid="{A4F80785-5D31-4DEB-8C9A-B8678AC91976}" name="Mrd m3 [2020]2" dataDxfId="12"/>
    <tableColumn id="7" xr3:uid="{5E4FB509-2E7C-4F35-ABA3-27B44D26F2A0}" name="GWh [2020]" dataDxfId="11">
      <calculatedColumnFormula>Table7919[[#This Row],[TWh '[2020']]]*1000</calculatedColumnFormula>
    </tableColumn>
    <tableColumn id="6" xr3:uid="{404CEA6B-9B54-4634-86D8-4FC47FBC55CD}" name="TWh [2020]" dataDxfId="10">
      <calculatedColumnFormula>(Table7919[[#This Row],[Mrd m3 '[2020']]])*9.77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74"/>
    <tableColumn id="4" xr3:uid="{1618AAC4-0782-47C3-91CE-2FEB95FBDD58}" name="TWh [2020]" dataDxfId="73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72">
      <calculatedColumnFormula>IF(Table1[[#This Row],[TWh '[2020']]]=0,$D$27*(E2/$E$27),0)</calculatedColumnFormula>
    </tableColumn>
    <tableColumn id="7" xr3:uid="{53C148C2-CAF7-47BC-9950-964805B82325}" name="GWh [2020]" dataDxfId="71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70" headerRowBorderDxfId="69" tableBorderDxfId="68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67">
      <calculatedColumnFormula>Table7910[[#This Row],[Mil m3 '[2020']]]/1000</calculatedColumnFormula>
    </tableColumn>
    <tableColumn id="7" xr3:uid="{95C698CF-3EBE-40E8-840D-A6C3E41CFB2C}" name="GWh [2020]" dataDxfId="66">
      <calculatedColumnFormula>Table7910[[#This Row],[TWh '[2020']]]*1000</calculatedColumnFormula>
    </tableColumn>
    <tableColumn id="6" xr3:uid="{44160680-3C35-4A7A-9677-B7F78304684A}" name="TWh [2020]" dataDxfId="65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64"/>
    <tableColumn id="4" xr3:uid="{60E83C2D-D521-4D6A-800D-160C3176DFC7}" name="TWh [2023]" dataDxfId="63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62">
      <calculatedColumnFormula>MIN(Table15[[#This Row],[TWh '[2023']]],Table15[[#This Row],[TWh by share]])*1000</calculatedColumnFormula>
    </tableColumn>
    <tableColumn id="6" xr3:uid="{EA1A4D0E-E13A-491B-8024-93E1A98AD8DD}" name="TWh by share" dataDxfId="6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60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59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58"/>
    <tableColumn id="4" xr3:uid="{CFF2A961-5340-417B-A68C-5AA0571EECB8}" name="TWh [2023]" dataDxfId="57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56">
      <calculatedColumnFormula>MIN(Table1515[[#This Row],[TWh '[2023']]],Table1515[[#This Row],[TWh by share]])*1000</calculatedColumnFormula>
    </tableColumn>
    <tableColumn id="10" xr3:uid="{C231D16E-346D-4A6C-BDE3-02DCD7F98838}" name="GWh [2035] SP" dataDxfId="55">
      <calculatedColumnFormula>Table1515[[#This Row],[Mrd m3 '[2035'] SP]]*9.77*-1000</calculatedColumnFormula>
    </tableColumn>
    <tableColumn id="12" xr3:uid="{B7100D75-BF53-4B84-BEA5-5B8213EA443B}" name="GWh [2035] AP" dataDxfId="54">
      <calculatedColumnFormula>Table1515[[#This Row],[Mrd m3 '[2035'] AP]]*9.77*-1000</calculatedColumnFormula>
    </tableColumn>
    <tableColumn id="6" xr3:uid="{38428858-BB77-4254-A9E7-787AC7919612}" name="TWh by share" dataDxfId="53">
      <calculatedColumnFormula>IF(Table1515[[#This Row],[TWh '[2023']]]=0,$F$27*(G2/$G$27),0)</calculatedColumnFormula>
    </tableColumn>
    <tableColumn id="9" xr3:uid="{062339C5-9866-4A10-AB51-65D785DCAE56}" name="EU" dataDxfId="5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51">
      <calculatedColumnFormula>Table1515[[#This Row],[GWh '[2035'] SP]]</calculatedColumnFormula>
    </tableColumn>
    <tableColumn id="4" xr3:uid="{B0F52B8B-7854-4A88-A627-18C628B9FFAB}" name="TWh [2023]" dataDxfId="50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49">
      <calculatedColumnFormula>Table1517[[#This Row],[TWh '[2023']]]*1000</calculatedColumnFormula>
    </tableColumn>
    <tableColumn id="6" xr3:uid="{3EC6FD5C-175B-4AEC-9875-DCE8BEBC18DA}" name="TWh by share" dataDxfId="48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41">
      <calculatedColumnFormula>Table1515[[#This Row],[GWh '[2035'] AP]]</calculatedColumnFormula>
    </tableColumn>
    <tableColumn id="4" xr3:uid="{242F6F74-7D77-4BEA-9D4C-482848363307}" name="TWh [2023]" dataDxfId="40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39">
      <calculatedColumnFormula>Table151718[[#This Row],[TWh '[2023']]]*1000</calculatedColumnFormula>
    </tableColumn>
    <tableColumn id="6" xr3:uid="{F133F4B6-959B-4931-9BF3-538BD68B0E51}" name="TWh by share" dataDxfId="38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7" headerRowBorderDxfId="46" tableBorderDxfId="45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4">
      <calculatedColumnFormula>Table791011[[#This Row],[Mil m3 '[2020']]]/1000</calculatedColumnFormula>
    </tableColumn>
    <tableColumn id="7" xr3:uid="{800E9158-5DB0-43C4-A644-BF3466322E9E}" name="GWh [2020]" dataDxfId="43">
      <calculatedColumnFormula>Table791011[[#This Row],[TWh '[2020']]]*1000</calculatedColumnFormula>
    </tableColumn>
    <tableColumn id="6" xr3:uid="{28EBAF35-966D-44B9-8859-9AC70136DAAC}" name="TWh [2020]" dataDxfId="42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37" headerRowBorderDxfId="36" tableBorderDxfId="35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34">
      <calculatedColumnFormula>Table79101116[[#This Row],[values 2024]]/1000</calculatedColumnFormula>
    </tableColumn>
    <tableColumn id="7" xr3:uid="{DA064D9E-1168-4CB6-B3AA-E50FAC653181}" name="GWh [2020]" dataDxfId="33">
      <calculatedColumnFormula>Table79101116[[#This Row],[TWh '[2020']]]*1000</calculatedColumnFormula>
    </tableColumn>
    <tableColumn id="6" xr3:uid="{EAF9FC8E-89CB-4295-BD8E-F84762361F50}" name="TWh [2020]" dataDxfId="32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31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30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9">
      <calculatedColumnFormula>C2*9.77*1000</calculatedColumnFormula>
    </tableColumn>
    <tableColumn id="5" xr3:uid="{01416B1F-02D4-4015-854F-1DF81E1DF7B6}" name="TWh/a" dataDxfId="28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27" headerRowBorderDxfId="26" tableBorderDxfId="25" totalsRowBorderDxfId="24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23">
      <calculatedColumnFormula>LNG_global[[#This Row],[Distance '[miles']]]*1.60934449789256</calculatedColumnFormula>
    </tableColumn>
    <tableColumn id="9" xr3:uid="{DD9D70F1-D00A-43D9-9F09-037C2573E34A}" name="Suez or Panama" dataDxfId="2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21" headerRowBorderDxfId="20" tableBorderDxfId="19" totalsRowBorderDxfId="18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7">
      <calculatedColumnFormula>LNG_global14[[#This Row],[Distance '[miles']]]*1.60934449789256</calculatedColumnFormula>
    </tableColumn>
    <tableColumn id="9" xr3:uid="{601054B1-1B08-47CB-880D-0D80ED1BD0EA}" name="Suez or Panama" dataDxfId="16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F2" sqref="F2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1"/>
        <v>4</v>
      </c>
      <c r="H7">
        <f t="shared" si="2"/>
        <v>39080</v>
      </c>
      <c r="I7">
        <f t="shared" si="3"/>
        <v>39.08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opLeftCell="A4" workbookViewId="0">
      <selection activeCell="C18" sqref="C18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topLeftCell="A28" workbookViewId="0">
      <selection activeCell="B31" sqref="B31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C15" sqref="C15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5B38-002A-48AE-A33D-051F4A624C81}">
  <dimension ref="A1:N49"/>
  <sheetViews>
    <sheetView tabSelected="1" workbookViewId="0">
      <selection activeCell="A46" sqref="A46:B46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1" max="11" width="9.26953125" bestFit="1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4.7470068416712932E-2</v>
      </c>
      <c r="D2" s="2">
        <v>527.10126999999989</v>
      </c>
      <c r="E2" s="2"/>
      <c r="F2" s="2">
        <f>Table2620[[#This Row],[TWh '[2020']]]*1000</f>
        <v>463.78256843128537</v>
      </c>
      <c r="G2" s="3">
        <f>(Table2620[[#This Row],[Mrd m3 '[2035'] SP]])*9.77</f>
        <v>0.46378256843128535</v>
      </c>
      <c r="H2" s="2"/>
      <c r="J2" t="s">
        <v>101</v>
      </c>
      <c r="M2" t="str">
        <f t="shared" ref="M2:M42" si="0">_xlfn.CONCAT(A2,$J$2)</f>
        <v>AL_Prod</v>
      </c>
      <c r="N2" t="str">
        <f>Table2620[[#This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Table2620[[#This Row],[TWh '[2020']]]*1000</f>
        <v>1165547.0626743955</v>
      </c>
      <c r="G3" s="3">
        <f>(Table2620[[#This Row],[Mrd m3 '[2035'] SP]])*9.77</f>
        <v>1165.5470626743954</v>
      </c>
      <c r="H3" s="2"/>
      <c r="M3" t="str">
        <f t="shared" si="0"/>
        <v>DZ_Prod</v>
      </c>
      <c r="N3" t="str">
        <f>Table2620[[#This Row],[Country]]</f>
        <v>DZ</v>
      </c>
    </row>
    <row r="4" spans="1:14">
      <c r="A4" t="s">
        <v>20</v>
      </c>
      <c r="B4" t="s">
        <v>57</v>
      </c>
      <c r="C4" s="3">
        <f>$J$5*(D4/$K$5)</f>
        <v>0.44373917368578852</v>
      </c>
      <c r="D4" s="2">
        <v>5354.6634399999994</v>
      </c>
      <c r="E4" s="2"/>
      <c r="F4" s="2">
        <f>Table2620[[#This Row],[TWh '[2020']]]*1000</f>
        <v>4335.3317269101535</v>
      </c>
      <c r="G4" s="3">
        <f>(Table2620[[#This Row],[Mrd m3 '[2035'] SP]])*9.77</f>
        <v>4.3353317269101534</v>
      </c>
      <c r="H4" s="2"/>
      <c r="J4" t="s">
        <v>306</v>
      </c>
      <c r="K4">
        <v>2024</v>
      </c>
      <c r="M4" t="str">
        <f t="shared" si="0"/>
        <v>AT_Prod</v>
      </c>
      <c r="N4" t="str">
        <f>Table2620[[#This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Table2620[[#This Row],[TWh '[2020']]]*1000</f>
        <v>0</v>
      </c>
      <c r="G5" s="3">
        <f>(Table2620[[#This Row],[Mrd m3 '[2035'] SP]])*9.77</f>
        <v>0</v>
      </c>
      <c r="H5" s="2"/>
      <c r="I5" t="s">
        <v>294</v>
      </c>
      <c r="J5">
        <v>29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Table2620[[#This Row],[Country]]</f>
        <v>BY</v>
      </c>
    </row>
    <row r="6" spans="1:14">
      <c r="A6" t="s">
        <v>17</v>
      </c>
      <c r="B6" t="s">
        <v>0</v>
      </c>
      <c r="C6" s="3">
        <f>$J$5*(D6/$K$5)</f>
        <v>1.214454963086388E-2</v>
      </c>
      <c r="D6" s="2">
        <v>146.54999999999998</v>
      </c>
      <c r="E6" s="2"/>
      <c r="F6" s="2">
        <f>Table2620[[#This Row],[TWh '[2020']]]*1000</f>
        <v>118.6522498935401</v>
      </c>
      <c r="G6" s="3">
        <f>(Table2620[[#This Row],[Mrd m3 '[2035'] SP]])*9.77</f>
        <v>0.1186522498935401</v>
      </c>
      <c r="H6" s="2"/>
      <c r="I6" t="s">
        <v>307</v>
      </c>
      <c r="J6">
        <f>181-J5</f>
        <v>152</v>
      </c>
      <c r="K6" s="2">
        <f>D2+D5+D7+D24+D26+D27+D32+D33+D36+D38+D39+D40</f>
        <v>1687787.6041103853</v>
      </c>
      <c r="M6" t="str">
        <f t="shared" si="0"/>
        <v>BE_Prod</v>
      </c>
      <c r="N6" t="str">
        <f>Table2620[[#This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Table2620[[#This Row],[TWh '[2020']]]*1000</f>
        <v>0</v>
      </c>
      <c r="G7" s="3">
        <f>(Table2620[[#This Row],[Mrd m3 '[2035'] SP]])*9.77</f>
        <v>0</v>
      </c>
      <c r="H7" s="2"/>
      <c r="M7" t="str">
        <f t="shared" si="0"/>
        <v>BA_Prod</v>
      </c>
      <c r="N7" t="str">
        <f>Table2620[[#This Row],[Country]]</f>
        <v>BA</v>
      </c>
    </row>
    <row r="8" spans="1:14">
      <c r="A8" t="s">
        <v>32</v>
      </c>
      <c r="B8" t="s">
        <v>64</v>
      </c>
      <c r="C8" s="3">
        <f>$J$5*(D8/$K$5)</f>
        <v>6.5904422663488E-3</v>
      </c>
      <c r="D8" s="2">
        <v>79.527800000000013</v>
      </c>
      <c r="E8" s="2"/>
      <c r="F8" s="2">
        <f>Table2620[[#This Row],[TWh '[2020']]]*1000</f>
        <v>64.388620942227774</v>
      </c>
      <c r="G8" s="3">
        <f>(Table2620[[#This Row],[Mrd m3 '[2035'] SP]])*9.77</f>
        <v>6.4388620942227776E-2</v>
      </c>
      <c r="H8" s="2"/>
      <c r="K8" s="2"/>
      <c r="M8" t="str">
        <f t="shared" si="0"/>
        <v>BG_Prod</v>
      </c>
      <c r="N8" t="str">
        <f>Table2620[[#This Row],[Country]]</f>
        <v>BG</v>
      </c>
    </row>
    <row r="9" spans="1:14">
      <c r="A9" t="s">
        <v>24</v>
      </c>
      <c r="B9" t="s">
        <v>5</v>
      </c>
      <c r="C9" s="3">
        <f>$J$5*(D9/$K$5)</f>
        <v>0.6105469917756301</v>
      </c>
      <c r="D9" s="2">
        <v>7367.5569999999998</v>
      </c>
      <c r="E9" s="2"/>
      <c r="F9" s="2">
        <f>Table2620[[#This Row],[TWh '[2020']]]*1000</f>
        <v>5965.0441096479053</v>
      </c>
      <c r="G9" s="3">
        <f>(Table2620[[#This Row],[Mrd m3 '[2035'] SP]])*9.77</f>
        <v>5.9650441096479057</v>
      </c>
      <c r="H9" s="2"/>
      <c r="K9" s="2"/>
      <c r="M9" t="str">
        <f t="shared" si="0"/>
        <v>HR_Prod</v>
      </c>
      <c r="N9" t="str">
        <f>Table2620[[#This Row],[Country]]</f>
        <v>HR</v>
      </c>
    </row>
    <row r="10" spans="1:14">
      <c r="A10" t="s">
        <v>28</v>
      </c>
      <c r="B10" t="s">
        <v>61</v>
      </c>
      <c r="C10" s="3">
        <f>$J$5*(D10/$K$5)</f>
        <v>0.15097213500783715</v>
      </c>
      <c r="D10" s="2">
        <v>1821.8021300000003</v>
      </c>
      <c r="E10" s="2"/>
      <c r="F10" s="2">
        <f>Table2620[[#This Row],[TWh '[2020']]]*1000</f>
        <v>1474.9977590265692</v>
      </c>
      <c r="G10" s="3">
        <f>(Table2620[[#This Row],[Mrd m3 '[2035'] SP]])*9.77</f>
        <v>1.474997759026569</v>
      </c>
      <c r="H10" s="2"/>
      <c r="M10" t="str">
        <f t="shared" si="0"/>
        <v>CZ_Prod</v>
      </c>
      <c r="N10" t="str">
        <f>Table2620[[#This Row],[Country]]</f>
        <v>CZ</v>
      </c>
    </row>
    <row r="11" spans="1:14">
      <c r="A11" t="s">
        <v>26</v>
      </c>
      <c r="B11" t="s">
        <v>60</v>
      </c>
      <c r="C11" s="3">
        <f>$J$5*(D11/$K$5)</f>
        <v>1.4585361215674901</v>
      </c>
      <c r="D11" s="2">
        <v>17600.3619</v>
      </c>
      <c r="E11" s="2"/>
      <c r="F11" s="2">
        <f>Table2620[[#This Row],[TWh '[2020']]]*1000</f>
        <v>14249.897907714378</v>
      </c>
      <c r="G11" s="3">
        <f>(Table2620[[#This Row],[Mrd m3 '[2035'] SP]])*9.77</f>
        <v>14.249897907714377</v>
      </c>
      <c r="H11" s="2"/>
      <c r="M11" t="str">
        <f t="shared" si="0"/>
        <v>DK_Prod</v>
      </c>
      <c r="N11" t="str">
        <f>Table2620[[#This Row],[Country]]</f>
        <v>DK</v>
      </c>
    </row>
    <row r="12" spans="1:14">
      <c r="A12" t="s">
        <v>53</v>
      </c>
      <c r="B12" t="s">
        <v>66</v>
      </c>
      <c r="C12" s="3">
        <f>$J$5*(D12/$K$5)</f>
        <v>0</v>
      </c>
      <c r="D12" s="2">
        <v>0</v>
      </c>
      <c r="E12" s="2"/>
      <c r="F12" s="2">
        <f>Table2620[[#This Row],[TWh '[2020']]]*1000</f>
        <v>0</v>
      </c>
      <c r="G12" s="3">
        <f>(Table2620[[#This Row],[Mrd m3 '[2035'] SP]])*9.77</f>
        <v>0</v>
      </c>
      <c r="H12" s="2"/>
      <c r="M12" t="str">
        <f t="shared" si="0"/>
        <v>EE_Prod</v>
      </c>
      <c r="N12" t="str">
        <f>Table2620[[#This Row],[Country]]</f>
        <v>EE</v>
      </c>
    </row>
    <row r="13" spans="1:14">
      <c r="A13" t="s">
        <v>54</v>
      </c>
      <c r="B13" t="s">
        <v>85</v>
      </c>
      <c r="C13" s="3">
        <f>$J$5*(D13/$K$5)</f>
        <v>0</v>
      </c>
      <c r="D13" s="2">
        <v>0</v>
      </c>
      <c r="E13" s="2"/>
      <c r="F13" s="2">
        <f>Table2620[[#This Row],[TWh '[2020']]]*1000</f>
        <v>0</v>
      </c>
      <c r="G13" s="3">
        <f>(Table2620[[#This Row],[Mrd m3 '[2035'] SP]])*9.77</f>
        <v>0</v>
      </c>
      <c r="H13" s="2"/>
      <c r="M13" t="str">
        <f t="shared" si="0"/>
        <v>FI_Prod</v>
      </c>
      <c r="N13" t="str">
        <f>Table2620[[#This Row],[Country]]</f>
        <v>FI</v>
      </c>
    </row>
    <row r="14" spans="1:14">
      <c r="A14" t="s">
        <v>25</v>
      </c>
      <c r="B14" t="s">
        <v>2</v>
      </c>
      <c r="C14" s="3">
        <f>$J$5*(D14/$K$5)</f>
        <v>1.0020063082104758E-2</v>
      </c>
      <c r="D14" s="2">
        <v>120.91351999999998</v>
      </c>
      <c r="E14" s="2"/>
      <c r="F14" s="2">
        <f>Table2620[[#This Row],[TWh '[2020']]]*1000</f>
        <v>97.896016312163482</v>
      </c>
      <c r="G14" s="3">
        <f>(Table2620[[#This Row],[Mrd m3 '[2035'] SP]])*9.77</f>
        <v>9.7896016312163478E-2</v>
      </c>
      <c r="H14" s="2"/>
      <c r="M14" t="str">
        <f t="shared" si="0"/>
        <v>FR_Prod</v>
      </c>
      <c r="N14" t="str">
        <f>Table2620[[#This Row],[Country]]</f>
        <v>FR</v>
      </c>
    </row>
    <row r="15" spans="1:14">
      <c r="A15" t="s">
        <v>19</v>
      </c>
      <c r="B15" t="s">
        <v>56</v>
      </c>
      <c r="C15" s="3">
        <f>$J$5*(D15/$K$5)</f>
        <v>3.1357227146890536</v>
      </c>
      <c r="D15" s="2">
        <v>37839.21</v>
      </c>
      <c r="E15" s="2"/>
      <c r="F15" s="2">
        <f>Table2620[[#This Row],[TWh '[2020']]]*1000</f>
        <v>30636.010922512054</v>
      </c>
      <c r="G15" s="3">
        <f>(Table2620[[#This Row],[Mrd m3 '[2035'] SP]])*9.77</f>
        <v>30.636010922512053</v>
      </c>
      <c r="H15" s="2"/>
      <c r="M15" t="str">
        <f t="shared" si="0"/>
        <v>DE_Prod</v>
      </c>
      <c r="N15" t="str">
        <f>Table2620[[#This Row],[Country]]</f>
        <v>DE</v>
      </c>
    </row>
    <row r="16" spans="1:14">
      <c r="A16" t="s">
        <v>264</v>
      </c>
      <c r="B16" t="s">
        <v>3</v>
      </c>
      <c r="C16" s="3">
        <f>$J$5*(D16/$K$5)</f>
        <v>1.6119865543366659E-3</v>
      </c>
      <c r="D16" s="2">
        <v>19.452070000000003</v>
      </c>
      <c r="E16" s="2"/>
      <c r="F16" s="2">
        <f>Table2620[[#This Row],[TWh '[2020']]]*1000</f>
        <v>15.749108635869227</v>
      </c>
      <c r="G16" s="3">
        <f>(Table2620[[#This Row],[Mrd m3 '[2035'] SP]])*9.77</f>
        <v>1.5749108635869227E-2</v>
      </c>
      <c r="H16" s="2"/>
      <c r="M16" t="str">
        <f t="shared" si="0"/>
        <v>EL_Prod</v>
      </c>
      <c r="N16" t="str">
        <f>Table2620[[#This Row],[Country]]</f>
        <v>EL</v>
      </c>
    </row>
    <row r="17" spans="1:14">
      <c r="A17" t="s">
        <v>30</v>
      </c>
      <c r="B17" t="s">
        <v>63</v>
      </c>
      <c r="C17" s="3">
        <f>$J$5*(D17/$K$5)</f>
        <v>1.3956516435788768</v>
      </c>
      <c r="D17" s="2">
        <v>16841.525999999998</v>
      </c>
      <c r="E17" s="2"/>
      <c r="F17" s="2">
        <f>Table2620[[#This Row],[TWh '[2020']]]*1000</f>
        <v>13635.516557765626</v>
      </c>
      <c r="G17" s="3">
        <f>(Table2620[[#This Row],[Mrd m3 '[2035'] SP]])*9.77</f>
        <v>13.635516557765627</v>
      </c>
      <c r="H17" s="2"/>
      <c r="M17" t="str">
        <f t="shared" si="0"/>
        <v>HU_Prod</v>
      </c>
      <c r="N17" t="str">
        <f>Table2620[[#This Row],[Country]]</f>
        <v>HU</v>
      </c>
    </row>
    <row r="18" spans="1:14">
      <c r="A18" t="s">
        <v>43</v>
      </c>
      <c r="B18" t="s">
        <v>135</v>
      </c>
      <c r="C18" s="3">
        <f>$J$5*(D18/$K$5)</f>
        <v>0.8750431381862146</v>
      </c>
      <c r="D18" s="2">
        <v>10559.26945</v>
      </c>
      <c r="E18" s="2"/>
      <c r="F18" s="2">
        <f>Table2620[[#This Row],[TWh '[2020']]]*1000</f>
        <v>8549.1714600793166</v>
      </c>
      <c r="G18" s="3">
        <f>(Table2620[[#This Row],[Mrd m3 '[2035'] SP]])*9.77</f>
        <v>8.5491714600793163</v>
      </c>
      <c r="H18" s="2"/>
      <c r="M18" t="str">
        <f t="shared" si="0"/>
        <v>IE_Prod</v>
      </c>
      <c r="N18" t="str">
        <f>Table2620[[#This Row],[Country]]</f>
        <v>IE</v>
      </c>
    </row>
    <row r="19" spans="1:14">
      <c r="A19" t="s">
        <v>21</v>
      </c>
      <c r="B19" t="s">
        <v>4</v>
      </c>
      <c r="C19" s="3">
        <f>$J$5*(D19/$K$5)</f>
        <v>2.3805292789899823</v>
      </c>
      <c r="D19" s="2">
        <v>28726.18388</v>
      </c>
      <c r="E19" s="2"/>
      <c r="F19" s="2">
        <f>Table2620[[#This Row],[TWh '[2020']]]*1000</f>
        <v>23257.77105573213</v>
      </c>
      <c r="G19" s="3">
        <f>(Table2620[[#This Row],[Mrd m3 '[2035'] SP]])*9.77</f>
        <v>23.257771055732128</v>
      </c>
      <c r="H19" s="2"/>
      <c r="M19" t="str">
        <f t="shared" si="0"/>
        <v>IT_Prod</v>
      </c>
      <c r="N19" t="str">
        <f>Table2620[[#This Row],[Country]]</f>
        <v>IT</v>
      </c>
    </row>
    <row r="20" spans="1:14">
      <c r="A20" t="s">
        <v>35</v>
      </c>
      <c r="B20" t="s">
        <v>65</v>
      </c>
      <c r="C20" s="3">
        <f>$J$5*(D20/$K$5)</f>
        <v>0</v>
      </c>
      <c r="D20" s="2">
        <v>0</v>
      </c>
      <c r="E20" s="2"/>
      <c r="F20" s="2">
        <f>Table2620[[#This Row],[TWh '[2020']]]*1000</f>
        <v>0</v>
      </c>
      <c r="G20" s="3">
        <f>(Table2620[[#This Row],[Mrd m3 '[2035'] SP]])*9.77</f>
        <v>0</v>
      </c>
      <c r="H20" s="2"/>
      <c r="M20" t="str">
        <f t="shared" si="0"/>
        <v>LV_Prod</v>
      </c>
      <c r="N20" t="str">
        <f>Table2620[[#This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Table2620[[#This Row],[TWh '[2020']]]*1000</f>
        <v>187183.9863060849</v>
      </c>
      <c r="G21" s="3">
        <f>(Table2620[[#This Row],[Mrd m3 '[2035'] SP]])*9.77</f>
        <v>187.1839863060849</v>
      </c>
      <c r="H21" s="2"/>
      <c r="M21" t="str">
        <f t="shared" si="0"/>
        <v>LY_Prod</v>
      </c>
      <c r="N21" t="str">
        <f>Table2620[[#This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Table2620[[#This Row],[TWh '[2020']]]*1000</f>
        <v>0</v>
      </c>
      <c r="G22" s="3">
        <f>(Table2620[[#This Row],[Mrd m3 '[2035'] SP]])*9.77</f>
        <v>0</v>
      </c>
      <c r="H22" s="2"/>
      <c r="M22" t="str">
        <f t="shared" si="0"/>
        <v>LT_Prod</v>
      </c>
      <c r="N22" t="str">
        <f>Table2620[[#This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Table2620[[#This Row],[TWh '[2020']]]*1000</f>
        <v>0</v>
      </c>
      <c r="G23" s="3">
        <f>(Table2620[[#This Row],[Mrd m3 '[2035'] SP]])*9.77</f>
        <v>0</v>
      </c>
      <c r="H23" s="2"/>
      <c r="M23" t="str">
        <f t="shared" si="0"/>
        <v>LU_Prod</v>
      </c>
      <c r="N23" t="str">
        <f>Table2620[[#This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Table2620[[#This Row],[TWh '[2020']]]*1000</f>
        <v>0</v>
      </c>
      <c r="G24" s="3">
        <f>(Table2620[[#This Row],[Mrd m3 '[2035'] SP]])*9.77</f>
        <v>0</v>
      </c>
      <c r="H24" s="2"/>
      <c r="M24" t="str">
        <f t="shared" si="0"/>
        <v>MD_Prod</v>
      </c>
      <c r="N24" t="str">
        <f>Table2620[[#This Row],[Country]]</f>
        <v>MD</v>
      </c>
    </row>
    <row r="25" spans="1:14">
      <c r="A25" t="s">
        <v>18</v>
      </c>
      <c r="B25" t="s">
        <v>7</v>
      </c>
      <c r="C25" s="3">
        <f>$J$5*(D25/$K$5)</f>
        <v>7.965831133686903</v>
      </c>
      <c r="D25" s="2">
        <v>96124.812210000018</v>
      </c>
      <c r="E25" s="2"/>
      <c r="F25" s="2">
        <f>Table2620[[#This Row],[TWh '[2020']]]*1000</f>
        <v>77826.170176121042</v>
      </c>
      <c r="G25" s="3">
        <f>(Table2620[[#This Row],[Mrd m3 '[2035'] SP]])*9.77</f>
        <v>77.826170176121039</v>
      </c>
      <c r="H25" s="2"/>
      <c r="M25" t="str">
        <f t="shared" si="0"/>
        <v>NL_Prod</v>
      </c>
      <c r="N25" t="str">
        <f>Table2620[[#This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Table2620[[#This Row],[TWh '[2020']]]*1000</f>
        <v>0</v>
      </c>
      <c r="G26" s="3">
        <f>(Table2620[[#This Row],[Mrd m3 '[2035'] SP]])*9.77</f>
        <v>0</v>
      </c>
      <c r="H26" s="2"/>
      <c r="M26" t="str">
        <f t="shared" si="0"/>
        <v>MK_Prod</v>
      </c>
      <c r="N26" t="str">
        <f>Table2620[[#This Row],[Country]]</f>
        <v>MK</v>
      </c>
    </row>
    <row r="27" spans="1:14">
      <c r="A27" t="s">
        <v>48</v>
      </c>
      <c r="B27" t="s">
        <v>71</v>
      </c>
      <c r="C27" s="3">
        <f>$J$6*(D27/$K$6)</f>
        <v>103.80126173135578</v>
      </c>
      <c r="D27" s="2">
        <v>1152595.2818499999</v>
      </c>
      <c r="E27" s="2"/>
      <c r="F27" s="2">
        <f>Table2620[[#This Row],[TWh '[2020']]]*1000</f>
        <v>1014138.3271153459</v>
      </c>
      <c r="G27" s="3">
        <f>(Table2620[[#This Row],[Mrd m3 '[2035'] SP]])*9.77</f>
        <v>1014.1383271153459</v>
      </c>
      <c r="H27" s="2"/>
      <c r="M27" t="str">
        <f t="shared" si="0"/>
        <v>NO_Prod</v>
      </c>
      <c r="N27" t="str">
        <f>Table2620[[#This Row],[Country]]</f>
        <v>NO</v>
      </c>
    </row>
    <row r="28" spans="1:14">
      <c r="A28" t="s">
        <v>27</v>
      </c>
      <c r="B28" t="s">
        <v>8</v>
      </c>
      <c r="C28" s="3">
        <f>$J$5*(D28/$K$5)</f>
        <v>2.9122735066618866</v>
      </c>
      <c r="D28" s="2">
        <v>35142.816767503326</v>
      </c>
      <c r="E28" s="2"/>
      <c r="F28" s="2">
        <f>Table2620[[#This Row],[TWh '[2020']]]*1000</f>
        <v>28452.912160086631</v>
      </c>
      <c r="G28" s="3">
        <f>(Table2620[[#This Row],[Mrd m3 '[2035'] SP]])*9.77</f>
        <v>28.45291216008663</v>
      </c>
      <c r="H28" s="2"/>
      <c r="M28" t="str">
        <f t="shared" si="0"/>
        <v>PL_Prod</v>
      </c>
      <c r="N28" t="str">
        <f>Table2620[[#This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Table2620[[#This Row],[TWh '[2020']]]*1000</f>
        <v>0</v>
      </c>
      <c r="G29" s="3">
        <f>(Table2620[[#This Row],[Mrd m3 '[2035'] SP]])*9.77</f>
        <v>0</v>
      </c>
      <c r="H29" s="2"/>
      <c r="M29" t="str">
        <f t="shared" si="0"/>
        <v>PT_Prod</v>
      </c>
      <c r="N29" t="str">
        <f>Table2620[[#This Row],[Country]]</f>
        <v>PT</v>
      </c>
    </row>
    <row r="30" spans="1:14">
      <c r="A30" t="s">
        <v>33</v>
      </c>
      <c r="B30" t="s">
        <v>86</v>
      </c>
      <c r="C30" s="3">
        <f>$J$5*(D30/$K$5)</f>
        <v>7.5879146093637511</v>
      </c>
      <c r="D30" s="2">
        <v>91564.439999999988</v>
      </c>
      <c r="E30" s="2"/>
      <c r="F30" s="2">
        <f>Table2620[[#This Row],[TWh '[2020']]]*1000</f>
        <v>74133.925733483848</v>
      </c>
      <c r="G30" s="3">
        <f>(Table2620[[#This Row],[Mrd m3 '[2035'] SP]])*9.77</f>
        <v>74.133925733483849</v>
      </c>
      <c r="H30" s="2"/>
      <c r="M30" t="str">
        <f t="shared" si="0"/>
        <v>RO_Prod</v>
      </c>
      <c r="N30" t="str">
        <f>Table2620[[#This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Table2620[[#This Row],[TWh '[2020']]]*1000</f>
        <v>6635799.3179368693</v>
      </c>
      <c r="G31" s="3">
        <f>(Table2620[[#This Row],[Mrd m3 '[2035'] SP]])*9.77</f>
        <v>6635.7993179368696</v>
      </c>
      <c r="H31" s="2"/>
      <c r="M31" t="str">
        <f t="shared" si="0"/>
        <v>RU_Prod</v>
      </c>
      <c r="N31" t="str">
        <f>Table2620[[#This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Table2620[[#This Row],[TWh '[2020']]]*1000</f>
        <v>0</v>
      </c>
      <c r="G32" s="3">
        <f>(Table2620[[#This Row],[Mrd m3 '[2035'] SP]])*9.77</f>
        <v>0</v>
      </c>
      <c r="H32" s="2"/>
      <c r="M32" t="str">
        <f t="shared" si="0"/>
        <v>SM_Prod</v>
      </c>
      <c r="N32" t="str">
        <f>Table2620[[#This Row],[Country]]</f>
        <v>SM</v>
      </c>
    </row>
    <row r="33" spans="1:14">
      <c r="A33" t="s">
        <v>31</v>
      </c>
      <c r="B33" t="s">
        <v>72</v>
      </c>
      <c r="C33" s="3">
        <f>$J$6*(D33/$K$6)</f>
        <v>0.25956275477619167</v>
      </c>
      <c r="D33" s="2">
        <v>2882.1499999999996</v>
      </c>
      <c r="E33" s="2"/>
      <c r="F33" s="2">
        <f>Table2620[[#This Row],[TWh '[2020']]]*1000</f>
        <v>2535.9281141633928</v>
      </c>
      <c r="G33" s="3">
        <f>(Table2620[[#This Row],[Mrd m3 '[2035'] SP]])*9.77</f>
        <v>2.5359281141633927</v>
      </c>
      <c r="H33" s="2"/>
      <c r="M33" t="str">
        <f t="shared" si="0"/>
        <v>RS_Prod</v>
      </c>
      <c r="N33" t="str">
        <f>Table2620[[#This Row],[Country]]</f>
        <v>RS</v>
      </c>
    </row>
    <row r="34" spans="1:14">
      <c r="A34" t="s">
        <v>29</v>
      </c>
      <c r="B34" t="s">
        <v>62</v>
      </c>
      <c r="C34" s="3">
        <f>$J$5*(D34/$K$5)</f>
        <v>3.2415422238059807E-2</v>
      </c>
      <c r="D34" s="2">
        <v>391.16148999999996</v>
      </c>
      <c r="E34" s="2"/>
      <c r="F34" s="2">
        <f>Table2620[[#This Row],[TWh '[2020']]]*1000</f>
        <v>316.69867526584426</v>
      </c>
      <c r="G34" s="3">
        <f>(Table2620[[#This Row],[Mrd m3 '[2035'] SP]])*9.77</f>
        <v>0.31669867526584428</v>
      </c>
      <c r="H34" s="2"/>
      <c r="M34" t="str">
        <f t="shared" si="0"/>
        <v>SK_Prod</v>
      </c>
      <c r="N34" t="str">
        <f>Table2620[[#This Row],[Country]]</f>
        <v>SK</v>
      </c>
    </row>
    <row r="35" spans="1:14">
      <c r="A35" t="s">
        <v>23</v>
      </c>
      <c r="B35" t="s">
        <v>59</v>
      </c>
      <c r="C35" s="3">
        <f>$J$5*(D35/$K$5)</f>
        <v>3.0782385131029647E-3</v>
      </c>
      <c r="D35" s="2">
        <v>37.145539999999997</v>
      </c>
      <c r="E35" s="2"/>
      <c r="F35" s="2">
        <f>Table2620[[#This Row],[TWh '[2020']]]*1000</f>
        <v>30.074390273015965</v>
      </c>
      <c r="G35" s="3">
        <f>(Table2620[[#This Row],[Mrd m3 '[2035'] SP]])*9.77</f>
        <v>3.0074390273015963E-2</v>
      </c>
      <c r="H35" s="2"/>
      <c r="M35" t="str">
        <f t="shared" si="0"/>
        <v>SI_Prod</v>
      </c>
      <c r="N35" t="str">
        <f>Table2620[[#This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Table2620[[#This Row],[TWh '[2020']]]*1000</f>
        <v>0</v>
      </c>
      <c r="G36" s="3">
        <f>(Table2620[[#This Row],[Mrd m3 '[2035'] SP]])*9.77</f>
        <v>0</v>
      </c>
      <c r="H36" s="2"/>
      <c r="M36" t="str">
        <f t="shared" si="0"/>
        <v>CH_Prod</v>
      </c>
      <c r="N36" t="str">
        <f>Table2620[[#This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Table2620[[#This Row],[TWh '[2020']]]*1000</f>
        <v>21156.756037879688</v>
      </c>
      <c r="G37" s="3">
        <f>(Table2620[[#This Row],[Mrd m3 '[2035'] SP]])*9.77</f>
        <v>21.156756037879688</v>
      </c>
      <c r="H37" s="2"/>
      <c r="M37" t="str">
        <f t="shared" si="0"/>
        <v>TN_Prod</v>
      </c>
      <c r="N37" t="str">
        <f>Table2620[[#This Row],[Country]]</f>
        <v>TN</v>
      </c>
    </row>
    <row r="38" spans="1:14">
      <c r="A38" t="s">
        <v>46</v>
      </c>
      <c r="B38" t="s">
        <v>10</v>
      </c>
      <c r="C38" s="3">
        <f>$J$6*(D38/$K$6)</f>
        <v>1.9877315760760759</v>
      </c>
      <c r="D38" s="2">
        <v>22071.504700000001</v>
      </c>
      <c r="E38" s="2"/>
      <c r="F38" s="2">
        <f>Table2620[[#This Row],[TWh '[2020']]]*1000</f>
        <v>19420.137498263259</v>
      </c>
      <c r="G38" s="3">
        <f>(Table2620[[#This Row],[Mrd m3 '[2035'] SP]])*9.77</f>
        <v>19.420137498263259</v>
      </c>
      <c r="H38" s="2"/>
      <c r="M38" t="str">
        <f t="shared" si="0"/>
        <v>TR_Prod</v>
      </c>
      <c r="N38" t="str">
        <f>Table2620[[#This Row],[Country]]</f>
        <v>TR</v>
      </c>
    </row>
    <row r="39" spans="1:14">
      <c r="A39" t="s">
        <v>11</v>
      </c>
      <c r="B39" t="s">
        <v>11</v>
      </c>
      <c r="C39" s="3">
        <f>$J$6*(D39/$K$6)</f>
        <v>30.332068689540982</v>
      </c>
      <c r="D39" s="2">
        <v>336803.22066600004</v>
      </c>
      <c r="E39" s="2"/>
      <c r="F39" s="2">
        <f>Table2620[[#This Row],[TWh '[2020']]]*1000</f>
        <v>296344.31109681539</v>
      </c>
      <c r="G39" s="3">
        <f>(Table2620[[#This Row],[Mrd m3 '[2035'] SP]])*9.77</f>
        <v>296.34431109681537</v>
      </c>
      <c r="H39" s="2"/>
      <c r="M39" t="str">
        <f t="shared" si="0"/>
        <v>UK_Prod</v>
      </c>
      <c r="N39" t="str">
        <f>Table2620[[#This Row],[Country]]</f>
        <v>UK</v>
      </c>
    </row>
    <row r="40" spans="1:14">
      <c r="A40" t="s">
        <v>38</v>
      </c>
      <c r="B40" t="s">
        <v>67</v>
      </c>
      <c r="C40" s="3">
        <f>$J$6*(D40/$K$6)</f>
        <v>15.571905179834273</v>
      </c>
      <c r="D40" s="2">
        <v>172908.34562438543</v>
      </c>
      <c r="E40" s="2"/>
      <c r="F40" s="2">
        <f>Table2620[[#This Row],[TWh '[2020']]]*1000</f>
        <v>152137.51360698082</v>
      </c>
      <c r="G40" s="3">
        <f>(Table2620[[#This Row],[Mrd m3 '[2035'] SP]])*9.77</f>
        <v>152.13751360698083</v>
      </c>
      <c r="H40" s="2"/>
      <c r="M40" t="str">
        <f t="shared" si="0"/>
        <v>UA_Prod</v>
      </c>
      <c r="N40" t="str">
        <f>Table2620[[#This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Table2620[[#This Row],[TWh '[2020']]]*1000</f>
        <v>0</v>
      </c>
      <c r="G41" s="3">
        <f>(Table2620[[#This Row],[Mrd m3 '[2035'] SP]])*9.77</f>
        <v>0</v>
      </c>
      <c r="H41" s="2"/>
      <c r="M41" t="str">
        <f t="shared" si="0"/>
        <v>OE_Prod</v>
      </c>
      <c r="N41" t="str">
        <f>Table2620[[#This Row],[Country]]</f>
        <v>OE</v>
      </c>
    </row>
    <row r="42" spans="1:14">
      <c r="A42" t="s">
        <v>36</v>
      </c>
      <c r="B42" t="s">
        <v>9</v>
      </c>
      <c r="C42" s="3">
        <f>$J$5*(D42/$K$5)</f>
        <v>1.7378850521766211E-2</v>
      </c>
      <c r="D42" s="2">
        <v>209.71305000000001</v>
      </c>
      <c r="E42" s="2"/>
      <c r="F42" s="2">
        <f>Table2620[[#This Row],[TWh '[2020']]]*1000</f>
        <v>169.79136959765586</v>
      </c>
      <c r="G42" s="3">
        <f>(Table2620[[#This Row],[Mrd m3 '[2035'] SP]])*9.77</f>
        <v>0.16979136959765587</v>
      </c>
      <c r="M42" t="str">
        <f t="shared" si="0"/>
        <v>ES_Prod</v>
      </c>
      <c r="N42" t="str">
        <f>Table2620[[#This Row],[Country]]</f>
        <v>ES</v>
      </c>
    </row>
    <row r="44" spans="1:14">
      <c r="C44" s="2">
        <f>SUM(Table2620[Mrd m3 '[2035'] SP])</f>
        <v>1000.8246799340053</v>
      </c>
      <c r="D44" s="2">
        <f>SUM(Table2620[Mil m3 EU '[2024']])/1000+C31+C37+C21+C3</f>
        <v>9755.9299794729995</v>
      </c>
      <c r="E44">
        <f>SUMIF(Table2620[Mil m3 EU '[2024']],"&gt;0",Table2620[Mrd m3 EU '[2020']])</f>
        <v>0</v>
      </c>
    </row>
    <row r="45" spans="1:14">
      <c r="C45" s="3">
        <f>C44-C37-C31-C3-C21-C5</f>
        <v>181.00000000000011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561FF-3CAF-499E-B5E7-936081CDB469}">
  <dimension ref="A1:N49"/>
  <sheetViews>
    <sheetView topLeftCell="A37" workbookViewId="0">
      <selection activeCell="A46" sqref="A46:B46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1" max="11" width="9.26953125" bestFit="1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3.6851763639290304E-2</v>
      </c>
      <c r="D2" s="2">
        <v>527.10126999999989</v>
      </c>
      <c r="E2" s="2"/>
      <c r="F2" s="2">
        <f>Table262021[[#This Row],[TWh '[2020']]]*1000</f>
        <v>360.04173075586624</v>
      </c>
      <c r="G2" s="3">
        <f>(Table262021[[#This Row],[Mrd m3 '[2035'] SP]])*9.77</f>
        <v>0.36004173075586626</v>
      </c>
      <c r="H2" s="2"/>
      <c r="J2" t="s">
        <v>101</v>
      </c>
      <c r="M2" t="str">
        <f t="shared" ref="M2:M42" si="0">_xlfn.CONCAT(A2,$J$2)</f>
        <v>AL_Prod</v>
      </c>
      <c r="N2" t="str">
        <f>Table262021[[#This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Table262021[[#This Row],[TWh '[2020']]]*1000</f>
        <v>1165547.0626743955</v>
      </c>
      <c r="G3" s="3">
        <f>(Table262021[[#This Row],[Mrd m3 '[2035'] SP]])*9.77</f>
        <v>1165.5470626743954</v>
      </c>
      <c r="H3" s="2"/>
      <c r="M3" t="str">
        <f t="shared" si="0"/>
        <v>DZ_Prod</v>
      </c>
      <c r="N3" t="str">
        <f>Table262021[[#This Row],[Country]]</f>
        <v>DZ</v>
      </c>
    </row>
    <row r="4" spans="1:14">
      <c r="A4" t="s">
        <v>20</v>
      </c>
      <c r="B4" t="s">
        <v>57</v>
      </c>
      <c r="C4" s="3">
        <f>$J$5*(D4/$K$5)</f>
        <v>0.13771215735076195</v>
      </c>
      <c r="D4" s="2">
        <v>5354.6634399999994</v>
      </c>
      <c r="E4" s="2"/>
      <c r="F4" s="2">
        <f>Table262021[[#This Row],[TWh '[2020']]]*1000</f>
        <v>1345.4477773169442</v>
      </c>
      <c r="G4" s="3">
        <f>(Table262021[[#This Row],[Mrd m3 '[2035'] SP]])*9.77</f>
        <v>1.3454477773169442</v>
      </c>
      <c r="H4" s="2"/>
      <c r="J4" t="s">
        <v>306</v>
      </c>
      <c r="K4">
        <v>2024</v>
      </c>
      <c r="M4" t="str">
        <f t="shared" si="0"/>
        <v>AT_Prod</v>
      </c>
      <c r="N4" t="str">
        <f>Table262021[[#This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Table262021[[#This Row],[TWh '[2020']]]*1000</f>
        <v>0</v>
      </c>
      <c r="G5" s="3">
        <f>(Table262021[[#This Row],[Mrd m3 '[2035'] SP]])*9.77</f>
        <v>0</v>
      </c>
      <c r="H5" s="2"/>
      <c r="I5" t="s">
        <v>294</v>
      </c>
      <c r="J5">
        <v>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Table262021[[#This Row],[Country]]</f>
        <v>BY</v>
      </c>
    </row>
    <row r="6" spans="1:14">
      <c r="A6" t="s">
        <v>17</v>
      </c>
      <c r="B6" t="s">
        <v>0</v>
      </c>
      <c r="C6" s="3">
        <f>$J$5*(D6/$K$5)</f>
        <v>3.7689981613025832E-3</v>
      </c>
      <c r="D6" s="2">
        <v>146.54999999999998</v>
      </c>
      <c r="E6" s="2"/>
      <c r="F6" s="2">
        <f>Table262021[[#This Row],[TWh '[2020']]]*1000</f>
        <v>36.823112035926236</v>
      </c>
      <c r="G6" s="3">
        <f>(Table262021[[#This Row],[Mrd m3 '[2035'] SP]])*9.77</f>
        <v>3.6823112035926239E-2</v>
      </c>
      <c r="H6" s="2"/>
      <c r="I6" t="s">
        <v>307</v>
      </c>
      <c r="J6">
        <f>127-J5</f>
        <v>118</v>
      </c>
      <c r="K6" s="2">
        <f>D2+D5+D7+D24+D26+D27+D32+D33+D36+D38+D39+D40</f>
        <v>1687787.6041103853</v>
      </c>
      <c r="M6" t="str">
        <f t="shared" si="0"/>
        <v>BE_Prod</v>
      </c>
      <c r="N6" t="str">
        <f>Table262021[[#This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Table262021[[#This Row],[TWh '[2020']]]*1000</f>
        <v>0</v>
      </c>
      <c r="G7" s="3">
        <f>(Table262021[[#This Row],[Mrd m3 '[2035'] SP]])*9.77</f>
        <v>0</v>
      </c>
      <c r="H7" s="2"/>
      <c r="M7" t="str">
        <f t="shared" si="0"/>
        <v>BA_Prod</v>
      </c>
      <c r="N7" t="str">
        <f>Table262021[[#This Row],[Country]]</f>
        <v>BA</v>
      </c>
    </row>
    <row r="8" spans="1:14">
      <c r="A8" t="s">
        <v>32</v>
      </c>
      <c r="B8" t="s">
        <v>64</v>
      </c>
      <c r="C8" s="3">
        <f>$J$5*(D8/$K$5)</f>
        <v>2.0453096688668689E-3</v>
      </c>
      <c r="D8" s="2">
        <v>79.527800000000013</v>
      </c>
      <c r="E8" s="2"/>
      <c r="F8" s="2">
        <f>Table262021[[#This Row],[TWh '[2020']]]*1000</f>
        <v>19.98267546482931</v>
      </c>
      <c r="G8" s="3">
        <f>(Table262021[[#This Row],[Mrd m3 '[2035'] SP]])*9.77</f>
        <v>1.9982675464829309E-2</v>
      </c>
      <c r="H8" s="2"/>
      <c r="K8" s="2"/>
      <c r="M8" t="str">
        <f t="shared" si="0"/>
        <v>BG_Prod</v>
      </c>
      <c r="N8" t="str">
        <f>Table262021[[#This Row],[Country]]</f>
        <v>BG</v>
      </c>
    </row>
    <row r="9" spans="1:14">
      <c r="A9" t="s">
        <v>24</v>
      </c>
      <c r="B9" t="s">
        <v>5</v>
      </c>
      <c r="C9" s="3">
        <f>$J$5*(D9/$K$5)</f>
        <v>0.18948010089588521</v>
      </c>
      <c r="D9" s="2">
        <v>7367.5569999999998</v>
      </c>
      <c r="E9" s="2"/>
      <c r="F9" s="2">
        <f>Table262021[[#This Row],[TWh '[2020']]]*1000</f>
        <v>1851.2205857527983</v>
      </c>
      <c r="G9" s="3">
        <f>(Table262021[[#This Row],[Mrd m3 '[2035'] SP]])*9.77</f>
        <v>1.8512205857527984</v>
      </c>
      <c r="H9" s="2"/>
      <c r="K9" s="2"/>
      <c r="M9" t="str">
        <f t="shared" si="0"/>
        <v>HR_Prod</v>
      </c>
      <c r="N9" t="str">
        <f>Table262021[[#This Row],[Country]]</f>
        <v>HR</v>
      </c>
    </row>
    <row r="10" spans="1:14">
      <c r="A10" t="s">
        <v>28</v>
      </c>
      <c r="B10" t="s">
        <v>61</v>
      </c>
      <c r="C10" s="3">
        <f>$J$5*(D10/$K$5)</f>
        <v>4.6853421209328769E-2</v>
      </c>
      <c r="D10" s="2">
        <v>1821.8021300000003</v>
      </c>
      <c r="E10" s="2"/>
      <c r="F10" s="2">
        <f>Table262021[[#This Row],[TWh '[2020']]]*1000</f>
        <v>457.75792521514205</v>
      </c>
      <c r="G10" s="3">
        <f>(Table262021[[#This Row],[Mrd m3 '[2035'] SP]])*9.77</f>
        <v>0.45775792521514203</v>
      </c>
      <c r="H10" s="2"/>
      <c r="M10" t="str">
        <f t="shared" si="0"/>
        <v>CZ_Prod</v>
      </c>
      <c r="N10" t="str">
        <f>Table262021[[#This Row],[Country]]</f>
        <v>CZ</v>
      </c>
    </row>
    <row r="11" spans="1:14">
      <c r="A11" t="s">
        <v>26</v>
      </c>
      <c r="B11" t="s">
        <v>60</v>
      </c>
      <c r="C11" s="3">
        <f>$J$5*(D11/$K$5)</f>
        <v>0.45264914117611765</v>
      </c>
      <c r="D11" s="2">
        <v>17600.3619</v>
      </c>
      <c r="E11" s="2"/>
      <c r="F11" s="2">
        <f>Table262021[[#This Row],[TWh '[2020']]]*1000</f>
        <v>4422.3821092906701</v>
      </c>
      <c r="G11" s="3">
        <f>(Table262021[[#This Row],[Mrd m3 '[2035'] SP]])*9.77</f>
        <v>4.4223821092906697</v>
      </c>
      <c r="H11" s="2"/>
      <c r="M11" t="str">
        <f t="shared" si="0"/>
        <v>DK_Prod</v>
      </c>
      <c r="N11" t="str">
        <f>Table262021[[#This Row],[Country]]</f>
        <v>DK</v>
      </c>
    </row>
    <row r="12" spans="1:14">
      <c r="A12" t="s">
        <v>53</v>
      </c>
      <c r="B12" t="s">
        <v>66</v>
      </c>
      <c r="C12" s="3">
        <f>$J$5*(D12/$K$5)</f>
        <v>0</v>
      </c>
      <c r="D12" s="2">
        <v>0</v>
      </c>
      <c r="E12" s="2"/>
      <c r="F12" s="2">
        <f>Table262021[[#This Row],[TWh '[2020']]]*1000</f>
        <v>0</v>
      </c>
      <c r="G12" s="3">
        <f>(Table262021[[#This Row],[Mrd m3 '[2035'] SP]])*9.77</f>
        <v>0</v>
      </c>
      <c r="H12" s="2"/>
      <c r="M12" t="str">
        <f t="shared" si="0"/>
        <v>EE_Prod</v>
      </c>
      <c r="N12" t="str">
        <f>Table262021[[#This Row],[Country]]</f>
        <v>EE</v>
      </c>
    </row>
    <row r="13" spans="1:14">
      <c r="A13" t="s">
        <v>54</v>
      </c>
      <c r="B13" t="s">
        <v>85</v>
      </c>
      <c r="C13" s="3">
        <f>$J$5*(D13/$K$5)</f>
        <v>0</v>
      </c>
      <c r="D13" s="2">
        <v>0</v>
      </c>
      <c r="E13" s="2"/>
      <c r="F13" s="2">
        <f>Table262021[[#This Row],[TWh '[2020']]]*1000</f>
        <v>0</v>
      </c>
      <c r="G13" s="3">
        <f>(Table262021[[#This Row],[Mrd m3 '[2035'] SP]])*9.77</f>
        <v>0</v>
      </c>
      <c r="H13" s="2"/>
      <c r="M13" t="str">
        <f t="shared" si="0"/>
        <v>FI_Prod</v>
      </c>
      <c r="N13" t="str">
        <f>Table262021[[#This Row],[Country]]</f>
        <v>FI</v>
      </c>
    </row>
    <row r="14" spans="1:14">
      <c r="A14" t="s">
        <v>25</v>
      </c>
      <c r="B14" t="s">
        <v>2</v>
      </c>
      <c r="C14" s="3">
        <f>$J$5*(D14/$K$5)</f>
        <v>3.1096747496187176E-3</v>
      </c>
      <c r="D14" s="2">
        <v>120.91351999999998</v>
      </c>
      <c r="E14" s="2"/>
      <c r="F14" s="2">
        <f>Table262021[[#This Row],[TWh '[2020']]]*1000</f>
        <v>30.381522303774872</v>
      </c>
      <c r="G14" s="3">
        <f>(Table262021[[#This Row],[Mrd m3 '[2035'] SP]])*9.77</f>
        <v>3.0381522303774871E-2</v>
      </c>
      <c r="H14" s="2"/>
      <c r="M14" t="str">
        <f t="shared" si="0"/>
        <v>FR_Prod</v>
      </c>
      <c r="N14" t="str">
        <f>Table262021[[#This Row],[Country]]</f>
        <v>FR</v>
      </c>
    </row>
    <row r="15" spans="1:14">
      <c r="A15" t="s">
        <v>19</v>
      </c>
      <c r="B15" t="s">
        <v>56</v>
      </c>
      <c r="C15" s="3">
        <f>$J$5*(D15/$K$5)</f>
        <v>0.97315532524832693</v>
      </c>
      <c r="D15" s="2">
        <v>37839.21</v>
      </c>
      <c r="E15" s="2"/>
      <c r="F15" s="2">
        <f>Table262021[[#This Row],[TWh '[2020']]]*1000</f>
        <v>9507.7275276761538</v>
      </c>
      <c r="G15" s="3">
        <f>(Table262021[[#This Row],[Mrd m3 '[2035'] SP]])*9.77</f>
        <v>9.5077275276761544</v>
      </c>
      <c r="H15" s="2"/>
      <c r="M15" t="str">
        <f t="shared" si="0"/>
        <v>DE_Prod</v>
      </c>
      <c r="N15" t="str">
        <f>Table262021[[#This Row],[Country]]</f>
        <v>DE</v>
      </c>
    </row>
    <row r="16" spans="1:14">
      <c r="A16" t="s">
        <v>264</v>
      </c>
      <c r="B16" t="s">
        <v>3</v>
      </c>
      <c r="C16" s="3">
        <f>$J$5*(D16/$K$5)</f>
        <v>5.0027168927689624E-4</v>
      </c>
      <c r="D16" s="2">
        <v>19.452070000000003</v>
      </c>
      <c r="E16" s="2"/>
      <c r="F16" s="2">
        <f>Table262021[[#This Row],[TWh '[2020']]]*1000</f>
        <v>4.8876544042352759</v>
      </c>
      <c r="G16" s="3">
        <f>(Table262021[[#This Row],[Mrd m3 '[2035'] SP]])*9.77</f>
        <v>4.8876544042352763E-3</v>
      </c>
      <c r="H16" s="2"/>
      <c r="M16" t="str">
        <f t="shared" si="0"/>
        <v>EL_Prod</v>
      </c>
      <c r="N16" t="str">
        <f>Table262021[[#This Row],[Country]]</f>
        <v>EL</v>
      </c>
    </row>
    <row r="17" spans="1:14">
      <c r="A17" t="s">
        <v>30</v>
      </c>
      <c r="B17" t="s">
        <v>63</v>
      </c>
      <c r="C17" s="3">
        <f>$J$5*(D17/$K$5)</f>
        <v>0.43313326869689284</v>
      </c>
      <c r="D17" s="2">
        <v>16841.525999999998</v>
      </c>
      <c r="E17" s="2"/>
      <c r="F17" s="2">
        <f>Table262021[[#This Row],[TWh '[2020']]]*1000</f>
        <v>4231.7120351686426</v>
      </c>
      <c r="G17" s="3">
        <f>(Table262021[[#This Row],[Mrd m3 '[2035'] SP]])*9.77</f>
        <v>4.231712035168643</v>
      </c>
      <c r="H17" s="2"/>
      <c r="M17" t="str">
        <f t="shared" si="0"/>
        <v>HU_Prod</v>
      </c>
      <c r="N17" t="str">
        <f>Table262021[[#This Row],[Country]]</f>
        <v>HU</v>
      </c>
    </row>
    <row r="18" spans="1:14">
      <c r="A18" t="s">
        <v>43</v>
      </c>
      <c r="B18" t="s">
        <v>135</v>
      </c>
      <c r="C18" s="3">
        <f>$J$5*(D18/$K$5)</f>
        <v>0.27156511185089416</v>
      </c>
      <c r="D18" s="2">
        <v>10559.26945</v>
      </c>
      <c r="E18" s="2"/>
      <c r="F18" s="2">
        <f>Table262021[[#This Row],[TWh '[2020']]]*1000</f>
        <v>2653.191142783236</v>
      </c>
      <c r="G18" s="3">
        <f>(Table262021[[#This Row],[Mrd m3 '[2035'] SP]])*9.77</f>
        <v>2.653191142783236</v>
      </c>
      <c r="H18" s="2"/>
      <c r="M18" t="str">
        <f t="shared" si="0"/>
        <v>IE_Prod</v>
      </c>
      <c r="N18" t="str">
        <f>Table262021[[#This Row],[Country]]</f>
        <v>IE</v>
      </c>
    </row>
    <row r="19" spans="1:14">
      <c r="A19" t="s">
        <v>21</v>
      </c>
      <c r="B19" t="s">
        <v>4</v>
      </c>
      <c r="C19" s="3">
        <f>$J$5*(D19/$K$5)</f>
        <v>0.73878494865206357</v>
      </c>
      <c r="D19" s="2">
        <v>28726.18388</v>
      </c>
      <c r="E19" s="2"/>
      <c r="F19" s="2">
        <f>Table262021[[#This Row],[TWh '[2020']]]*1000</f>
        <v>7217.9289483306611</v>
      </c>
      <c r="G19" s="3">
        <f>(Table262021[[#This Row],[Mrd m3 '[2035'] SP]])*9.77</f>
        <v>7.2179289483306608</v>
      </c>
      <c r="H19" s="2"/>
      <c r="M19" t="str">
        <f t="shared" si="0"/>
        <v>IT_Prod</v>
      </c>
      <c r="N19" t="str">
        <f>Table262021[[#This Row],[Country]]</f>
        <v>IT</v>
      </c>
    </row>
    <row r="20" spans="1:14">
      <c r="A20" t="s">
        <v>35</v>
      </c>
      <c r="B20" t="s">
        <v>65</v>
      </c>
      <c r="C20" s="3">
        <f>$J$5*(D20/$K$5)</f>
        <v>0</v>
      </c>
      <c r="D20" s="2">
        <v>0</v>
      </c>
      <c r="E20" s="2"/>
      <c r="F20" s="2">
        <f>Table262021[[#This Row],[TWh '[2020']]]*1000</f>
        <v>0</v>
      </c>
      <c r="G20" s="3">
        <f>(Table262021[[#This Row],[Mrd m3 '[2035'] SP]])*9.77</f>
        <v>0</v>
      </c>
      <c r="H20" s="2"/>
      <c r="M20" t="str">
        <f t="shared" si="0"/>
        <v>LV_Prod</v>
      </c>
      <c r="N20" t="str">
        <f>Table262021[[#This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Table262021[[#This Row],[TWh '[2020']]]*1000</f>
        <v>187183.9863060849</v>
      </c>
      <c r="G21" s="3">
        <f>(Table262021[[#This Row],[Mrd m3 '[2035'] SP]])*9.77</f>
        <v>187.1839863060849</v>
      </c>
      <c r="H21" s="2"/>
      <c r="M21" t="str">
        <f t="shared" si="0"/>
        <v>LY_Prod</v>
      </c>
      <c r="N21" t="str">
        <f>Table262021[[#This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Table262021[[#This Row],[TWh '[2020']]]*1000</f>
        <v>0</v>
      </c>
      <c r="G22" s="3">
        <f>(Table262021[[#This Row],[Mrd m3 '[2035'] SP]])*9.77</f>
        <v>0</v>
      </c>
      <c r="H22" s="2"/>
      <c r="M22" t="str">
        <f t="shared" si="0"/>
        <v>LT_Prod</v>
      </c>
      <c r="N22" t="str">
        <f>Table262021[[#This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Table262021[[#This Row],[TWh '[2020']]]*1000</f>
        <v>0</v>
      </c>
      <c r="G23" s="3">
        <f>(Table262021[[#This Row],[Mrd m3 '[2035'] SP]])*9.77</f>
        <v>0</v>
      </c>
      <c r="H23" s="2"/>
      <c r="M23" t="str">
        <f t="shared" si="0"/>
        <v>LU_Prod</v>
      </c>
      <c r="N23" t="str">
        <f>Table262021[[#This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Table262021[[#This Row],[TWh '[2020']]]*1000</f>
        <v>0</v>
      </c>
      <c r="G24" s="3">
        <f>(Table262021[[#This Row],[Mrd m3 '[2035'] SP]])*9.77</f>
        <v>0</v>
      </c>
      <c r="H24" s="2"/>
      <c r="M24" t="str">
        <f t="shared" si="0"/>
        <v>MD_Prod</v>
      </c>
      <c r="N24" t="str">
        <f>Table262021[[#This Row],[Country]]</f>
        <v>MD</v>
      </c>
    </row>
    <row r="25" spans="1:14">
      <c r="A25" t="s">
        <v>18</v>
      </c>
      <c r="B25" t="s">
        <v>7</v>
      </c>
      <c r="C25" s="3">
        <f>$J$5*(D25/$K$5)</f>
        <v>2.4721544897649008</v>
      </c>
      <c r="D25" s="2">
        <v>96124.812210000018</v>
      </c>
      <c r="E25" s="2"/>
      <c r="F25" s="2">
        <f>Table262021[[#This Row],[TWh '[2020']]]*1000</f>
        <v>24152.949365003082</v>
      </c>
      <c r="G25" s="3">
        <f>(Table262021[[#This Row],[Mrd m3 '[2035'] SP]])*9.77</f>
        <v>24.152949365003082</v>
      </c>
      <c r="H25" s="2"/>
      <c r="M25" t="str">
        <f t="shared" si="0"/>
        <v>NL_Prod</v>
      </c>
      <c r="N25" t="str">
        <f>Table262021[[#This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Table262021[[#This Row],[TWh '[2020']]]*1000</f>
        <v>0</v>
      </c>
      <c r="G26" s="3">
        <f>(Table262021[[#This Row],[Mrd m3 '[2035'] SP]])*9.77</f>
        <v>0</v>
      </c>
      <c r="H26" s="2"/>
      <c r="M26" t="str">
        <f t="shared" si="0"/>
        <v>MK_Prod</v>
      </c>
      <c r="N26" t="str">
        <f>Table262021[[#This Row],[Country]]</f>
        <v>MK</v>
      </c>
    </row>
    <row r="27" spans="1:14">
      <c r="A27" t="s">
        <v>48</v>
      </c>
      <c r="B27" t="s">
        <v>71</v>
      </c>
      <c r="C27" s="3">
        <f>$J$6*(D27/$K$6)</f>
        <v>80.582558449341988</v>
      </c>
      <c r="D27" s="2">
        <v>1152595.2818499999</v>
      </c>
      <c r="E27" s="2"/>
      <c r="F27" s="2">
        <f>Table262021[[#This Row],[TWh '[2020']]]*1000</f>
        <v>787291.59605007118</v>
      </c>
      <c r="G27" s="3">
        <f>(Table262021[[#This Row],[Mrd m3 '[2035'] SP]])*9.77</f>
        <v>787.29159605007123</v>
      </c>
      <c r="H27" s="2"/>
      <c r="M27" t="str">
        <f t="shared" si="0"/>
        <v>NO_Prod</v>
      </c>
      <c r="N27" t="str">
        <f>Table262021[[#This Row],[Country]]</f>
        <v>NO</v>
      </c>
    </row>
    <row r="28" spans="1:14">
      <c r="A28" t="s">
        <v>27</v>
      </c>
      <c r="B28" t="s">
        <v>8</v>
      </c>
      <c r="C28" s="3">
        <f>$J$5*(D28/$K$5)</f>
        <v>0.90380901930886137</v>
      </c>
      <c r="D28" s="2">
        <v>35142.816767503326</v>
      </c>
      <c r="E28" s="2"/>
      <c r="F28" s="2">
        <f>Table262021[[#This Row],[TWh '[2020']]]*1000</f>
        <v>8830.2141186475747</v>
      </c>
      <c r="G28" s="3">
        <f>(Table262021[[#This Row],[Mrd m3 '[2035'] SP]])*9.77</f>
        <v>8.8302141186475751</v>
      </c>
      <c r="H28" s="2"/>
      <c r="M28" t="str">
        <f t="shared" si="0"/>
        <v>PL_Prod</v>
      </c>
      <c r="N28" t="str">
        <f>Table262021[[#This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Table262021[[#This Row],[TWh '[2020']]]*1000</f>
        <v>0</v>
      </c>
      <c r="G29" s="3">
        <f>(Table262021[[#This Row],[Mrd m3 '[2035'] SP]])*9.77</f>
        <v>0</v>
      </c>
      <c r="H29" s="2"/>
      <c r="M29" t="str">
        <f t="shared" si="0"/>
        <v>PT_Prod</v>
      </c>
      <c r="N29" t="str">
        <f>Table262021[[#This Row],[Country]]</f>
        <v>PT</v>
      </c>
    </row>
    <row r="30" spans="1:14">
      <c r="A30" t="s">
        <v>33</v>
      </c>
      <c r="B30" t="s">
        <v>86</v>
      </c>
      <c r="C30" s="3">
        <f>$J$5*(D30/$K$5)</f>
        <v>2.3548700511818539</v>
      </c>
      <c r="D30" s="2">
        <v>91564.439999999988</v>
      </c>
      <c r="E30" s="2"/>
      <c r="F30" s="2">
        <f>Table262021[[#This Row],[TWh '[2020']]]*1000</f>
        <v>23007.080400046711</v>
      </c>
      <c r="G30" s="3">
        <f>(Table262021[[#This Row],[Mrd m3 '[2035'] SP]])*9.77</f>
        <v>23.007080400046711</v>
      </c>
      <c r="H30" s="2"/>
      <c r="M30" t="str">
        <f t="shared" si="0"/>
        <v>RO_Prod</v>
      </c>
      <c r="N30" t="str">
        <f>Table262021[[#This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Table262021[[#This Row],[TWh '[2020']]]*1000</f>
        <v>6635799.3179368693</v>
      </c>
      <c r="G31" s="3">
        <f>(Table262021[[#This Row],[Mrd m3 '[2035'] SP]])*9.77</f>
        <v>6635.7993179368696</v>
      </c>
      <c r="H31" s="2"/>
      <c r="M31" t="str">
        <f t="shared" si="0"/>
        <v>RU_Prod</v>
      </c>
      <c r="N31" t="str">
        <f>Table262021[[#This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Table262021[[#This Row],[TWh '[2020']]]*1000</f>
        <v>0</v>
      </c>
      <c r="G32" s="3">
        <f>(Table262021[[#This Row],[Mrd m3 '[2035'] SP]])*9.77</f>
        <v>0</v>
      </c>
      <c r="H32" s="2"/>
      <c r="M32" t="str">
        <f t="shared" si="0"/>
        <v>SM_Prod</v>
      </c>
      <c r="N32" t="str">
        <f>Table262021[[#This Row],[Country]]</f>
        <v>SM</v>
      </c>
    </row>
    <row r="33" spans="1:14">
      <c r="A33" t="s">
        <v>31</v>
      </c>
      <c r="B33" t="s">
        <v>72</v>
      </c>
      <c r="C33" s="3">
        <f>$J$6*(D33/$K$6)</f>
        <v>0.20150266489204352</v>
      </c>
      <c r="D33" s="2">
        <v>2882.1499999999996</v>
      </c>
      <c r="E33" s="2"/>
      <c r="F33" s="2">
        <f>Table262021[[#This Row],[TWh '[2020']]]*1000</f>
        <v>1968.6810359952651</v>
      </c>
      <c r="G33" s="3">
        <f>(Table262021[[#This Row],[Mrd m3 '[2035'] SP]])*9.77</f>
        <v>1.9686810359952651</v>
      </c>
      <c r="H33" s="2"/>
      <c r="M33" t="str">
        <f t="shared" si="0"/>
        <v>RS_Prod</v>
      </c>
      <c r="N33" t="str">
        <f>Table262021[[#This Row],[Country]]</f>
        <v>RS</v>
      </c>
    </row>
    <row r="34" spans="1:14">
      <c r="A34" t="s">
        <v>29</v>
      </c>
      <c r="B34" t="s">
        <v>62</v>
      </c>
      <c r="C34" s="3">
        <f>$J$5*(D34/$K$5)</f>
        <v>1.0059958625604768E-2</v>
      </c>
      <c r="D34" s="2">
        <v>391.16148999999996</v>
      </c>
      <c r="E34" s="2"/>
      <c r="F34" s="2">
        <f>Table262021[[#This Row],[TWh '[2020']]]*1000</f>
        <v>98.285795772158579</v>
      </c>
      <c r="G34" s="3">
        <f>(Table262021[[#This Row],[Mrd m3 '[2035'] SP]])*9.77</f>
        <v>9.8285795772158582E-2</v>
      </c>
      <c r="H34" s="2"/>
      <c r="M34" t="str">
        <f t="shared" si="0"/>
        <v>SK_Prod</v>
      </c>
      <c r="N34" t="str">
        <f>Table262021[[#This Row],[Country]]</f>
        <v>SK</v>
      </c>
    </row>
    <row r="35" spans="1:14">
      <c r="A35" t="s">
        <v>23</v>
      </c>
      <c r="B35" t="s">
        <v>59</v>
      </c>
      <c r="C35" s="3">
        <f>$J$5*(D35/$K$5)</f>
        <v>9.5531540061816146E-4</v>
      </c>
      <c r="D35" s="2">
        <v>37.145539999999997</v>
      </c>
      <c r="E35" s="2"/>
      <c r="F35" s="2">
        <f>Table262021[[#This Row],[TWh '[2020']]]*1000</f>
        <v>9.3334314640394371</v>
      </c>
      <c r="G35" s="3">
        <f>(Table262021[[#This Row],[Mrd m3 '[2035'] SP]])*9.77</f>
        <v>9.3334314640394368E-3</v>
      </c>
      <c r="H35" s="2"/>
      <c r="M35" t="str">
        <f t="shared" si="0"/>
        <v>SI_Prod</v>
      </c>
      <c r="N35" t="str">
        <f>Table262021[[#This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Table262021[[#This Row],[TWh '[2020']]]*1000</f>
        <v>0</v>
      </c>
      <c r="G36" s="3">
        <f>(Table262021[[#This Row],[Mrd m3 '[2035'] SP]])*9.77</f>
        <v>0</v>
      </c>
      <c r="H36" s="2"/>
      <c r="M36" t="str">
        <f t="shared" si="0"/>
        <v>CH_Prod</v>
      </c>
      <c r="N36" t="str">
        <f>Table262021[[#This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Table262021[[#This Row],[TWh '[2020']]]*1000</f>
        <v>21156.756037879688</v>
      </c>
      <c r="G37" s="3">
        <f>(Table262021[[#This Row],[Mrd m3 '[2035'] SP]])*9.77</f>
        <v>21.156756037879688</v>
      </c>
      <c r="H37" s="2"/>
      <c r="M37" t="str">
        <f t="shared" si="0"/>
        <v>TN_Prod</v>
      </c>
      <c r="N37" t="str">
        <f>Table262021[[#This Row],[Country]]</f>
        <v>TN</v>
      </c>
    </row>
    <row r="38" spans="1:14">
      <c r="A38" t="s">
        <v>46</v>
      </c>
      <c r="B38" t="s">
        <v>10</v>
      </c>
      <c r="C38" s="3">
        <f>$J$6*(D38/$K$6)</f>
        <v>1.5431074077432694</v>
      </c>
      <c r="D38" s="2">
        <v>22071.504700000001</v>
      </c>
      <c r="E38" s="2"/>
      <c r="F38" s="2">
        <f>Table262021[[#This Row],[TWh '[2020']]]*1000</f>
        <v>15076.159373651741</v>
      </c>
      <c r="G38" s="3">
        <f>(Table262021[[#This Row],[Mrd m3 '[2035'] SP]])*9.77</f>
        <v>15.076159373651741</v>
      </c>
      <c r="H38" s="2"/>
      <c r="M38" t="str">
        <f t="shared" si="0"/>
        <v>TR_Prod</v>
      </c>
      <c r="N38" t="str">
        <f>Table262021[[#This Row],[Country]]</f>
        <v>TR</v>
      </c>
    </row>
    <row r="39" spans="1:14">
      <c r="A39" t="s">
        <v>11</v>
      </c>
      <c r="B39" t="s">
        <v>11</v>
      </c>
      <c r="C39" s="3">
        <f>$J$6*(D39/$K$6)</f>
        <v>23.547263851091024</v>
      </c>
      <c r="D39" s="2">
        <v>336803.22066600004</v>
      </c>
      <c r="E39" s="2"/>
      <c r="F39" s="2">
        <f>Table262021[[#This Row],[TWh '[2020']]]*1000</f>
        <v>230056.7678251593</v>
      </c>
      <c r="G39" s="3">
        <f>(Table262021[[#This Row],[Mrd m3 '[2035'] SP]])*9.77</f>
        <v>230.05676782515931</v>
      </c>
      <c r="H39" s="2"/>
      <c r="M39" t="str">
        <f t="shared" si="0"/>
        <v>UK_Prod</v>
      </c>
      <c r="N39" t="str">
        <f>Table262021[[#This Row],[Country]]</f>
        <v>UK</v>
      </c>
    </row>
    <row r="40" spans="1:14">
      <c r="A40" t="s">
        <v>38</v>
      </c>
      <c r="B40" t="s">
        <v>67</v>
      </c>
      <c r="C40" s="3">
        <f>$J$6*(D40/$K$6)</f>
        <v>12.088715863292396</v>
      </c>
      <c r="D40" s="2">
        <v>172908.34562438543</v>
      </c>
      <c r="E40" s="2"/>
      <c r="F40" s="2">
        <f>Table262021[[#This Row],[TWh '[2020']]]*1000</f>
        <v>118106.7539843667</v>
      </c>
      <c r="G40" s="3">
        <f>(Table262021[[#This Row],[Mrd m3 '[2035'] SP]])*9.77</f>
        <v>118.1067539843667</v>
      </c>
      <c r="H40" s="2"/>
      <c r="M40" t="str">
        <f t="shared" si="0"/>
        <v>UA_Prod</v>
      </c>
      <c r="N40" t="str">
        <f>Table262021[[#This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Table262021[[#This Row],[TWh '[2020']]]*1000</f>
        <v>0</v>
      </c>
      <c r="G41" s="3">
        <f>(Table262021[[#This Row],[Mrd m3 '[2035'] SP]])*9.77</f>
        <v>0</v>
      </c>
      <c r="H41" s="2"/>
      <c r="M41" t="str">
        <f t="shared" si="0"/>
        <v>OE_Prod</v>
      </c>
      <c r="N41" t="str">
        <f>Table262021[[#This Row],[Country]]</f>
        <v>OE</v>
      </c>
    </row>
    <row r="42" spans="1:14">
      <c r="A42" t="s">
        <v>36</v>
      </c>
      <c r="B42" t="s">
        <v>9</v>
      </c>
      <c r="C42" s="3">
        <f>$J$5*(D42/$K$5)</f>
        <v>5.3934363688239971E-3</v>
      </c>
      <c r="D42" s="2">
        <v>209.71305000000001</v>
      </c>
      <c r="E42" s="2"/>
      <c r="F42" s="2">
        <f>Table262021[[#This Row],[TWh '[2020']]]*1000</f>
        <v>52.693873323410443</v>
      </c>
      <c r="G42" s="3">
        <f>(Table262021[[#This Row],[Mrd m3 '[2035'] SP]])*9.77</f>
        <v>5.2693873323410446E-2</v>
      </c>
      <c r="M42" t="str">
        <f t="shared" si="0"/>
        <v>ES_Prod</v>
      </c>
      <c r="N42" t="str">
        <f>Table262021[[#This Row],[Country]]</f>
        <v>ES</v>
      </c>
    </row>
    <row r="44" spans="1:14">
      <c r="C44" s="2">
        <f>SUM(Table262021[Mrd m3 '[2035'] SP])</f>
        <v>946.82467993400508</v>
      </c>
      <c r="D44" s="2">
        <f>SUM(Table262021[Mil m3 EU '[2024']])/1000+C31+C37+C21+C3</f>
        <v>9755.9299794729995</v>
      </c>
      <c r="E44">
        <f>SUMIF(Table262021[Mil m3 EU '[2024']],"&gt;0",Table262021[Mrd m3 EU '[2020']])</f>
        <v>0</v>
      </c>
    </row>
    <row r="45" spans="1:14">
      <c r="C45" s="3">
        <f>C44-C37-C31-C3-C21-C5</f>
        <v>126.9999999999999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ACD06-E0FC-4391-8CB7-FEB185F8EE0B}">
  <dimension ref="A1:G21"/>
  <sheetViews>
    <sheetView topLeftCell="A7" workbookViewId="0">
      <selection activeCell="A19" sqref="A19:B19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304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f>1241*(D2/($D$2+$D$3))</f>
        <v>1018.7669682739473</v>
      </c>
      <c r="D2" s="7">
        <v>1035.2966874829399</v>
      </c>
      <c r="E2" s="7"/>
      <c r="F2" s="14">
        <f>Table7919[[#This Row],[TWh '[2020']]]*1000</f>
        <v>9953353.2800364643</v>
      </c>
      <c r="G2" s="3">
        <f>(Table7919[[#This Row],[Mrd m3 '[2020']]])*9.77</f>
        <v>9953.3532800364646</v>
      </c>
    </row>
    <row r="3" spans="1:7">
      <c r="A3" t="s">
        <v>196</v>
      </c>
      <c r="B3" t="s">
        <v>160</v>
      </c>
      <c r="C3" s="2">
        <f>1241*(D3/($D$2+$D$3))</f>
        <v>222.23303172605264</v>
      </c>
      <c r="D3">
        <v>225.83881177958006</v>
      </c>
      <c r="E3" s="2"/>
      <c r="F3" s="2">
        <f>Table7919[[#This Row],[TWh '[2020']]]*1000</f>
        <v>2171216.7199635343</v>
      </c>
      <c r="G3" s="3">
        <f>(Table7919[[#This Row],[Mrd m3 '[2020']]])*9.77</f>
        <v>2171.2167199635342</v>
      </c>
    </row>
    <row r="4" spans="1:7">
      <c r="A4" t="s">
        <v>150</v>
      </c>
      <c r="B4" t="s">
        <v>161</v>
      </c>
      <c r="C4" s="7">
        <f>170*(D4/($D$4+$D$5))</f>
        <v>143.77561867071384</v>
      </c>
      <c r="D4">
        <v>137.02787213632018</v>
      </c>
      <c r="E4" s="2"/>
      <c r="F4" s="2">
        <f>Table7919[[#This Row],[TWh '[2020']]]*1000</f>
        <v>1404687.7944128742</v>
      </c>
      <c r="G4" s="3">
        <f>(Table7919[[#This Row],[Mrd m3 '[2020']]])*9.77</f>
        <v>1404.6877944128742</v>
      </c>
    </row>
    <row r="5" spans="1:7">
      <c r="A5" t="s">
        <v>151</v>
      </c>
      <c r="B5" t="s">
        <v>162</v>
      </c>
      <c r="C5" s="2">
        <f>170*(D5/($D$4+$D$5))</f>
        <v>26.224381329286157</v>
      </c>
      <c r="D5">
        <v>24.9936060429938</v>
      </c>
      <c r="E5" s="2"/>
      <c r="F5" s="2">
        <f>Table7919[[#This Row],[TWh '[2020']]]*1000</f>
        <v>256212.20558712576</v>
      </c>
      <c r="G5" s="3">
        <f>(Table7919[[#This Row],[Mrd m3 '[2020']]])*9.77</f>
        <v>256.21220558712577</v>
      </c>
    </row>
    <row r="6" spans="1:7">
      <c r="A6" t="s">
        <v>152</v>
      </c>
      <c r="B6" t="s">
        <v>163</v>
      </c>
      <c r="C6" s="7">
        <f>962*(D6/($D$6+$D$7))</f>
        <v>717.71980204489614</v>
      </c>
      <c r="D6">
        <v>531.72742192180203</v>
      </c>
      <c r="E6" s="2"/>
      <c r="F6" s="2">
        <f>Table7919[[#This Row],[TWh '[2020']]]*1000</f>
        <v>7012122.4659786345</v>
      </c>
      <c r="G6" s="3">
        <f>(Table7919[[#This Row],[Mrd m3 '[2020']]])*9.77</f>
        <v>7012.1224659786349</v>
      </c>
    </row>
    <row r="7" spans="1:7">
      <c r="A7" t="s">
        <v>153</v>
      </c>
      <c r="B7" t="s">
        <v>174</v>
      </c>
      <c r="C7" s="2">
        <f>962*(D7/($D$6+$D$7))</f>
        <v>244.28019795510389</v>
      </c>
      <c r="D7">
        <v>180.976586566424</v>
      </c>
      <c r="E7" s="2"/>
      <c r="F7" s="2">
        <f>Table7919[[#This Row],[TWh '[2020']]]*1000</f>
        <v>2386617.534021365</v>
      </c>
      <c r="G7" s="3">
        <f>(Table7919[[#This Row],[Mrd m3 '[2020']]])*9.77</f>
        <v>2386.6175340213649</v>
      </c>
    </row>
    <row r="8" spans="1:7">
      <c r="A8" t="s">
        <v>154</v>
      </c>
      <c r="B8" t="s">
        <v>164</v>
      </c>
      <c r="C8" s="2">
        <f>298*(D8/$E$8)</f>
        <v>90.29252454495321</v>
      </c>
      <c r="D8">
        <v>76.854578169538883</v>
      </c>
      <c r="E8" s="2">
        <v>253.64961728498599</v>
      </c>
      <c r="F8" s="2">
        <f>Table7919[[#This Row],[TWh '[2020']]]*1000</f>
        <v>882157.96480419277</v>
      </c>
      <c r="G8" s="3">
        <f>(Table7919[[#This Row],[Mrd m3 '[2020']]])*9.77</f>
        <v>882.15796480419283</v>
      </c>
    </row>
    <row r="9" spans="1:7">
      <c r="A9" t="s">
        <v>96</v>
      </c>
      <c r="B9" t="s">
        <v>175</v>
      </c>
      <c r="C9" s="2">
        <f>298*(D9/$E$8)</f>
        <v>8.2239430215906531E-2</v>
      </c>
      <c r="D9">
        <v>7.0000000000000007E-2</v>
      </c>
      <c r="E9" s="2"/>
      <c r="F9" s="2">
        <f>Table7919[[#This Row],[TWh '[2020']]]*1000</f>
        <v>803.47923320940674</v>
      </c>
      <c r="G9" s="3">
        <f>(Table7919[[#This Row],[Mrd m3 '[2020']]])*9.77</f>
        <v>0.80347923320940673</v>
      </c>
    </row>
    <row r="10" spans="1:7">
      <c r="A10" t="s">
        <v>155</v>
      </c>
      <c r="B10" t="s">
        <v>165</v>
      </c>
      <c r="C10">
        <f>(675-$C$17)*(D10/($D$10+$D$11+$D$14+$D$13))</f>
        <v>155.63739368951246</v>
      </c>
      <c r="D10">
        <v>151.74021373996112</v>
      </c>
      <c r="E10" s="2"/>
      <c r="F10" s="2">
        <f>Table7919[[#This Row],[TWh '[2020']]]*1000</f>
        <v>1520577.3363465366</v>
      </c>
      <c r="G10" s="3">
        <f>(Table7919[[#This Row],[Mrd m3 '[2020']]])*9.77</f>
        <v>1520.5773363465366</v>
      </c>
    </row>
    <row r="11" spans="1:7">
      <c r="A11" t="s">
        <v>156</v>
      </c>
      <c r="B11" t="s">
        <v>166</v>
      </c>
      <c r="C11">
        <f>(675-$C$17)*(D11/($D$10+$D$11+$D$14+$D$13))</f>
        <v>240.27487096086793</v>
      </c>
      <c r="D11">
        <v>234.25835791543756</v>
      </c>
      <c r="E11" s="2"/>
      <c r="F11" s="2">
        <f>Table7919[[#This Row],[TWh '[2020']]]*1000</f>
        <v>2347485.4892876795</v>
      </c>
      <c r="G11" s="3">
        <f>(Table7919[[#This Row],[Mrd m3 '[2020']]])*9.77</f>
        <v>2347.4854892876797</v>
      </c>
    </row>
    <row r="12" spans="1:7">
      <c r="A12" t="s">
        <v>157</v>
      </c>
      <c r="B12" t="s">
        <v>167</v>
      </c>
      <c r="C12">
        <v>0</v>
      </c>
      <c r="D12">
        <v>0</v>
      </c>
      <c r="E12" s="2"/>
      <c r="F12" s="2">
        <f>Table7919[[#This Row],[TWh '[2020']]]*1000</f>
        <v>0</v>
      </c>
      <c r="G12" s="3">
        <f>(Table7919[[#This Row],[Mrd m3 '[2020']]])*9.77</f>
        <v>0</v>
      </c>
    </row>
    <row r="13" spans="1:7">
      <c r="A13" t="s">
        <v>158</v>
      </c>
      <c r="B13" t="s">
        <v>168</v>
      </c>
      <c r="C13">
        <f>(675-$C$17)*(D13/($D$10+$D$11+$D$14+$D$13))</f>
        <v>32.396706139454764</v>
      </c>
      <c r="D13">
        <v>31.585488535476742</v>
      </c>
      <c r="E13" s="2"/>
      <c r="F13" s="2">
        <f>Table7919[[#This Row],[TWh '[2020']]]*1000</f>
        <v>316515.81898247305</v>
      </c>
      <c r="G13" s="3">
        <f>(Table7919[[#This Row],[Mrd m3 '[2020']]])*9.77</f>
        <v>316.51581898247304</v>
      </c>
    </row>
    <row r="14" spans="1:7">
      <c r="A14" t="s">
        <v>159</v>
      </c>
      <c r="B14" t="s">
        <v>169</v>
      </c>
      <c r="C14">
        <f>(675-$C$17)*(D14/($D$10+$D$11+$D$14+$D$13))</f>
        <v>132.22780544351377</v>
      </c>
      <c r="D14">
        <v>128.91680453343903</v>
      </c>
      <c r="E14" s="2"/>
      <c r="F14" s="2">
        <f>Table7919[[#This Row],[TWh '[2020']]]*1000</f>
        <v>1291865.6591831294</v>
      </c>
      <c r="G14" s="3">
        <f>(Table7919[[#This Row],[Mrd m3 '[2020']]])*9.77</f>
        <v>1291.8656591831295</v>
      </c>
    </row>
    <row r="15" spans="1:7">
      <c r="A15" t="s">
        <v>172</v>
      </c>
      <c r="B15" t="s">
        <v>173</v>
      </c>
      <c r="C15" s="2">
        <f>896*(D15/$E$15)</f>
        <v>216.79843214566333</v>
      </c>
      <c r="D15">
        <v>187.17086000268091</v>
      </c>
      <c r="E15" s="2">
        <v>773.55305987509996</v>
      </c>
      <c r="F15" s="2">
        <f>Table7919[[#This Row],[TWh '[2020']]]*1000</f>
        <v>2118120.6820631307</v>
      </c>
      <c r="G15" s="3">
        <f>(Table7919[[#This Row],[Mrd m3 '[2020']]])*9.77</f>
        <v>2118.1206820631305</v>
      </c>
    </row>
    <row r="16" spans="1:7">
      <c r="A16" t="s">
        <v>177</v>
      </c>
      <c r="B16" t="s">
        <v>178</v>
      </c>
      <c r="C16" s="2">
        <f>298*(D16/$E$8)</f>
        <v>67.084363375378459</v>
      </c>
      <c r="D16">
        <v>57.100413073730465</v>
      </c>
      <c r="E16" s="2"/>
      <c r="F16" s="2">
        <f>Table7919[[#This Row],[TWh '[2020']]]*1000</f>
        <v>655414.23017744755</v>
      </c>
      <c r="G16" s="3">
        <f>(Table7919[[#This Row],[Mrd m3 '[2020']]])*9.77</f>
        <v>655.41423017744751</v>
      </c>
    </row>
    <row r="17" spans="1:7">
      <c r="A17" t="s">
        <v>192</v>
      </c>
      <c r="B17" t="s">
        <v>195</v>
      </c>
      <c r="C17">
        <f>D17*(E17)</f>
        <v>114.46322376665097</v>
      </c>
      <c r="D17">
        <v>145.33817228265551</v>
      </c>
      <c r="E17" s="2">
        <f>152/193</f>
        <v>0.78756476683937826</v>
      </c>
      <c r="F17" s="2">
        <f>Table7919[[#This Row],[TWh '[2020']]]*1000</f>
        <v>1118305.6962001799</v>
      </c>
      <c r="G17" s="3">
        <f>(Table7919[[#This Row],[Mrd m3 '[2020']]])*9.77</f>
        <v>1118.3056962001799</v>
      </c>
    </row>
    <row r="19" spans="1:7">
      <c r="A19" t="s">
        <v>295</v>
      </c>
      <c r="B19" t="s">
        <v>296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1796875" customWidth="1"/>
    <col min="15" max="15" width="11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topLeftCell="A29" workbookViewId="0">
      <selection activeCell="H30" sqref="H30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A2" sqref="A2"/>
    </sheetView>
  </sheetViews>
  <sheetFormatPr defaultRowHeight="14.5"/>
  <cols>
    <col min="1" max="1" width="9.54296875" customWidth="1"/>
    <col min="2" max="4" width="20.36328125" customWidth="1"/>
    <col min="5" max="5" width="15" customWidth="1"/>
    <col min="6" max="6" width="12" customWidth="1"/>
    <col min="7" max="7" width="22.1796875" customWidth="1"/>
    <col min="8" max="8" width="10.453125" bestFit="1" customWidth="1"/>
    <col min="9" max="10" width="10.453125" customWidth="1"/>
  </cols>
  <sheetData>
    <row r="1" spans="1:1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1.0021848080126188</v>
      </c>
      <c r="D2">
        <f>IF(Table1515[[#This Row],[EU]]=1,$T$19*Table1515[[#This Row],[GWh '[2020']]]/$H$44,$T$18*Table1515[[#This Row],[GWh '[2020']]]/$H$45)</f>
        <v>0.76166045408959016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-9791.3455742832848</v>
      </c>
      <c r="J2">
        <f>Table1515[[#This Row],[Mrd m3 '[2035'] AP]]*9.77*-1000</f>
        <v>-7441.422636455296</v>
      </c>
      <c r="K2">
        <f>IF(Table1515[[#This Row],[TWh '[2023']]]=0,$F$27*(G2/$G$27),0)</f>
        <v>-9.8563519374511106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1.2296659696345975</v>
      </c>
      <c r="D5">
        <f>IF(Table1515[[#This Row],[EU]]=1,$T$19*Table1515[[#This Row],[GWh '[2020']]]/$H$44,$T$18*Table1515[[#This Row],[GWh '[2020']]]/$H$45)</f>
        <v>0.93454613692229405</v>
      </c>
      <c r="E5" s="2"/>
      <c r="F5">
        <f>Table1515[[#This Row],[Mrd m3 '[2023']]]*9.77*-1</f>
        <v>0</v>
      </c>
      <c r="G5">
        <v>3492</v>
      </c>
      <c r="H5">
        <f>MIN(Table1515[[#This Row],[TWh '[2023']]],Table1515[[#This Row],[TWh by share]])*1000</f>
        <v>-12093.598371601995</v>
      </c>
      <c r="I5">
        <f>Table1515[[#This Row],[Mrd m3 '[2035'] SP]]*9.77*-1000</f>
        <v>-12013.836523330017</v>
      </c>
      <c r="J5">
        <f>Table1515[[#This Row],[Mrd m3 '[2035'] AP]]*9.77*-1000</f>
        <v>-9130.5157577308128</v>
      </c>
      <c r="K5">
        <f>IF(Table1515[[#This Row],[TWh '[2023']]]=0,$F$27*(G5/$G$27),0)</f>
        <v>-12.093598371601995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0.90816395638248204</v>
      </c>
      <c r="D22">
        <f>IF(Table1515[[#This Row],[EU]]=1,$T$19*Table1515[[#This Row],[GWh '[2020']]]/$H$44,$T$18*Table1515[[#This Row],[GWh '[2020']]]/$H$45)</f>
        <v>0.69020460685068641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-8872.7618538568495</v>
      </c>
      <c r="J22">
        <f>Table1515[[#This Row],[Mrd m3 '[2035'] AP]]*9.77*-1000</f>
        <v>-6743.2990089312052</v>
      </c>
      <c r="K22">
        <f>IF(Table1515[[#This Row],[TWh '[2023']]]=0,$F$27*(G22/$G$27),0)</f>
        <v>-8.9316695877324026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0.21899463531379049</v>
      </c>
      <c r="D23">
        <f>IF(Table1515[[#This Row],[EU]]=1,$T$19*Table1515[[#This Row],[GWh '[2020']]]/$H$44,$T$18*Table1515[[#This Row],[GWh '[2020']]]/$H$45)</f>
        <v>0.16643592283848074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-2139.5775870157331</v>
      </c>
      <c r="J23">
        <f>Table1515[[#This Row],[Mrd m3 '[2035'] AP]]*9.77*-1000</f>
        <v>-1626.0789661319568</v>
      </c>
      <c r="K23">
        <f>IF(Table1515[[#This Row],[TWh '[2023']]]=0,$F$27*(G23/$G$27),0)</f>
        <v>-2.1537825965920052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0.3505452877402605</v>
      </c>
      <c r="D25">
        <f>IF(Table1515[[#This Row],[EU]]=1,$T$19*Table1515[[#This Row],[GWh '[2020']]]/$H$44,$T$18*Table1515[[#This Row],[GWh '[2020']]]/$H$45)</f>
        <v>0.26641441868259796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-3424.8274612223449</v>
      </c>
      <c r="J25">
        <f>Table1515[[#This Row],[Mrd m3 '[2035'] AP]]*9.77*-1000</f>
        <v>-2602.8688705289824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3.7681926567891075</v>
      </c>
      <c r="D26">
        <f>IF(Table1515[[#This Row],[EU]]=1,$T$19*Table1515[[#This Row],[GWh '[2020']]]/$H$44,$T$18*Table1515[[#This Row],[GWh '[2020']]]/$H$45)</f>
        <v>2.8638264191597216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-36815.242256829581</v>
      </c>
      <c r="J26">
        <f>Table1515[[#This Row],[Mrd m3 '[2035'] AP]]*9.77*-1000</f>
        <v>-27979.584115190479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6.919582541956979</v>
      </c>
      <c r="D27">
        <f>IF(Table1515[[#This Row],[EU]]=1,$T$19*Table1515[[#This Row],[GWh '[2020']]]/$H$44,$T$18*Table1515[[#This Row],[GWh '[2020']]]/$H$45)</f>
        <v>5.2588827318873044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-67604.321434919679</v>
      </c>
      <c r="J27">
        <f>Table1515[[#This Row],[Mrd m3 '[2035'] AP]]*9.77*-1000</f>
        <v>-51379.284290538963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2.4391544306609294</v>
      </c>
      <c r="D32">
        <f>IF(Table1515[[#This Row],[EU]]=1,$T$19*Table1515[[#This Row],[GWh '[2020']]]/$H$44,$T$18*Table1515[[#This Row],[GWh '[2020']]]/$H$45)</f>
        <v>1.8537573673023067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-23830.538787557281</v>
      </c>
      <c r="J32">
        <f>Table1515[[#This Row],[Mrd m3 '[2035'] AP]]*9.77*-1000</f>
        <v>-18111.209478543537</v>
      </c>
      <c r="K32">
        <f>IF(Table1515[[#This Row],[TWh '[2023']]]=0,$F$27*(G32/$G$27),0)</f>
        <v>-23.98875367714076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2.7260242700355777</v>
      </c>
      <c r="D37">
        <f>IF(Table1515[[#This Row],[EU]]=1,$T$19*Table1515[[#This Row],[GWh '[2020']]]/$H$44,$T$18*Table1515[[#This Row],[GWh '[2020']]]/$H$45)</f>
        <v>2.0717784452270389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-26633.257118247591</v>
      </c>
      <c r="J37">
        <f>Table1515[[#This Row],[Mrd m3 '[2035'] AP]]*9.77*-1000</f>
        <v>-20241.275409868169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48.109938737256186</v>
      </c>
      <c r="D38">
        <f>IF(Table1515[[#This Row],[EU]]=1,$T$19*Table1515[[#This Row],[GWh '[2020']]]/$H$44,$T$18*Table1515[[#This Row],[GWh '[2020']]]/$H$45)</f>
        <v>36.563553440314699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-470034.1014629929</v>
      </c>
      <c r="J38">
        <f>Table1515[[#This Row],[Mrd m3 '[2035'] AP]]*9.77*-1000</f>
        <v>-357225.91711187462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63.084695072552847</v>
      </c>
      <c r="D39">
        <f>IF(Table1515[[#This Row],[EU]]=1,$T$19*Table1515[[#This Row],[GWh '[2020']]]/$H$44,$T$18*Table1515[[#This Row],[GWh '[2020']]]/$H$45)</f>
        <v>47.944368255140162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-616337.4708588412</v>
      </c>
      <c r="J39">
        <f>Table1515[[#This Row],[Mrd m3 '[2035'] AP]]*9.77*-1000</f>
        <v>-468416.47785271937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18.615347680088203</v>
      </c>
      <c r="D40">
        <f>IF(Table1515[[#This Row],[EU]]=1,$T$19*Table1515[[#This Row],[GWh '[2020']]]/$H$44,$T$18*Table1515[[#This Row],[GWh '[2020']]]/$H$45)</f>
        <v>14.147664236867033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-181871.94683446173</v>
      </c>
      <c r="J40">
        <f>Table1515[[#This Row],[Mrd m3 '[2035'] AP]]*9.77*-1000</f>
        <v>-138222.67959419091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0.62750995357641837</v>
      </c>
      <c r="D42">
        <f>IF(Table1515[[#This Row],[EU]]=1,$T$19*Table1515[[#This Row],[GWh '[2020']]]/$H$44,$T$18*Table1515[[#This Row],[GWh '[2020']]]/$H$45)</f>
        <v>0.47690756471807788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-6130.7722464416074</v>
      </c>
      <c r="J42">
        <f>Table1515[[#This Row],[Mrd m3 '[2035'] AP]]*9.77*-1000</f>
        <v>-4659.3869072956204</v>
      </c>
      <c r="K42">
        <f>IF(Table1515[[#This Row],[TWh '[2023']]]=0,$F$27*(G42/$G$27),0)</f>
        <v>-6.171475457673183</v>
      </c>
      <c r="L42">
        <v>0</v>
      </c>
    </row>
    <row r="44" spans="1:12">
      <c r="G44" t="s">
        <v>298</v>
      </c>
      <c r="H44">
        <f>SUMIF(Table1515[EU],"1",Table1515[GWh '[2020']])</f>
        <v>-3119811.3731077109</v>
      </c>
    </row>
    <row r="45" spans="1:12">
      <c r="G45" t="s">
        <v>299</v>
      </c>
      <c r="H45">
        <f>SUMIF(Table1515[EU],"0",Table1515[GWh '[2020']])</f>
        <v>-1475229.6969553055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topLeftCell="A18" workbookViewId="0">
      <selection activeCell="C27" sqref="C27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-9791.3455742832848</v>
      </c>
      <c r="D2">
        <f>Table1517[[#This Row],[GWh '[2035'] SP]]/1000</f>
        <v>-9.7913455742832856</v>
      </c>
      <c r="E2">
        <v>2846</v>
      </c>
      <c r="F2">
        <f>Table1517[[#This Row],[TWh '[2023']]]*1000</f>
        <v>-9791.3455742832848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-12013.836523330017</v>
      </c>
      <c r="D5">
        <f>Table1517[[#This Row],[GWh '[2035'] SP]]/1000</f>
        <v>-12.013836523330017</v>
      </c>
      <c r="E5">
        <v>3492</v>
      </c>
      <c r="F5">
        <f>Table1517[[#This Row],[TWh '[2023']]]*1000</f>
        <v>-12013.836523330017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-8872.7618538568495</v>
      </c>
      <c r="D22">
        <f>Table1517[[#This Row],[GWh '[2035'] SP]]/1000</f>
        <v>-8.8727618538568489</v>
      </c>
      <c r="E22">
        <v>2579</v>
      </c>
      <c r="F22">
        <f>Table1517[[#This Row],[TWh '[2023']]]*1000</f>
        <v>-8872.7618538568495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-2139.5775870157331</v>
      </c>
      <c r="D23">
        <f>Table1517[[#This Row],[GWh '[2035'] SP]]/1000</f>
        <v>-2.139577587015733</v>
      </c>
      <c r="E23">
        <v>621.9</v>
      </c>
      <c r="F23">
        <f>Table1517[[#This Row],[TWh '[2023']]]*1000</f>
        <v>-2139.5775870157331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-3424.8274612223449</v>
      </c>
      <c r="D25">
        <f>Table1517[[#This Row],[GWh '[2035'] SP]]/1000</f>
        <v>-3.4248274612223448</v>
      </c>
      <c r="E25">
        <v>2076.3000000000002</v>
      </c>
      <c r="F25">
        <f>Table1517[[#This Row],[TWh '[2023']]]*1000</f>
        <v>-3424.8274612223449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-36815.242256829581</v>
      </c>
      <c r="D26">
        <f>Table1517[[#This Row],[GWh '[2035'] SP]]/1000</f>
        <v>-36.815242256829578</v>
      </c>
      <c r="E26">
        <v>5367.6</v>
      </c>
      <c r="F26">
        <f>Table1517[[#This Row],[TWh '[2023']]]*1000</f>
        <v>-36815.242256829581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-67604.321434919679</v>
      </c>
      <c r="D27">
        <f>Table1517[[#This Row],[GWh '[2035'] SP]]/1000</f>
        <v>-67.604321434919683</v>
      </c>
      <c r="E27">
        <f>SUMIF(D2:D26,"=0",E2:E26)+SUMIF(D28:D42,"=0",E28:E42)</f>
        <v>0</v>
      </c>
      <c r="F27">
        <f>Table1517[[#This Row],[TWh '[2023']]]*1000</f>
        <v>-67604.321434919679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-23830.538787557281</v>
      </c>
      <c r="D32">
        <f>Table1517[[#This Row],[GWh '[2035'] SP]]/1000</f>
        <v>-23.830538787557281</v>
      </c>
      <c r="E32">
        <v>6926.7</v>
      </c>
      <c r="F32">
        <f>Table1517[[#This Row],[TWh '[2023']]]*1000</f>
        <v>-23830.538787557281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-26633.257118247591</v>
      </c>
      <c r="D37">
        <f>Table1517[[#This Row],[GWh '[2035'] SP]]/1000</f>
        <v>-26.633257118247592</v>
      </c>
      <c r="E37">
        <v>8606</v>
      </c>
      <c r="F37">
        <f>Table1517[[#This Row],[TWh '[2023']]]*1000</f>
        <v>-26633.257118247591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-470034.1014629929</v>
      </c>
      <c r="D38">
        <f>Table1517[[#This Row],[GWh '[2035'] SP]]/1000</f>
        <v>-470.03410146299291</v>
      </c>
      <c r="E38">
        <v>83155</v>
      </c>
      <c r="F38">
        <f>Table1517[[#This Row],[TWh '[2023']]]*1000</f>
        <v>-470034.1014629929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-616337.4708588412</v>
      </c>
      <c r="D39">
        <f>Table1517[[#This Row],[GWh '[2035'] SP]]/1000</f>
        <v>-616.33747085884124</v>
      </c>
      <c r="E39">
        <v>67025.5</v>
      </c>
      <c r="F39">
        <f>Table1517[[#This Row],[TWh '[2023']]]*1000</f>
        <v>-616337.4708588412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-181871.94683446173</v>
      </c>
      <c r="D40">
        <f>Table1517[[#This Row],[GWh '[2035'] SP]]/1000</f>
        <v>-181.87194683446174</v>
      </c>
      <c r="E40">
        <v>41733</v>
      </c>
      <c r="F40">
        <f>Table1517[[#This Row],[TWh '[2023']]]*1000</f>
        <v>-181871.94683446173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-6130.7722464416074</v>
      </c>
      <c r="D42">
        <f>Table1517[[#This Row],[GWh '[2035'] SP]]/1000</f>
        <v>-6.130772246441607</v>
      </c>
      <c r="E42">
        <v>1782</v>
      </c>
      <c r="F42">
        <f>Table1517[[#This Row],[TWh '[2023']]]*1000</f>
        <v>-6130.7722464416074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topLeftCell="A26" workbookViewId="0">
      <selection activeCell="I36" sqref="I36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-7441.422636455296</v>
      </c>
      <c r="D2">
        <f>Table151718[[#This Row],[GWh '[2035'] SP]]/1000</f>
        <v>-7.4414226364552958</v>
      </c>
      <c r="E2">
        <v>2846</v>
      </c>
      <c r="F2">
        <f>Table151718[[#This Row],[TWh '[2023']]]*1000</f>
        <v>-7441.422636455296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-9130.5157577308128</v>
      </c>
      <c r="D5">
        <f>Table151718[[#This Row],[GWh '[2035'] SP]]/1000</f>
        <v>-9.1305157577308123</v>
      </c>
      <c r="E5">
        <v>3492</v>
      </c>
      <c r="F5">
        <f>Table151718[[#This Row],[TWh '[2023']]]*1000</f>
        <v>-9130.5157577308128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-6743.2990089312052</v>
      </c>
      <c r="D22">
        <f>Table151718[[#This Row],[GWh '[2035'] SP]]/1000</f>
        <v>-6.7432990089312055</v>
      </c>
      <c r="E22">
        <v>2579</v>
      </c>
      <c r="F22">
        <f>Table151718[[#This Row],[TWh '[2023']]]*1000</f>
        <v>-6743.2990089312052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-1626.0789661319568</v>
      </c>
      <c r="D23">
        <f>Table151718[[#This Row],[GWh '[2035'] SP]]/1000</f>
        <v>-1.6260789661319568</v>
      </c>
      <c r="E23">
        <v>621.9</v>
      </c>
      <c r="F23">
        <f>Table151718[[#This Row],[TWh '[2023']]]*1000</f>
        <v>-1626.0789661319568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-2602.8688705289824</v>
      </c>
      <c r="D25">
        <f>Table151718[[#This Row],[GWh '[2035'] SP]]/1000</f>
        <v>-2.6028688705289822</v>
      </c>
      <c r="E25">
        <v>2076.3000000000002</v>
      </c>
      <c r="F25">
        <f>Table151718[[#This Row],[TWh '[2023']]]*1000</f>
        <v>-2602.8688705289824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-27979.584115190479</v>
      </c>
      <c r="D26">
        <f>Table151718[[#This Row],[GWh '[2035'] SP]]/1000</f>
        <v>-27.97958411519048</v>
      </c>
      <c r="E26">
        <v>5367.6</v>
      </c>
      <c r="F26">
        <f>Table151718[[#This Row],[TWh '[2023']]]*1000</f>
        <v>-27979.584115190479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-51379.284290538963</v>
      </c>
      <c r="D27">
        <f>Table151718[[#This Row],[GWh '[2035'] SP]]/1000</f>
        <v>-51.379284290538962</v>
      </c>
      <c r="E27">
        <f>SUMIF(D2:D26,"=0",E2:E26)+SUMIF(D28:D42,"=0",E28:E42)</f>
        <v>0</v>
      </c>
      <c r="F27">
        <f>Table151718[[#This Row],[TWh '[2023']]]*1000</f>
        <v>-51379.284290538963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-18111.209478543537</v>
      </c>
      <c r="D32">
        <f>Table151718[[#This Row],[GWh '[2035'] SP]]/1000</f>
        <v>-18.111209478543536</v>
      </c>
      <c r="E32">
        <v>6926.7</v>
      </c>
      <c r="F32">
        <f>Table151718[[#This Row],[TWh '[2023']]]*1000</f>
        <v>-18111.209478543537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-20241.275409868169</v>
      </c>
      <c r="D37">
        <f>Table151718[[#This Row],[GWh '[2035'] SP]]/1000</f>
        <v>-20.24127540986817</v>
      </c>
      <c r="E37">
        <v>8606</v>
      </c>
      <c r="F37">
        <f>Table151718[[#This Row],[TWh '[2023']]]*1000</f>
        <v>-20241.275409868169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-357225.91711187462</v>
      </c>
      <c r="D38">
        <f>Table151718[[#This Row],[GWh '[2035'] SP]]/1000</f>
        <v>-357.22591711187459</v>
      </c>
      <c r="E38">
        <v>83155</v>
      </c>
      <c r="F38">
        <f>Table151718[[#This Row],[TWh '[2023']]]*1000</f>
        <v>-357225.91711187462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-468416.47785271937</v>
      </c>
      <c r="D39">
        <f>Table151718[[#This Row],[GWh '[2035'] SP]]/1000</f>
        <v>-468.41647785271937</v>
      </c>
      <c r="E39">
        <v>67025.5</v>
      </c>
      <c r="F39">
        <f>Table151718[[#This Row],[TWh '[2023']]]*1000</f>
        <v>-468416.47785271937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-138222.67959419091</v>
      </c>
      <c r="D40">
        <f>Table151718[[#This Row],[GWh '[2035'] SP]]/1000</f>
        <v>-138.22267959419091</v>
      </c>
      <c r="E40">
        <v>41733</v>
      </c>
      <c r="F40">
        <f>Table151718[[#This Row],[TWh '[2023']]]*1000</f>
        <v>-138222.67959419091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-4659.3869072956204</v>
      </c>
      <c r="D42">
        <f>Table151718[[#This Row],[GWh '[2035'] SP]]/1000</f>
        <v>-4.6593869072956204</v>
      </c>
      <c r="E42">
        <v>1782</v>
      </c>
      <c r="F42">
        <f>Table151718[[#This Row],[TWh '[2023']]]*1000</f>
        <v>-4659.3869072956204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topLeftCell="A8" workbookViewId="0">
      <selection activeCell="F5" sqref="F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A23" sqref="A23:B2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>
      <c r="A23" t="s">
        <v>295</v>
      </c>
      <c r="B23" t="s">
        <v>296</v>
      </c>
      <c r="E23" s="2"/>
      <c r="F23" s="2"/>
      <c r="G23" s="3"/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70" workbookViewId="0">
      <selection activeCell="I73" sqref="I73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nodes_lng_europe_2020</vt:lpstr>
      <vt:lpstr>nodes_lng_europe_2024</vt:lpstr>
      <vt:lpstr>nodes_lng_europe_2035</vt:lpstr>
      <vt:lpstr>nodes_gas_prod_europe_2020</vt:lpstr>
      <vt:lpstr>nodes_gas_prod_world_2020</vt:lpstr>
      <vt:lpstr>nodes_gas_prod_europe_2024</vt:lpstr>
      <vt:lpstr>nodes_gas_prod_world_2024</vt:lpstr>
      <vt:lpstr>nodes_gas_prod_europe_2035_SP</vt:lpstr>
      <vt:lpstr>nodes_gas_prod_europe_2035_AP</vt:lpstr>
      <vt:lpstr>nodes_gas_prod_world_2035</vt:lpstr>
      <vt:lpstr>nodes_demand_europe_2020</vt:lpstr>
      <vt:lpstr>nodes_demand_world_2020</vt:lpstr>
      <vt:lpstr>nodes_demand_europe_2024</vt:lpstr>
      <vt:lpstr>nodes_demand_europe_2035</vt:lpstr>
      <vt:lpstr>nodes_demand_europe_2035_SP</vt:lpstr>
      <vt:lpstr>nodes_demand_europe_2035_AP</vt:lpstr>
      <vt:lpstr>nodes_demand_world_2024</vt:lpstr>
      <vt:lpstr>nodes_demand_world_2035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2025-05-06T09:52:56Z</dcterms:modified>
</cp:coreProperties>
</file>