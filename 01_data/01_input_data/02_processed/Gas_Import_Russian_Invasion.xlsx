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33A10E67-A461-4931-8F69-A56C623DD148}" xr6:coauthVersionLast="47" xr6:coauthVersionMax="47" xr10:uidLastSave="{00000000-0000-0000-0000-000000000000}"/>
  <bookViews>
    <workbookView xWindow="-110" yWindow="-110" windowWidth="19420" windowHeight="10300" firstSheet="4" activeTab="5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0" sheetId="4" r:id="rId6"/>
    <sheet name="Import_Connection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7" l="1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F92" i="4"/>
  <c r="F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4" i="2"/>
  <c r="F5" i="2"/>
  <c r="F7" i="2"/>
  <c r="F8" i="2"/>
  <c r="F9" i="2"/>
  <c r="F12" i="2"/>
  <c r="F13" i="2"/>
  <c r="F14" i="2"/>
  <c r="F15" i="2"/>
  <c r="F18" i="2"/>
  <c r="F19" i="2"/>
  <c r="F20" i="2"/>
  <c r="F21" i="2"/>
  <c r="F22" i="2"/>
  <c r="F23" i="2"/>
  <c r="F24" i="2"/>
  <c r="F25" i="2"/>
  <c r="F26" i="2"/>
  <c r="F29" i="2"/>
  <c r="F31" i="2"/>
  <c r="F32" i="2"/>
  <c r="F34" i="2"/>
  <c r="F35" i="2"/>
  <c r="F36" i="2"/>
  <c r="F37" i="2"/>
  <c r="F38" i="2"/>
  <c r="F39" i="2"/>
  <c r="F41" i="2"/>
  <c r="D44" i="2"/>
  <c r="C44" i="2"/>
  <c r="E3" i="2"/>
  <c r="E4" i="2"/>
  <c r="E5" i="2"/>
  <c r="E6" i="2"/>
  <c r="F6" i="2" s="1"/>
  <c r="E7" i="2"/>
  <c r="E8" i="2"/>
  <c r="E9" i="2"/>
  <c r="E10" i="2"/>
  <c r="F10" i="2" s="1"/>
  <c r="E11" i="2"/>
  <c r="F11" i="2" s="1"/>
  <c r="E12" i="2"/>
  <c r="E13" i="2"/>
  <c r="E14" i="2"/>
  <c r="E15" i="2"/>
  <c r="E16" i="2"/>
  <c r="F16" i="2" s="1"/>
  <c r="E17" i="2"/>
  <c r="F17" i="2" s="1"/>
  <c r="E18" i="2"/>
  <c r="E19" i="2"/>
  <c r="E20" i="2"/>
  <c r="E21" i="2"/>
  <c r="E22" i="2"/>
  <c r="E23" i="2"/>
  <c r="E24" i="2"/>
  <c r="E25" i="2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44" i="2" s="1"/>
  <c r="E35" i="2"/>
  <c r="E36" i="2"/>
  <c r="E37" i="2"/>
  <c r="E38" i="2"/>
  <c r="E39" i="2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F49" i="4"/>
  <c r="G49" i="4" s="1"/>
  <c r="F89" i="4"/>
  <c r="G89" i="4" s="1"/>
  <c r="F63" i="4"/>
  <c r="G63" i="4" s="1"/>
  <c r="F20" i="4"/>
  <c r="G20" i="4" s="1"/>
  <c r="F34" i="4"/>
  <c r="G34" i="4" s="1"/>
  <c r="F7" i="4"/>
  <c r="G7" i="4" s="1"/>
  <c r="F21" i="4"/>
  <c r="G21" i="4" s="1"/>
  <c r="F8" i="4"/>
  <c r="G8" i="4" s="1"/>
  <c r="F64" i="4"/>
  <c r="G64" i="4" s="1"/>
  <c r="F2" i="4"/>
  <c r="G2" i="4" s="1"/>
  <c r="F15" i="4"/>
  <c r="G15" i="4" s="1"/>
  <c r="F35" i="4"/>
  <c r="G35" i="4" s="1"/>
  <c r="F29" i="4"/>
  <c r="G29" i="4" s="1"/>
  <c r="F65" i="4"/>
  <c r="G65" i="4" s="1"/>
  <c r="F18" i="4"/>
  <c r="G18" i="4" s="1"/>
  <c r="F58" i="4"/>
  <c r="G58" i="4" s="1"/>
  <c r="F22" i="4"/>
  <c r="G22" i="4" s="1"/>
  <c r="F50" i="4"/>
  <c r="G50" i="4" s="1"/>
  <c r="F78" i="4"/>
  <c r="G78" i="4" s="1"/>
  <c r="F81" i="4"/>
  <c r="G81" i="4" s="1"/>
  <c r="F44" i="4"/>
  <c r="G44" i="4" s="1"/>
  <c r="F3" i="4"/>
  <c r="G3" i="4" s="1"/>
  <c r="F16" i="4"/>
  <c r="G16" i="4" s="1"/>
  <c r="F79" i="4"/>
  <c r="G79" i="4" s="1"/>
  <c r="F85" i="4"/>
  <c r="G85" i="4" s="1"/>
  <c r="F23" i="4"/>
  <c r="G23" i="4" s="1"/>
  <c r="F51" i="4"/>
  <c r="G51" i="4" s="1"/>
  <c r="F36" i="4"/>
  <c r="G36" i="4" s="1"/>
  <c r="F52" i="4"/>
  <c r="G52" i="4" s="1"/>
  <c r="F42" i="4"/>
  <c r="G42" i="4" s="1"/>
  <c r="F80" i="4"/>
  <c r="G80" i="4" s="1"/>
  <c r="F45" i="4"/>
  <c r="G45" i="4" s="1"/>
  <c r="F9" i="4"/>
  <c r="G9" i="4" s="1"/>
  <c r="F17" i="4"/>
  <c r="G17" i="4" s="1"/>
  <c r="F30" i="4"/>
  <c r="G30" i="4" s="1"/>
  <c r="F24" i="4"/>
  <c r="G24" i="4" s="1"/>
  <c r="F25" i="4"/>
  <c r="G25" i="4" s="1"/>
  <c r="F26" i="4"/>
  <c r="G26" i="4" s="1"/>
  <c r="F66" i="4"/>
  <c r="G66" i="4" s="1"/>
  <c r="F82" i="4"/>
  <c r="G82" i="4" s="1"/>
  <c r="F4" i="4"/>
  <c r="G4" i="4" s="1"/>
  <c r="F19" i="4"/>
  <c r="G19" i="4" s="1"/>
  <c r="F46" i="4"/>
  <c r="G46" i="4" s="1"/>
  <c r="F87" i="4"/>
  <c r="G87" i="4" s="1"/>
  <c r="F43" i="4"/>
  <c r="G43" i="4" s="1"/>
  <c r="F83" i="4"/>
  <c r="G83" i="4" s="1"/>
  <c r="F74" i="4"/>
  <c r="G74" i="4" s="1"/>
  <c r="F70" i="4"/>
  <c r="G70" i="4" s="1"/>
  <c r="F11" i="4"/>
  <c r="G11" i="4" s="1"/>
  <c r="F5" i="4"/>
  <c r="G5" i="4" s="1"/>
  <c r="F75" i="4"/>
  <c r="G75" i="4" s="1"/>
  <c r="F39" i="4"/>
  <c r="G39" i="4" s="1"/>
  <c r="F71" i="4"/>
  <c r="G71" i="4" s="1"/>
  <c r="F62" i="4"/>
  <c r="G62" i="4" s="1"/>
  <c r="F86" i="4"/>
  <c r="G86" i="4" s="1"/>
  <c r="F12" i="4"/>
  <c r="G12" i="4" s="1"/>
  <c r="F40" i="4"/>
  <c r="G40" i="4" s="1"/>
  <c r="F47" i="4"/>
  <c r="G47" i="4" s="1"/>
  <c r="F13" i="4"/>
  <c r="G13" i="4" s="1"/>
  <c r="F88" i="4"/>
  <c r="G88" i="4" s="1"/>
  <c r="F61" i="4"/>
  <c r="G61" i="4" s="1"/>
  <c r="F59" i="4"/>
  <c r="G59" i="4" s="1"/>
  <c r="F76" i="4"/>
  <c r="G76" i="4" s="1"/>
  <c r="F56" i="4"/>
  <c r="G56" i="4" s="1"/>
  <c r="F77" i="4"/>
  <c r="G77" i="4" s="1"/>
  <c r="F37" i="4"/>
  <c r="G37" i="4" s="1"/>
  <c r="F69" i="4"/>
  <c r="G69" i="4" s="1"/>
  <c r="F31" i="4"/>
  <c r="G31" i="4" s="1"/>
  <c r="F67" i="4"/>
  <c r="G67" i="4" s="1"/>
  <c r="F84" i="4"/>
  <c r="G84" i="4" s="1"/>
  <c r="F48" i="4"/>
  <c r="G48" i="4" s="1"/>
  <c r="F72" i="4"/>
  <c r="G72" i="4" s="1"/>
  <c r="F73" i="4"/>
  <c r="G73" i="4" s="1"/>
  <c r="F27" i="4"/>
  <c r="G27" i="4" s="1"/>
  <c r="F60" i="4"/>
  <c r="G60" i="4" s="1"/>
  <c r="F33" i="4"/>
  <c r="G33" i="4" s="1"/>
  <c r="F53" i="4"/>
  <c r="G53" i="4" s="1"/>
  <c r="F14" i="4"/>
  <c r="G14" i="4" s="1"/>
  <c r="F41" i="4"/>
  <c r="G41" i="4" s="1"/>
  <c r="F90" i="4"/>
  <c r="G90" i="4" s="1"/>
  <c r="F10" i="4"/>
  <c r="G10" i="4" s="1"/>
  <c r="F28" i="4"/>
  <c r="G28" i="4" s="1"/>
  <c r="F38" i="4"/>
  <c r="G38" i="4" s="1"/>
  <c r="F32" i="4"/>
  <c r="G32" i="4" s="1"/>
  <c r="F54" i="4"/>
  <c r="G54" i="4" s="1"/>
  <c r="F55" i="4"/>
  <c r="G55" i="4" s="1"/>
  <c r="F68" i="4"/>
  <c r="G68" i="4" s="1"/>
  <c r="F57" i="4"/>
  <c r="G57" i="4" s="1"/>
  <c r="F6" i="4"/>
  <c r="G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34" i="7" l="1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<sst xmlns="http://schemas.openxmlformats.org/spreadsheetml/2006/main" count="707" uniqueCount="145">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</sst>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4"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3"/>
    <tableColumn id="5" xr3:uid="{4278F9D8-E46F-44B9-A622-727B8E2C8EF1}" name="Mil m3 EU [2020]" dataDxfId="12"/>
    <tableColumn id="6" xr3:uid="{F2BDB73C-713D-4BC7-B762-048AA072F297}" name="Mrd m3 EU [2020]" dataDxfId="11">
      <calculatedColumnFormula>Table2[[#This Row],[Mil m3 EU '[2020']]]/1000</calculatedColumnFormula>
    </tableColumn>
    <tableColumn id="4" xr3:uid="{5BB2DA97-8C23-44BC-9268-BDBE2BCDBBC8}" name="TWh [2020]" dataDxfId="10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9"/>
    <tableColumn id="5" xr3:uid="{42F1A333-D727-4655-B618-A9AB5617745F}" name="Mil m3 EU [2020]" dataDxfId="8"/>
    <tableColumn id="6" xr3:uid="{326B3A9A-70B2-4D34-8E01-54CBBD0565E6}" name="Mrd m3 EU [2020]" dataDxfId="7">
      <calculatedColumnFormula>Table26[[#This Row],[Mil m3 EU '[2020']]]/1000</calculatedColumnFormula>
    </tableColumn>
    <tableColumn id="4" xr3:uid="{DC1916A1-B3CC-4586-AE6D-12CF46A9C0F0}" name="TWh [2020]" dataDxfId="6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"/>
    <tableColumn id="4" xr3:uid="{1618AAC4-0782-47C3-91CE-2FEB95FBDD58}" name="TWh [2020]" dataDxfId="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"/>
    <tableColumn id="4" xr3:uid="{60E83C2D-D521-4D6A-800D-160C3176DFC7}" name="TWh [2023]" dataDxfId="1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0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G92" totalsRowShown="0">
  <autoFilter ref="A1:G92" xr:uid="{E12C0BEF-3C88-4803-B1D2-BF2F4DD3F518}"/>
  <sortState xmlns:xlrd2="http://schemas.microsoft.com/office/spreadsheetml/2017/richdata2" ref="A2:G90">
    <sortCondition ref="B1:B90"/>
  </sortState>
  <tableColumns count="7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F2/1000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105</v>
      </c>
      <c r="G1" t="s">
        <v>106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103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103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103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103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103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103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103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103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103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103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103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103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102</v>
      </c>
    </row>
    <row r="15" spans="1:13">
      <c r="A15" t="s">
        <v>131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103</v>
      </c>
      <c r="L15" t="str">
        <f t="shared" si="2"/>
        <v>EE_LNG</v>
      </c>
      <c r="M15" t="str">
        <f t="shared" si="3"/>
        <v>EE</v>
      </c>
    </row>
    <row r="16" spans="1:13">
      <c r="A16" t="s">
        <v>130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103</v>
      </c>
      <c r="L16" t="str">
        <f t="shared" si="2"/>
        <v>FI_LNG</v>
      </c>
      <c r="M16" t="str">
        <f t="shared" si="3"/>
        <v>FI</v>
      </c>
    </row>
    <row r="17" spans="1:13">
      <c r="A17" t="s">
        <v>132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103</v>
      </c>
      <c r="L17" t="str">
        <f t="shared" si="2"/>
        <v>DE_LNG</v>
      </c>
      <c r="M17" t="str">
        <f t="shared" si="3"/>
        <v>DE</v>
      </c>
    </row>
    <row r="18" spans="1:13">
      <c r="A18" t="s">
        <v>133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103</v>
      </c>
      <c r="L18" t="str">
        <f t="shared" si="2"/>
        <v>IE_LNG</v>
      </c>
      <c r="M18" t="str">
        <f t="shared" si="3"/>
        <v>IE</v>
      </c>
    </row>
    <row r="19" spans="1:13">
      <c r="A19" t="s">
        <v>134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103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H48" sqref="H48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104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138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90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H44" sqref="H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104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138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139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43" workbookViewId="0">
      <selection activeCell="A50" sqref="A50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107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113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114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111</v>
      </c>
      <c r="B41" t="s">
        <v>112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120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137</v>
      </c>
      <c r="D1" t="s">
        <v>136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113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114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111</v>
      </c>
      <c r="B41" t="s">
        <v>112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120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G92"/>
  <sheetViews>
    <sheetView tabSelected="1" workbookViewId="0">
      <selection activeCell="P6" sqref="P6"/>
    </sheetView>
  </sheetViews>
  <sheetFormatPr defaultRowHeight="14.5"/>
  <cols>
    <col min="3" max="5" width="8.90625" customWidth="1"/>
    <col min="6" max="6" width="8.81640625" customWidth="1"/>
  </cols>
  <sheetData>
    <row r="1" spans="1:7">
      <c r="A1" t="s">
        <v>93</v>
      </c>
      <c r="B1" t="s">
        <v>94</v>
      </c>
      <c r="C1" t="s">
        <v>141</v>
      </c>
      <c r="D1" t="s">
        <v>142</v>
      </c>
      <c r="E1" t="s">
        <v>143</v>
      </c>
      <c r="F1" t="s">
        <v>108</v>
      </c>
      <c r="G1" t="s">
        <v>109</v>
      </c>
    </row>
    <row r="2" spans="1:7">
      <c r="A2" t="s">
        <v>19</v>
      </c>
      <c r="B2" t="s">
        <v>20</v>
      </c>
      <c r="C2">
        <v>344.24799999999993</v>
      </c>
      <c r="F2">
        <f>C2*365</f>
        <v>125650.51999999997</v>
      </c>
      <c r="G2">
        <f>F2/1000</f>
        <v>125.65051999999997</v>
      </c>
    </row>
    <row r="3" spans="1:7">
      <c r="A3" t="s">
        <v>21</v>
      </c>
      <c r="B3" t="s">
        <v>20</v>
      </c>
      <c r="C3">
        <v>193.5</v>
      </c>
      <c r="F3">
        <f>C3*365</f>
        <v>70627.5</v>
      </c>
      <c r="G3">
        <f>F3/1000</f>
        <v>70.627499999999998</v>
      </c>
    </row>
    <row r="4" spans="1:7">
      <c r="A4" t="s">
        <v>29</v>
      </c>
      <c r="B4" t="s">
        <v>20</v>
      </c>
      <c r="C4">
        <v>1570.4</v>
      </c>
      <c r="F4">
        <f>C4*365</f>
        <v>573196</v>
      </c>
      <c r="G4">
        <f>F4/1000</f>
        <v>573.19600000000003</v>
      </c>
    </row>
    <row r="5" spans="1:7">
      <c r="A5" t="s">
        <v>31</v>
      </c>
      <c r="B5" t="s">
        <v>45</v>
      </c>
      <c r="C5">
        <v>17.98</v>
      </c>
      <c r="F5">
        <f>C5*365</f>
        <v>6562.7</v>
      </c>
      <c r="G5">
        <f>F5/1000</f>
        <v>6.5626999999999995</v>
      </c>
    </row>
    <row r="6" spans="1:7">
      <c r="A6" t="s">
        <v>11</v>
      </c>
      <c r="B6" t="s">
        <v>17</v>
      </c>
      <c r="C6">
        <v>651.70000000000005</v>
      </c>
      <c r="F6">
        <f>C6*365</f>
        <v>237870.50000000003</v>
      </c>
      <c r="G6">
        <f>F6/1000</f>
        <v>237.87050000000002</v>
      </c>
    </row>
    <row r="7" spans="1:7">
      <c r="A7" t="s">
        <v>18</v>
      </c>
      <c r="B7" t="s">
        <v>17</v>
      </c>
      <c r="C7">
        <v>1397.2</v>
      </c>
      <c r="F7">
        <f>C7*365</f>
        <v>509978</v>
      </c>
      <c r="G7">
        <f>F7/1000</f>
        <v>509.97800000000001</v>
      </c>
    </row>
    <row r="8" spans="1:7">
      <c r="A8" t="s">
        <v>19</v>
      </c>
      <c r="B8" t="s">
        <v>17</v>
      </c>
      <c r="C8">
        <v>396.15000000000003</v>
      </c>
      <c r="F8">
        <f>C8*365</f>
        <v>144594.75</v>
      </c>
      <c r="G8">
        <f>F8/1000</f>
        <v>144.59475</v>
      </c>
    </row>
    <row r="9" spans="1:7">
      <c r="A9" t="s">
        <v>25</v>
      </c>
      <c r="B9" t="s">
        <v>17</v>
      </c>
      <c r="C9">
        <v>270</v>
      </c>
      <c r="F9">
        <f>C9*365</f>
        <v>98550</v>
      </c>
      <c r="G9">
        <f>F9/1000</f>
        <v>98.55</v>
      </c>
    </row>
    <row r="10" spans="1:7">
      <c r="A10" t="s">
        <v>49</v>
      </c>
      <c r="B10" t="s">
        <v>17</v>
      </c>
      <c r="C10">
        <v>488</v>
      </c>
      <c r="F10">
        <f>C10*365</f>
        <v>178120</v>
      </c>
      <c r="G10">
        <f>F10/1000</f>
        <v>178.12</v>
      </c>
    </row>
    <row r="11" spans="1:7">
      <c r="A11" t="s">
        <v>31</v>
      </c>
      <c r="B11" t="s">
        <v>32</v>
      </c>
      <c r="C11">
        <v>335.26</v>
      </c>
      <c r="F11">
        <f>C11*365</f>
        <v>122369.9</v>
      </c>
      <c r="G11">
        <f>F11/1000</f>
        <v>122.3699</v>
      </c>
    </row>
    <row r="12" spans="1:7">
      <c r="A12" t="s">
        <v>33</v>
      </c>
      <c r="B12" t="s">
        <v>32</v>
      </c>
      <c r="C12">
        <v>64.819999999999993</v>
      </c>
      <c r="F12">
        <f>C12*365</f>
        <v>23659.3</v>
      </c>
      <c r="G12">
        <f>F12/1000</f>
        <v>23.659299999999998</v>
      </c>
    </row>
    <row r="13" spans="1:7">
      <c r="A13" t="s">
        <v>34</v>
      </c>
      <c r="B13" t="s">
        <v>32</v>
      </c>
      <c r="C13">
        <v>805.75000000000011</v>
      </c>
      <c r="F13">
        <f>C13*365</f>
        <v>294098.75000000006</v>
      </c>
      <c r="G13">
        <f>F13/1000</f>
        <v>294.09875000000005</v>
      </c>
    </row>
    <row r="14" spans="1:7">
      <c r="A14" t="s">
        <v>47</v>
      </c>
      <c r="B14" t="s">
        <v>32</v>
      </c>
      <c r="C14">
        <v>576.03</v>
      </c>
      <c r="F14">
        <f>C14*365</f>
        <v>210250.94999999998</v>
      </c>
      <c r="G14">
        <f>F14/1000</f>
        <v>210.25094999999999</v>
      </c>
    </row>
    <row r="15" spans="1:7">
      <c r="A15" t="s">
        <v>19</v>
      </c>
      <c r="B15" t="s">
        <v>22</v>
      </c>
      <c r="C15">
        <v>328</v>
      </c>
      <c r="F15">
        <f>C15*365</f>
        <v>119720</v>
      </c>
      <c r="G15">
        <f>F15/1000</f>
        <v>119.72</v>
      </c>
    </row>
    <row r="16" spans="1:7">
      <c r="A16" t="s">
        <v>21</v>
      </c>
      <c r="B16" t="s">
        <v>22</v>
      </c>
      <c r="C16">
        <v>431.4</v>
      </c>
      <c r="F16">
        <f>C16*365</f>
        <v>157461</v>
      </c>
      <c r="G16">
        <f>F16/1000</f>
        <v>157.46100000000001</v>
      </c>
    </row>
    <row r="17" spans="1:7">
      <c r="A17" t="s">
        <v>25</v>
      </c>
      <c r="B17" t="s">
        <v>22</v>
      </c>
      <c r="C17">
        <v>223</v>
      </c>
      <c r="F17">
        <f>C17*365</f>
        <v>81395</v>
      </c>
      <c r="G17">
        <f>F17/1000</f>
        <v>81.394999999999996</v>
      </c>
    </row>
    <row r="18" spans="1:7">
      <c r="A18" t="s">
        <v>19</v>
      </c>
      <c r="B18" t="s">
        <v>28</v>
      </c>
      <c r="C18">
        <v>1803.77</v>
      </c>
      <c r="F18">
        <f>C18*365</f>
        <v>658376.05000000005</v>
      </c>
      <c r="G18">
        <f>F18/1000</f>
        <v>658.37605000000008</v>
      </c>
    </row>
    <row r="19" spans="1:7">
      <c r="A19" t="s">
        <v>29</v>
      </c>
      <c r="B19" t="s">
        <v>28</v>
      </c>
      <c r="C19">
        <v>457.6</v>
      </c>
      <c r="F19">
        <f>C19*365</f>
        <v>167024</v>
      </c>
      <c r="G19">
        <f>F19/1000</f>
        <v>167.024</v>
      </c>
    </row>
    <row r="20" spans="1:7">
      <c r="A20" t="s">
        <v>17</v>
      </c>
      <c r="B20" t="s">
        <v>19</v>
      </c>
      <c r="C20">
        <v>322.77</v>
      </c>
      <c r="F20">
        <f>C20*365</f>
        <v>117811.04999999999</v>
      </c>
      <c r="G20">
        <f>F20/1000</f>
        <v>117.81104999999999</v>
      </c>
    </row>
    <row r="21" spans="1:7">
      <c r="A21" t="s">
        <v>18</v>
      </c>
      <c r="B21" t="s">
        <v>19</v>
      </c>
      <c r="C21">
        <v>1925.7729999999999</v>
      </c>
      <c r="F21">
        <f>C21*365</f>
        <v>702907.14500000002</v>
      </c>
      <c r="G21">
        <f>F21/1000</f>
        <v>702.90714500000001</v>
      </c>
    </row>
    <row r="22" spans="1:7">
      <c r="A22" t="s">
        <v>20</v>
      </c>
      <c r="B22" t="s">
        <v>19</v>
      </c>
      <c r="C22">
        <v>339.96799999999996</v>
      </c>
      <c r="F22">
        <f>C22*365</f>
        <v>124088.31999999999</v>
      </c>
      <c r="G22">
        <f>F22/1000</f>
        <v>124.08832</v>
      </c>
    </row>
    <row r="23" spans="1:7">
      <c r="A23" t="s">
        <v>22</v>
      </c>
      <c r="B23" t="s">
        <v>19</v>
      </c>
      <c r="C23">
        <v>172.8</v>
      </c>
      <c r="F23">
        <f>C23*365</f>
        <v>63072.000000000007</v>
      </c>
      <c r="G23">
        <f>F23/1000</f>
        <v>63.07200000000001</v>
      </c>
    </row>
    <row r="24" spans="1:7">
      <c r="A24" t="s">
        <v>26</v>
      </c>
      <c r="B24" t="s">
        <v>19</v>
      </c>
      <c r="C24">
        <v>4.1189999999999998</v>
      </c>
      <c r="F24">
        <f>C24*365</f>
        <v>1503.4349999999999</v>
      </c>
      <c r="G24">
        <f>F24/1000</f>
        <v>1.5034349999999999</v>
      </c>
    </row>
    <row r="25" spans="1:7">
      <c r="A25" t="s">
        <v>27</v>
      </c>
      <c r="B25" t="s">
        <v>19</v>
      </c>
      <c r="C25">
        <v>931.6</v>
      </c>
      <c r="F25">
        <f>C25*365</f>
        <v>340034</v>
      </c>
      <c r="G25">
        <f>F25/1000</f>
        <v>340.03399999999999</v>
      </c>
    </row>
    <row r="26" spans="1:7">
      <c r="A26" t="s">
        <v>28</v>
      </c>
      <c r="B26" t="s">
        <v>19</v>
      </c>
      <c r="C26">
        <v>1231.759</v>
      </c>
      <c r="F26">
        <f>C26*365</f>
        <v>449592.03500000003</v>
      </c>
      <c r="G26">
        <f>F26/1000</f>
        <v>449.59203500000001</v>
      </c>
    </row>
    <row r="27" spans="1:7">
      <c r="A27" t="s">
        <v>41</v>
      </c>
      <c r="B27" t="s">
        <v>19</v>
      </c>
      <c r="C27">
        <v>1742</v>
      </c>
      <c r="F27">
        <f>C27*365</f>
        <v>635830</v>
      </c>
      <c r="G27">
        <f>F27/1000</f>
        <v>635.83000000000004</v>
      </c>
    </row>
    <row r="28" spans="1:7">
      <c r="A28" t="s">
        <v>49</v>
      </c>
      <c r="B28" t="s">
        <v>19</v>
      </c>
      <c r="C28">
        <v>2210.5639999999999</v>
      </c>
      <c r="F28">
        <f>C28*365</f>
        <v>806855.86</v>
      </c>
      <c r="G28">
        <f>F28/1000</f>
        <v>806.85586000000001</v>
      </c>
    </row>
    <row r="29" spans="1:7">
      <c r="A29" t="s">
        <v>19</v>
      </c>
      <c r="B29" t="s">
        <v>26</v>
      </c>
      <c r="C29">
        <v>136.11199999999999</v>
      </c>
      <c r="F29">
        <f>C29*365</f>
        <v>49680.88</v>
      </c>
      <c r="G29">
        <f>F29/1000</f>
        <v>49.680879999999995</v>
      </c>
    </row>
    <row r="30" spans="1:7">
      <c r="A30" t="s">
        <v>25</v>
      </c>
      <c r="B30" t="s">
        <v>37</v>
      </c>
      <c r="C30">
        <v>164.572</v>
      </c>
      <c r="F30">
        <f>C30*365</f>
        <v>60068.78</v>
      </c>
      <c r="G30">
        <f>F30/1000</f>
        <v>60.068779999999997</v>
      </c>
    </row>
    <row r="31" spans="1:7">
      <c r="A31" t="s">
        <v>38</v>
      </c>
      <c r="B31" t="s">
        <v>37</v>
      </c>
      <c r="C31">
        <v>80</v>
      </c>
      <c r="F31">
        <f>C31*365</f>
        <v>29200</v>
      </c>
      <c r="G31">
        <f>F31/1000</f>
        <v>29.2</v>
      </c>
    </row>
    <row r="32" spans="1:7">
      <c r="A32" t="s">
        <v>50</v>
      </c>
      <c r="B32" t="s">
        <v>37</v>
      </c>
      <c r="C32">
        <v>731.7</v>
      </c>
      <c r="F32">
        <f>C32*365</f>
        <v>267070.5</v>
      </c>
      <c r="G32">
        <f>F32/1000</f>
        <v>267.07049999999998</v>
      </c>
    </row>
    <row r="33" spans="1:7">
      <c r="A33" t="s">
        <v>41</v>
      </c>
      <c r="B33" t="s">
        <v>55</v>
      </c>
      <c r="C33">
        <v>220</v>
      </c>
      <c r="F33">
        <f>C33*365</f>
        <v>80300</v>
      </c>
      <c r="G33">
        <f>F33/1000</f>
        <v>80.3</v>
      </c>
    </row>
    <row r="34" spans="1:7">
      <c r="A34" t="s">
        <v>17</v>
      </c>
      <c r="B34" t="s">
        <v>25</v>
      </c>
      <c r="C34">
        <v>870</v>
      </c>
      <c r="F34">
        <f>C34*365</f>
        <v>317550</v>
      </c>
      <c r="G34">
        <f>F34/1000</f>
        <v>317.55</v>
      </c>
    </row>
    <row r="35" spans="1:7">
      <c r="A35" t="s">
        <v>19</v>
      </c>
      <c r="B35" t="s">
        <v>25</v>
      </c>
      <c r="C35">
        <v>613.71600000000001</v>
      </c>
      <c r="F35">
        <f>C35*365</f>
        <v>224006.34</v>
      </c>
      <c r="G35">
        <f>F35/1000</f>
        <v>224.00633999999999</v>
      </c>
    </row>
    <row r="36" spans="1:7">
      <c r="A36" t="s">
        <v>22</v>
      </c>
      <c r="B36" t="s">
        <v>25</v>
      </c>
      <c r="C36">
        <v>100</v>
      </c>
      <c r="F36">
        <f>C36*365</f>
        <v>36500</v>
      </c>
      <c r="G36">
        <f>F36/1000</f>
        <v>36.5</v>
      </c>
    </row>
    <row r="37" spans="1:7">
      <c r="A37" t="s">
        <v>37</v>
      </c>
      <c r="B37" t="s">
        <v>25</v>
      </c>
      <c r="C37">
        <v>224.4</v>
      </c>
      <c r="F37">
        <f>C37*365</f>
        <v>81906</v>
      </c>
      <c r="G37">
        <f>F37/1000</f>
        <v>81.906000000000006</v>
      </c>
    </row>
    <row r="38" spans="1:7">
      <c r="A38" t="s">
        <v>49</v>
      </c>
      <c r="B38" t="s">
        <v>25</v>
      </c>
      <c r="C38">
        <v>570</v>
      </c>
      <c r="F38">
        <f>C38*365</f>
        <v>208050</v>
      </c>
      <c r="G38">
        <f>F38/1000</f>
        <v>208.05</v>
      </c>
    </row>
    <row r="39" spans="1:7">
      <c r="A39" t="s">
        <v>32</v>
      </c>
      <c r="B39" t="s">
        <v>33</v>
      </c>
      <c r="C39">
        <v>117.8</v>
      </c>
      <c r="F39">
        <f>C39*365</f>
        <v>42997</v>
      </c>
      <c r="G39">
        <f>F39/1000</f>
        <v>42.997</v>
      </c>
    </row>
    <row r="40" spans="1:7">
      <c r="A40" t="s">
        <v>33</v>
      </c>
      <c r="B40" t="s">
        <v>33</v>
      </c>
      <c r="C40">
        <v>53.4</v>
      </c>
      <c r="F40">
        <f>C40*365</f>
        <v>19491</v>
      </c>
      <c r="G40">
        <f>F40/1000</f>
        <v>19.491</v>
      </c>
    </row>
    <row r="41" spans="1:7">
      <c r="A41" t="s">
        <v>47</v>
      </c>
      <c r="B41" t="s">
        <v>33</v>
      </c>
      <c r="C41">
        <v>398.6</v>
      </c>
      <c r="F41">
        <f>C41*365</f>
        <v>145489</v>
      </c>
      <c r="G41">
        <f>F41/1000</f>
        <v>145.489</v>
      </c>
    </row>
    <row r="42" spans="1:7">
      <c r="A42" t="s">
        <v>23</v>
      </c>
      <c r="B42" t="s">
        <v>24</v>
      </c>
      <c r="C42">
        <v>53.7</v>
      </c>
      <c r="F42">
        <f>C42*365</f>
        <v>19600.5</v>
      </c>
      <c r="G42">
        <f>F42/1000</f>
        <v>19.6005</v>
      </c>
    </row>
    <row r="43" spans="1:7">
      <c r="A43" t="s">
        <v>30</v>
      </c>
      <c r="B43" t="s">
        <v>24</v>
      </c>
      <c r="C43">
        <v>77.400000000000006</v>
      </c>
      <c r="F43">
        <f>C43*365</f>
        <v>28251.000000000004</v>
      </c>
      <c r="G43">
        <f>F43/1000</f>
        <v>28.251000000000005</v>
      </c>
    </row>
    <row r="44" spans="1:7">
      <c r="A44" t="s">
        <v>20</v>
      </c>
      <c r="B44" t="s">
        <v>30</v>
      </c>
      <c r="C44">
        <v>153.1</v>
      </c>
      <c r="F44">
        <f>C44*365</f>
        <v>55881.5</v>
      </c>
      <c r="G44">
        <f>F44/1000</f>
        <v>55.881500000000003</v>
      </c>
    </row>
    <row r="45" spans="1:7">
      <c r="A45" t="s">
        <v>24</v>
      </c>
      <c r="B45" t="s">
        <v>30</v>
      </c>
      <c r="C45">
        <v>48.57</v>
      </c>
      <c r="F45">
        <f>C45*365</f>
        <v>17728.05</v>
      </c>
      <c r="G45">
        <f>F45/1000</f>
        <v>17.72805</v>
      </c>
    </row>
    <row r="46" spans="1:7">
      <c r="A46" t="s">
        <v>29</v>
      </c>
      <c r="B46" t="s">
        <v>30</v>
      </c>
      <c r="C46">
        <v>128.9</v>
      </c>
      <c r="F46">
        <f>C46*365</f>
        <v>47048.5</v>
      </c>
      <c r="G46">
        <f>F46/1000</f>
        <v>47.048499999999997</v>
      </c>
    </row>
    <row r="47" spans="1:7">
      <c r="A47" t="s">
        <v>34</v>
      </c>
      <c r="B47" t="s">
        <v>30</v>
      </c>
      <c r="C47">
        <v>50.3</v>
      </c>
      <c r="F47">
        <f>C47*365</f>
        <v>18359.5</v>
      </c>
      <c r="G47">
        <f>F47/1000</f>
        <v>18.359500000000001</v>
      </c>
    </row>
    <row r="48" spans="1:7">
      <c r="A48" t="s">
        <v>39</v>
      </c>
      <c r="B48" t="s">
        <v>30</v>
      </c>
      <c r="C48">
        <v>515.6</v>
      </c>
      <c r="F48">
        <f>C48*365</f>
        <v>188194</v>
      </c>
      <c r="G48">
        <f>F48/1000</f>
        <v>188.19399999999999</v>
      </c>
    </row>
    <row r="49" spans="1:7">
      <c r="A49" t="s">
        <v>11</v>
      </c>
      <c r="B49" t="s">
        <v>44</v>
      </c>
      <c r="C49">
        <v>386.9</v>
      </c>
      <c r="F49">
        <f>C49*365</f>
        <v>141218.5</v>
      </c>
      <c r="G49">
        <f>F49/1000</f>
        <v>141.21850000000001</v>
      </c>
    </row>
    <row r="50" spans="1:7">
      <c r="A50" t="s">
        <v>20</v>
      </c>
      <c r="B50" t="s">
        <v>21</v>
      </c>
      <c r="C50">
        <v>1150</v>
      </c>
      <c r="F50">
        <f>C50*365</f>
        <v>419750</v>
      </c>
      <c r="G50">
        <f>F50/1000</f>
        <v>419.75</v>
      </c>
    </row>
    <row r="51" spans="1:7">
      <c r="A51" t="s">
        <v>22</v>
      </c>
      <c r="B51" t="s">
        <v>21</v>
      </c>
      <c r="C51">
        <v>640.4</v>
      </c>
      <c r="F51">
        <f>C51*365</f>
        <v>233746</v>
      </c>
      <c r="G51">
        <f>F51/1000</f>
        <v>233.74600000000001</v>
      </c>
    </row>
    <row r="52" spans="1:7">
      <c r="A52" t="s">
        <v>23</v>
      </c>
      <c r="B52" t="s">
        <v>21</v>
      </c>
      <c r="C52">
        <v>21.5</v>
      </c>
      <c r="F52">
        <f>C52*365</f>
        <v>7847.5</v>
      </c>
      <c r="G52">
        <f>F52/1000</f>
        <v>7.8475000000000001</v>
      </c>
    </row>
    <row r="53" spans="1:7">
      <c r="A53" t="s">
        <v>42</v>
      </c>
      <c r="B53" t="s">
        <v>21</v>
      </c>
      <c r="C53">
        <v>487.1</v>
      </c>
      <c r="F53">
        <f>C53*365</f>
        <v>177791.5</v>
      </c>
      <c r="G53">
        <f>F53/1000</f>
        <v>177.79150000000001</v>
      </c>
    </row>
    <row r="54" spans="1:7">
      <c r="A54" t="s">
        <v>51</v>
      </c>
      <c r="B54" t="s">
        <v>21</v>
      </c>
      <c r="C54">
        <v>1138.0999999999999</v>
      </c>
      <c r="F54">
        <f>C54*365</f>
        <v>415406.49999999994</v>
      </c>
      <c r="G54">
        <f>F54/1000</f>
        <v>415.40649999999994</v>
      </c>
    </row>
    <row r="55" spans="1:7">
      <c r="A55" t="s">
        <v>52</v>
      </c>
      <c r="B55" t="s">
        <v>21</v>
      </c>
      <c r="C55">
        <v>475.8</v>
      </c>
      <c r="F55">
        <f>C55*365</f>
        <v>173667</v>
      </c>
      <c r="G55">
        <f>F55/1000</f>
        <v>173.667</v>
      </c>
    </row>
    <row r="56" spans="1:7">
      <c r="A56" t="s">
        <v>36</v>
      </c>
      <c r="B56" t="s">
        <v>35</v>
      </c>
      <c r="C56">
        <v>65.099999999999994</v>
      </c>
      <c r="F56">
        <f>C56*365</f>
        <v>23761.499999999996</v>
      </c>
      <c r="G56">
        <f>F56/1000</f>
        <v>23.761499999999998</v>
      </c>
    </row>
    <row r="57" spans="1:7">
      <c r="A57" t="s">
        <v>53</v>
      </c>
      <c r="B57" t="s">
        <v>35</v>
      </c>
      <c r="C57">
        <v>325.39999999999998</v>
      </c>
      <c r="F57">
        <f>C57*365</f>
        <v>118770.99999999999</v>
      </c>
      <c r="G57">
        <f>F57/1000</f>
        <v>118.77099999999999</v>
      </c>
    </row>
    <row r="58" spans="1:7">
      <c r="A58" t="s">
        <v>19</v>
      </c>
      <c r="B58" t="s">
        <v>43</v>
      </c>
      <c r="C58">
        <v>26.71</v>
      </c>
      <c r="F58">
        <f>C58*365</f>
        <v>9749.15</v>
      </c>
      <c r="G58">
        <f>F58/1000</f>
        <v>9.7491500000000002</v>
      </c>
    </row>
    <row r="59" spans="1:7">
      <c r="A59" t="s">
        <v>35</v>
      </c>
      <c r="B59" t="s">
        <v>36</v>
      </c>
      <c r="C59">
        <v>67.599999999999994</v>
      </c>
      <c r="F59">
        <f>C59*365</f>
        <v>24673.999999999996</v>
      </c>
      <c r="G59">
        <f>F59/1000</f>
        <v>24.673999999999996</v>
      </c>
    </row>
    <row r="60" spans="1:7">
      <c r="A60" t="s">
        <v>41</v>
      </c>
      <c r="B60" t="s">
        <v>36</v>
      </c>
      <c r="C60">
        <v>168</v>
      </c>
      <c r="F60">
        <f>C60*365</f>
        <v>61320</v>
      </c>
      <c r="G60">
        <f>F60/1000</f>
        <v>61.32</v>
      </c>
    </row>
    <row r="61" spans="1:7">
      <c r="A61" t="s">
        <v>34</v>
      </c>
      <c r="B61" t="s">
        <v>40</v>
      </c>
      <c r="C61">
        <v>55.7</v>
      </c>
      <c r="F61">
        <f>C61*365</f>
        <v>20330.5</v>
      </c>
      <c r="G61">
        <f>F61/1000</f>
        <v>20.330500000000001</v>
      </c>
    </row>
    <row r="62" spans="1:7">
      <c r="A62" t="s">
        <v>32</v>
      </c>
      <c r="B62" t="s">
        <v>46</v>
      </c>
      <c r="C62">
        <v>27.38</v>
      </c>
      <c r="F62">
        <f>C62*365</f>
        <v>9993.6999999999989</v>
      </c>
      <c r="G62">
        <f>F62/1000</f>
        <v>9.9936999999999987</v>
      </c>
    </row>
    <row r="63" spans="1:7">
      <c r="A63" t="s">
        <v>17</v>
      </c>
      <c r="B63" t="s">
        <v>18</v>
      </c>
      <c r="C63">
        <v>331.2</v>
      </c>
      <c r="F63">
        <f>C63*365</f>
        <v>120888</v>
      </c>
      <c r="G63">
        <f>F63/1000</f>
        <v>120.88800000000001</v>
      </c>
    </row>
    <row r="64" spans="1:7">
      <c r="A64" t="s">
        <v>19</v>
      </c>
      <c r="B64" t="s">
        <v>18</v>
      </c>
      <c r="C64">
        <v>1628.3030000000001</v>
      </c>
      <c r="F64">
        <f>C64*365</f>
        <v>594330.59500000009</v>
      </c>
      <c r="G64">
        <f>F64/1000</f>
        <v>594.33059500000013</v>
      </c>
    </row>
    <row r="65" spans="1:7">
      <c r="A65" t="s">
        <v>19</v>
      </c>
      <c r="B65" t="s">
        <v>27</v>
      </c>
      <c r="C65">
        <v>233.5</v>
      </c>
      <c r="F65">
        <f>C65*365</f>
        <v>85227.5</v>
      </c>
      <c r="G65">
        <f>F65/1000</f>
        <v>85.227500000000006</v>
      </c>
    </row>
    <row r="66" spans="1:7">
      <c r="A66" t="s">
        <v>28</v>
      </c>
      <c r="B66" t="s">
        <v>27</v>
      </c>
      <c r="C66">
        <v>28</v>
      </c>
      <c r="F66">
        <f>C66*365</f>
        <v>10220</v>
      </c>
      <c r="G66">
        <f>F66/1000</f>
        <v>10.220000000000001</v>
      </c>
    </row>
    <row r="67" spans="1:7">
      <c r="A67" t="s">
        <v>39</v>
      </c>
      <c r="B67" t="s">
        <v>27</v>
      </c>
      <c r="C67">
        <v>135.6</v>
      </c>
      <c r="F67">
        <f>C67*365</f>
        <v>49494</v>
      </c>
      <c r="G67">
        <f>F67/1000</f>
        <v>49.494</v>
      </c>
    </row>
    <row r="68" spans="1:7">
      <c r="A68" t="s">
        <v>53</v>
      </c>
      <c r="B68" t="s">
        <v>27</v>
      </c>
      <c r="C68">
        <v>1203.4999999999998</v>
      </c>
      <c r="F68">
        <f>C68*365</f>
        <v>439277.49999999994</v>
      </c>
      <c r="G68">
        <f>F68/1000</f>
        <v>439.27749999999992</v>
      </c>
    </row>
    <row r="69" spans="1:7">
      <c r="A69" t="s">
        <v>37</v>
      </c>
      <c r="B69" t="s">
        <v>38</v>
      </c>
      <c r="C69">
        <v>144</v>
      </c>
      <c r="F69">
        <f>C69*365</f>
        <v>52560</v>
      </c>
      <c r="G69">
        <f>F69/1000</f>
        <v>52.56</v>
      </c>
    </row>
    <row r="70" spans="1:7">
      <c r="A70" t="s">
        <v>30</v>
      </c>
      <c r="B70" t="s">
        <v>34</v>
      </c>
      <c r="C70">
        <v>77.5</v>
      </c>
      <c r="F70">
        <f>C70*365</f>
        <v>28287.5</v>
      </c>
      <c r="G70">
        <f>F70/1000</f>
        <v>28.287500000000001</v>
      </c>
    </row>
    <row r="71" spans="1:7">
      <c r="A71" t="s">
        <v>32</v>
      </c>
      <c r="B71" t="s">
        <v>34</v>
      </c>
      <c r="C71">
        <v>148.15</v>
      </c>
      <c r="F71">
        <f>C71*365</f>
        <v>54074.75</v>
      </c>
      <c r="G71">
        <f>F71/1000</f>
        <v>54.074750000000002</v>
      </c>
    </row>
    <row r="72" spans="1:7">
      <c r="A72" t="s">
        <v>39</v>
      </c>
      <c r="B72" t="s">
        <v>34</v>
      </c>
      <c r="C72">
        <v>1163.4000000000001</v>
      </c>
      <c r="F72">
        <f>C72*365</f>
        <v>424641.00000000006</v>
      </c>
      <c r="G72">
        <f>F72/1000</f>
        <v>424.64100000000008</v>
      </c>
    </row>
    <row r="73" spans="1:7">
      <c r="A73" t="s">
        <v>40</v>
      </c>
      <c r="B73" t="s">
        <v>34</v>
      </c>
      <c r="C73">
        <v>2.2000000000000002</v>
      </c>
      <c r="F73">
        <f>C73*365</f>
        <v>803.00000000000011</v>
      </c>
      <c r="G73">
        <f>F73/1000</f>
        <v>0.80300000000000016</v>
      </c>
    </row>
    <row r="74" spans="1:7">
      <c r="A74" t="s">
        <v>30</v>
      </c>
      <c r="B74" t="s">
        <v>31</v>
      </c>
      <c r="C74">
        <v>142</v>
      </c>
      <c r="F74">
        <f>C74*365</f>
        <v>51830</v>
      </c>
      <c r="G74">
        <f>F74/1000</f>
        <v>51.83</v>
      </c>
    </row>
    <row r="75" spans="1:7">
      <c r="A75" t="s">
        <v>32</v>
      </c>
      <c r="B75" t="s">
        <v>31</v>
      </c>
      <c r="C75">
        <v>398.13</v>
      </c>
      <c r="F75">
        <f>C75*365</f>
        <v>145317.45000000001</v>
      </c>
      <c r="G75">
        <f>F75/1000</f>
        <v>145.31745000000001</v>
      </c>
    </row>
    <row r="76" spans="1:7">
      <c r="A76" t="s">
        <v>35</v>
      </c>
      <c r="B76" t="s">
        <v>41</v>
      </c>
      <c r="C76">
        <v>114.2</v>
      </c>
      <c r="F76">
        <f>C76*365</f>
        <v>41683</v>
      </c>
      <c r="G76">
        <f>F76/1000</f>
        <v>41.683</v>
      </c>
    </row>
    <row r="77" spans="1:7">
      <c r="A77" t="s">
        <v>36</v>
      </c>
      <c r="B77" t="s">
        <v>41</v>
      </c>
      <c r="C77">
        <v>85</v>
      </c>
      <c r="F77">
        <f>C77*365</f>
        <v>31025</v>
      </c>
      <c r="G77">
        <f>F77/1000</f>
        <v>31.024999999999999</v>
      </c>
    </row>
    <row r="78" spans="1:7">
      <c r="A78" t="s">
        <v>20</v>
      </c>
      <c r="B78" t="s">
        <v>23</v>
      </c>
      <c r="C78">
        <v>112.5</v>
      </c>
      <c r="F78">
        <f>C78*365</f>
        <v>41062.5</v>
      </c>
      <c r="G78">
        <f>F78/1000</f>
        <v>41.0625</v>
      </c>
    </row>
    <row r="79" spans="1:7">
      <c r="A79" t="s">
        <v>21</v>
      </c>
      <c r="B79" t="s">
        <v>23</v>
      </c>
      <c r="C79">
        <v>28.5</v>
      </c>
      <c r="F79">
        <f>C79*365</f>
        <v>10402.5</v>
      </c>
      <c r="G79">
        <f>F79/1000</f>
        <v>10.4025</v>
      </c>
    </row>
    <row r="80" spans="1:7">
      <c r="A80" t="s">
        <v>24</v>
      </c>
      <c r="B80" t="s">
        <v>23</v>
      </c>
      <c r="C80">
        <v>7.7</v>
      </c>
      <c r="F80">
        <f>C80*365</f>
        <v>2810.5</v>
      </c>
      <c r="G80">
        <f>F80/1000</f>
        <v>2.8105000000000002</v>
      </c>
    </row>
    <row r="81" spans="1:7">
      <c r="A81" t="s">
        <v>20</v>
      </c>
      <c r="B81" t="s">
        <v>29</v>
      </c>
      <c r="C81">
        <v>246.5</v>
      </c>
      <c r="F81">
        <f>C81*365</f>
        <v>89972.5</v>
      </c>
      <c r="G81">
        <f>F81/1000</f>
        <v>89.972499999999997</v>
      </c>
    </row>
    <row r="82" spans="1:7">
      <c r="A82" t="s">
        <v>28</v>
      </c>
      <c r="B82" t="s">
        <v>29</v>
      </c>
      <c r="C82">
        <v>1246.4000000000001</v>
      </c>
      <c r="F82">
        <f>C82*365</f>
        <v>454936.00000000006</v>
      </c>
      <c r="G82">
        <f>F82/1000</f>
        <v>454.93600000000004</v>
      </c>
    </row>
    <row r="83" spans="1:7">
      <c r="A83" t="s">
        <v>30</v>
      </c>
      <c r="B83" t="s">
        <v>29</v>
      </c>
      <c r="C83">
        <v>50.883000000000003</v>
      </c>
      <c r="F83">
        <f>C83*365</f>
        <v>18572.295000000002</v>
      </c>
      <c r="G83">
        <f>F83/1000</f>
        <v>18.572295</v>
      </c>
    </row>
    <row r="84" spans="1:7">
      <c r="A84" t="s">
        <v>39</v>
      </c>
      <c r="B84" t="s">
        <v>29</v>
      </c>
      <c r="C84">
        <v>2277.6</v>
      </c>
      <c r="F84">
        <f>C84*365</f>
        <v>831324</v>
      </c>
      <c r="G84">
        <f>F84/1000</f>
        <v>831.32399999999996</v>
      </c>
    </row>
    <row r="85" spans="1:7">
      <c r="A85" t="s">
        <v>21</v>
      </c>
      <c r="B85" t="s">
        <v>48</v>
      </c>
      <c r="C85">
        <v>4.3</v>
      </c>
      <c r="F85">
        <f>C85*365</f>
        <v>1569.5</v>
      </c>
      <c r="G85">
        <f>F85/1000</f>
        <v>1.5694999999999999</v>
      </c>
    </row>
    <row r="86" spans="1:7">
      <c r="A86" t="s">
        <v>32</v>
      </c>
      <c r="B86" t="s">
        <v>47</v>
      </c>
      <c r="C86">
        <v>497.16</v>
      </c>
      <c r="F86">
        <f>C86*365</f>
        <v>181463.40000000002</v>
      </c>
      <c r="G86">
        <f>F86/1000</f>
        <v>181.46340000000004</v>
      </c>
    </row>
    <row r="87" spans="1:7">
      <c r="A87" t="s">
        <v>29</v>
      </c>
      <c r="B87" t="s">
        <v>39</v>
      </c>
      <c r="C87">
        <v>416</v>
      </c>
      <c r="F87">
        <f>C87*365</f>
        <v>151840</v>
      </c>
      <c r="G87">
        <f>F87/1000</f>
        <v>151.84</v>
      </c>
    </row>
    <row r="88" spans="1:7">
      <c r="A88" t="s">
        <v>34</v>
      </c>
      <c r="B88" t="s">
        <v>39</v>
      </c>
      <c r="C88">
        <v>122.2</v>
      </c>
      <c r="F88">
        <f>C88*365</f>
        <v>44603</v>
      </c>
      <c r="G88">
        <f>F88/1000</f>
        <v>44.603000000000002</v>
      </c>
    </row>
    <row r="89" spans="1:7">
      <c r="A89" t="s">
        <v>17</v>
      </c>
      <c r="B89" t="s">
        <v>11</v>
      </c>
      <c r="C89">
        <v>803.4</v>
      </c>
      <c r="F89">
        <f>C89*365</f>
        <v>293241</v>
      </c>
      <c r="G89">
        <f>F89/1000</f>
        <v>293.24099999999999</v>
      </c>
    </row>
    <row r="90" spans="1:7">
      <c r="A90" t="s">
        <v>49</v>
      </c>
      <c r="B90" t="s">
        <v>11</v>
      </c>
      <c r="C90">
        <v>1499.1</v>
      </c>
      <c r="F90">
        <f>C90*365</f>
        <v>547171.5</v>
      </c>
      <c r="G90">
        <f>F90/1000</f>
        <v>547.17150000000004</v>
      </c>
    </row>
    <row r="91" spans="1:7">
      <c r="A91" s="4" t="s">
        <v>54</v>
      </c>
      <c r="B91" s="4" t="s">
        <v>36</v>
      </c>
      <c r="C91" s="4"/>
      <c r="D91" s="4"/>
      <c r="E91" s="4" t="s">
        <v>144</v>
      </c>
      <c r="F91" s="4">
        <f>C91*365</f>
        <v>0</v>
      </c>
      <c r="G91" s="4">
        <v>24.424999999999997</v>
      </c>
    </row>
    <row r="92" spans="1:7">
      <c r="A92" t="s">
        <v>36</v>
      </c>
      <c r="B92" t="s">
        <v>54</v>
      </c>
      <c r="E92" t="s">
        <v>144</v>
      </c>
      <c r="F92">
        <f>C92*365</f>
        <v>0</v>
      </c>
      <c r="G92" s="4">
        <v>24.424999999999997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7" workbookViewId="0">
      <selection activeCell="I21" sqref="I2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97</v>
      </c>
      <c r="B3" t="s">
        <v>98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99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100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98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99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126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127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128</v>
      </c>
    </row>
    <row r="31" spans="1:6">
      <c r="A31" t="s">
        <v>41</v>
      </c>
      <c r="B31" t="s">
        <v>53</v>
      </c>
      <c r="F31" t="s">
        <v>129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101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101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nodes_lng</vt:lpstr>
      <vt:lpstr>nodes_gas_prod_2020</vt:lpstr>
      <vt:lpstr>nodes_gas_prod_2024</vt:lpstr>
      <vt:lpstr>nodes_demand_2020</vt:lpstr>
      <vt:lpstr>nodes_demand_2023</vt:lpstr>
      <vt:lpstr>Connections_2020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2025-02-20T16:51:50Z</dcterms:modified>
</cp:coreProperties>
</file>