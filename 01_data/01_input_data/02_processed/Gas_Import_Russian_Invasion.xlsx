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832237F2-9583-4190-A328-0990B39D810F}" xr6:coauthVersionLast="47" xr6:coauthVersionMax="47" xr10:uidLastSave="{00000000-0000-0000-0000-000000000000}"/>
  <bookViews>
    <workbookView xWindow="-110" yWindow="-110" windowWidth="19420" windowHeight="10300" firstSheet="4" activeTab="6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1" sheetId="4" r:id="rId6"/>
    <sheet name="Connections_2024" sheetId="8" r:id="rId7"/>
    <sheet name="Import_Connection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1" i="8" l="1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4" i="8"/>
  <c r="G104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5" i="8"/>
  <c r="G85" i="8" s="1"/>
  <c r="F84" i="8"/>
  <c r="G84" i="8" s="1"/>
  <c r="F83" i="8"/>
  <c r="G83" i="8" s="1"/>
  <c r="F82" i="8"/>
  <c r="G82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4" i="8"/>
  <c r="G34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7" i="8"/>
  <c r="G27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F30" i="7"/>
  <c r="E30" i="7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F25" i="7"/>
  <c r="E25" i="7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F19" i="7"/>
  <c r="E19" i="7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F10" i="7"/>
  <c r="E10" i="7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F6" i="7"/>
  <c r="E6" i="7"/>
  <c r="M5" i="7"/>
  <c r="L5" i="7"/>
  <c r="F5" i="7"/>
  <c r="E5" i="7"/>
  <c r="M4" i="7"/>
  <c r="L4" i="7"/>
  <c r="F4" i="7"/>
  <c r="E4" i="7"/>
  <c r="M3" i="7"/>
  <c r="L3" i="7"/>
  <c r="F3" i="7"/>
  <c r="E3" i="7"/>
  <c r="M2" i="7"/>
  <c r="L2" i="7"/>
  <c r="F2" i="7"/>
  <c r="E2" i="7"/>
  <c r="E2" i="2"/>
  <c r="E40" i="2"/>
  <c r="F40" i="2" s="1"/>
  <c r="F3" i="2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3" i="3"/>
  <c r="F4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4" i="3"/>
  <c r="F25" i="3"/>
  <c r="F26" i="3"/>
  <c r="F27" i="3"/>
  <c r="F28" i="3"/>
  <c r="F29" i="3"/>
  <c r="F30" i="3"/>
  <c r="F33" i="3"/>
  <c r="F34" i="3"/>
  <c r="F35" i="3"/>
  <c r="F36" i="3"/>
  <c r="F37" i="3"/>
  <c r="F38" i="3"/>
  <c r="F39" i="3"/>
  <c r="F40" i="3"/>
  <c r="E27" i="3"/>
  <c r="F31" i="3" s="1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4" i="2"/>
  <c r="F5" i="2"/>
  <c r="F7" i="2"/>
  <c r="F8" i="2"/>
  <c r="F9" i="2"/>
  <c r="F12" i="2"/>
  <c r="F13" i="2"/>
  <c r="F14" i="2"/>
  <c r="F15" i="2"/>
  <c r="F18" i="2"/>
  <c r="F19" i="2"/>
  <c r="F20" i="2"/>
  <c r="F21" i="2"/>
  <c r="F22" i="2"/>
  <c r="F23" i="2"/>
  <c r="F24" i="2"/>
  <c r="F25" i="2"/>
  <c r="F26" i="2"/>
  <c r="F29" i="2"/>
  <c r="F31" i="2"/>
  <c r="F32" i="2"/>
  <c r="F34" i="2"/>
  <c r="F35" i="2"/>
  <c r="F36" i="2"/>
  <c r="F37" i="2"/>
  <c r="F38" i="2"/>
  <c r="F39" i="2"/>
  <c r="F41" i="2"/>
  <c r="D44" i="2"/>
  <c r="C44" i="2"/>
  <c r="E3" i="2"/>
  <c r="E4" i="2"/>
  <c r="E5" i="2"/>
  <c r="E6" i="2"/>
  <c r="F6" i="2" s="1"/>
  <c r="E7" i="2"/>
  <c r="E8" i="2"/>
  <c r="E9" i="2"/>
  <c r="E10" i="2"/>
  <c r="F10" i="2" s="1"/>
  <c r="E11" i="2"/>
  <c r="F11" i="2" s="1"/>
  <c r="E12" i="2"/>
  <c r="E13" i="2"/>
  <c r="E14" i="2"/>
  <c r="E15" i="2"/>
  <c r="E16" i="2"/>
  <c r="F16" i="2" s="1"/>
  <c r="E17" i="2"/>
  <c r="F17" i="2" s="1"/>
  <c r="E18" i="2"/>
  <c r="E19" i="2"/>
  <c r="E20" i="2"/>
  <c r="E21" i="2"/>
  <c r="E22" i="2"/>
  <c r="E23" i="2"/>
  <c r="E24" i="2"/>
  <c r="E25" i="2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44" i="2" s="1"/>
  <c r="E35" i="2"/>
  <c r="E36" i="2"/>
  <c r="E37" i="2"/>
  <c r="E38" i="2"/>
  <c r="E39" i="2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34" i="7" l="1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</calcChain>
</file>

<file path=xl/sharedStrings.xml><?xml version="1.0" encoding="utf-8"?>
<sst xmlns="http://schemas.openxmlformats.org/spreadsheetml/2006/main" count="985" uniqueCount="152">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</sst>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50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15"/>
    <tableColumn id="5" xr3:uid="{4278F9D8-E46F-44B9-A622-727B8E2C8EF1}" name="Mil m3 EU [2020]" dataDxfId="14"/>
    <tableColumn id="6" xr3:uid="{F2BDB73C-713D-4BC7-B762-048AA072F297}" name="Mrd m3 EU [2020]" dataDxfId="13">
      <calculatedColumnFormula>Table2[[#This Row],[Mil m3 EU '[2020']]]/1000</calculatedColumnFormula>
    </tableColumn>
    <tableColumn id="4" xr3:uid="{5BB2DA97-8C23-44BC-9268-BDBE2BCDBBC8}" name="TWh [2020]" dataDxfId="12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11"/>
    <tableColumn id="5" xr3:uid="{42F1A333-D727-4655-B618-A9AB5617745F}" name="Mil m3 EU [2020]" dataDxfId="10"/>
    <tableColumn id="6" xr3:uid="{326B3A9A-70B2-4D34-8E01-54CBBD0565E6}" name="Mrd m3 EU [2020]" dataDxfId="9">
      <calculatedColumnFormula>Table26[[#This Row],[Mil m3 EU '[2020']]]/1000</calculatedColumnFormula>
    </tableColumn>
    <tableColumn id="4" xr3:uid="{DC1916A1-B3CC-4586-AE6D-12CF46A9C0F0}" name="TWh [2020]" dataDxfId="8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7"/>
    <tableColumn id="4" xr3:uid="{1618AAC4-0782-47C3-91CE-2FEB95FBDD58}" name="TWh [2020]" dataDxfId="6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5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4"/>
    <tableColumn id="4" xr3:uid="{60E83C2D-D521-4D6A-800D-160C3176DFC7}" name="TWh [2023]" dataDxfId="3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2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11" totalsRowShown="0">
  <autoFilter ref="A1:H111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1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1" totalsRowShown="0">
  <autoFilter ref="A1:H111" xr:uid="{E12C0BEF-3C88-4803-B1D2-BF2F4DD3F518}"/>
  <sortState xmlns:xlrd2="http://schemas.microsoft.com/office/spreadsheetml/2017/richdata2" ref="A2:H111">
    <sortCondition ref="B1:B111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0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C1" sqref="C1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105</v>
      </c>
      <c r="G1" t="s">
        <v>106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103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103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103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103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103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103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103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103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103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103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103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103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102</v>
      </c>
    </row>
    <row r="15" spans="1:13">
      <c r="A15" t="s">
        <v>131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103</v>
      </c>
      <c r="L15" t="str">
        <f t="shared" si="2"/>
        <v>EE_LNG</v>
      </c>
      <c r="M15" t="str">
        <f t="shared" si="3"/>
        <v>EE</v>
      </c>
    </row>
    <row r="16" spans="1:13">
      <c r="A16" t="s">
        <v>130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103</v>
      </c>
      <c r="L16" t="str">
        <f t="shared" si="2"/>
        <v>FI_LNG</v>
      </c>
      <c r="M16" t="str">
        <f t="shared" si="3"/>
        <v>FI</v>
      </c>
    </row>
    <row r="17" spans="1:13">
      <c r="A17" t="s">
        <v>132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103</v>
      </c>
      <c r="L17" t="str">
        <f t="shared" si="2"/>
        <v>DE_LNG</v>
      </c>
      <c r="M17" t="str">
        <f t="shared" si="3"/>
        <v>DE</v>
      </c>
    </row>
    <row r="18" spans="1:13">
      <c r="A18" t="s">
        <v>133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103</v>
      </c>
      <c r="L18" t="str">
        <f t="shared" si="2"/>
        <v>IE_LNG</v>
      </c>
      <c r="M18" t="str">
        <f t="shared" si="3"/>
        <v>IE</v>
      </c>
    </row>
    <row r="19" spans="1:13">
      <c r="A19" t="s">
        <v>134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103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49"/>
  <sheetViews>
    <sheetView workbookViewId="0">
      <selection activeCell="H48" sqref="H48"/>
    </sheetView>
  </sheetViews>
  <sheetFormatPr defaultRowHeight="14.5"/>
  <cols>
    <col min="1" max="1" width="9.54296875" customWidth="1"/>
    <col min="2" max="2" width="12.54296875" customWidth="1"/>
    <col min="3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122</v>
      </c>
      <c r="E1" t="s">
        <v>124</v>
      </c>
      <c r="F1" t="s">
        <v>107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104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138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135</v>
      </c>
    </row>
    <row r="48" spans="1:13">
      <c r="A48" t="s">
        <v>80</v>
      </c>
      <c r="B48" t="s">
        <v>90</v>
      </c>
      <c r="H48" t="s">
        <v>140</v>
      </c>
    </row>
    <row r="49" spans="1:2">
      <c r="A49" t="s">
        <v>125</v>
      </c>
      <c r="B49" t="s">
        <v>123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49"/>
  <sheetViews>
    <sheetView workbookViewId="0">
      <selection activeCell="H44" sqref="H44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</cols>
  <sheetData>
    <row r="1" spans="1:13">
      <c r="A1" t="s">
        <v>16</v>
      </c>
      <c r="B1" t="s">
        <v>56</v>
      </c>
      <c r="C1" t="s">
        <v>85</v>
      </c>
      <c r="D1" t="s">
        <v>122</v>
      </c>
      <c r="E1" t="s">
        <v>124</v>
      </c>
      <c r="F1" t="s">
        <v>107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104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138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135</v>
      </c>
    </row>
    <row r="48" spans="1:13">
      <c r="A48" t="s">
        <v>80</v>
      </c>
      <c r="B48" t="s">
        <v>139</v>
      </c>
      <c r="H48" t="s">
        <v>140</v>
      </c>
    </row>
    <row r="49" spans="1:2">
      <c r="A49" t="s">
        <v>125</v>
      </c>
      <c r="B49" t="s">
        <v>123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F53"/>
  <sheetViews>
    <sheetView workbookViewId="0">
      <selection activeCell="D1" sqref="D1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85</v>
      </c>
      <c r="D1" t="s">
        <v>107</v>
      </c>
      <c r="E1" t="s">
        <v>110</v>
      </c>
      <c r="F1" t="s">
        <v>121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113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114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111</v>
      </c>
      <c r="B41" t="s">
        <v>112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120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50" spans="1:2">
      <c r="A50" t="s">
        <v>135</v>
      </c>
    </row>
    <row r="51" spans="1:2">
      <c r="A51" t="s">
        <v>115</v>
      </c>
    </row>
    <row r="52" spans="1:2">
      <c r="A52" t="s">
        <v>116</v>
      </c>
      <c r="B52" t="s">
        <v>117</v>
      </c>
    </row>
    <row r="53" spans="1:2">
      <c r="A53" t="s">
        <v>118</v>
      </c>
      <c r="B53" t="s">
        <v>119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workbookViewId="0">
      <selection activeCell="H11" sqref="H11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137</v>
      </c>
      <c r="D1" t="s">
        <v>136</v>
      </c>
      <c r="E1" t="s">
        <v>110</v>
      </c>
      <c r="F1" t="s">
        <v>121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113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114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111</v>
      </c>
      <c r="B41" t="s">
        <v>112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120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2">
      <c r="A50" t="s">
        <v>135</v>
      </c>
    </row>
    <row r="51" spans="1:2">
      <c r="A51" t="s">
        <v>115</v>
      </c>
    </row>
    <row r="52" spans="1:2">
      <c r="A52" t="s">
        <v>116</v>
      </c>
      <c r="B52" t="s">
        <v>117</v>
      </c>
    </row>
    <row r="53" spans="1:2">
      <c r="A53" t="s">
        <v>118</v>
      </c>
      <c r="B53" t="s">
        <v>119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11"/>
  <sheetViews>
    <sheetView topLeftCell="A58" workbookViewId="0">
      <selection activeCell="D71" sqref="D71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141</v>
      </c>
      <c r="D1" t="s">
        <v>142</v>
      </c>
      <c r="E1" t="s">
        <v>143</v>
      </c>
      <c r="F1" t="s">
        <v>108</v>
      </c>
      <c r="G1" t="s">
        <v>109</v>
      </c>
      <c r="H1" t="s">
        <v>145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146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99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147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99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151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150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29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149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144</v>
      </c>
    </row>
    <row r="103" spans="1:8">
      <c r="A103" t="s">
        <v>97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148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1"/>
  <sheetViews>
    <sheetView tabSelected="1" topLeftCell="A97" workbookViewId="0">
      <selection activeCell="K109" sqref="K109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141</v>
      </c>
      <c r="D1" t="s">
        <v>142</v>
      </c>
      <c r="E1" t="s">
        <v>143</v>
      </c>
      <c r="F1" t="s">
        <v>108</v>
      </c>
      <c r="G1" t="s">
        <v>109</v>
      </c>
      <c r="H1" t="s">
        <v>145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5" si="0">F2/1000</f>
        <v>177.79150000000001</v>
      </c>
      <c r="H2" t="s">
        <v>146</v>
      </c>
    </row>
    <row r="3" spans="1:8">
      <c r="A3" t="s">
        <v>19</v>
      </c>
      <c r="B3" t="s">
        <v>20</v>
      </c>
      <c r="C3">
        <v>344.24799999999993</v>
      </c>
      <c r="F3">
        <f>MIN(Table37[[#This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MIN(Table37[[#This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MIN(Table37[[#This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MIN(Table37[[#This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1397.2</v>
      </c>
      <c r="F8">
        <f>MIN(Table37[[#This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MIN(Table37[[#This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MIN(Table37[[#This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MIN(Table37[[#This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MIN(Table37[[#This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MIN(Table37[[#This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MIN(Table37[[#This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MIN(Table37[[#This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MIN(Table37[[#This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MIN(Table37[[#This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MIN(Table37[[#This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MIN(Table37[[#This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MIN(Table37[[#This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MIN(Table37[[#This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MIN(Table37[[#This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MIN(Table37[[#This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MIN(Table37[[#This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D30">
        <v>0</v>
      </c>
      <c r="F30">
        <f>MIN(Table37[[#This Row],[GWh/d '[capacity map']]:[GWh/d '[transparency map']]])*365</f>
        <v>0</v>
      </c>
      <c r="G30">
        <f t="shared" si="0"/>
        <v>0</v>
      </c>
    </row>
    <row r="31" spans="1:7">
      <c r="A31" t="s">
        <v>49</v>
      </c>
      <c r="B31" t="s">
        <v>19</v>
      </c>
      <c r="C31">
        <v>2210.5639999999999</v>
      </c>
      <c r="D31">
        <v>1226</v>
      </c>
      <c r="F31">
        <f>MIN(Table37[[#This Row],[GWh/d '[capacity map']]:[GWh/d '[transparency map']]])*365</f>
        <v>447490</v>
      </c>
      <c r="G31">
        <f t="shared" si="0"/>
        <v>447.49</v>
      </c>
    </row>
    <row r="32" spans="1:7">
      <c r="A32" t="s">
        <v>19</v>
      </c>
      <c r="B32" t="s">
        <v>26</v>
      </c>
      <c r="C32">
        <v>136.11199999999999</v>
      </c>
      <c r="F32">
        <f>MIN(Table37[[#This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MIN(Table37[[#This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MIN(Table37[[#This Row],[GWh/d '[capacity map']]:[GWh/d '[transparency map']]])*365</f>
        <v>0</v>
      </c>
      <c r="G34">
        <f t="shared" si="0"/>
        <v>0</v>
      </c>
    </row>
    <row r="35" spans="1:7">
      <c r="A35" t="s">
        <v>55</v>
      </c>
      <c r="B35" t="s">
        <v>54</v>
      </c>
      <c r="E35">
        <v>32.802250000000008</v>
      </c>
      <c r="F35">
        <f>MIN(Table37[[#This Row],[GWh/d '[capacity map']]:[GWh/d '[transparency map']]])*365</f>
        <v>11972.821250000003</v>
      </c>
      <c r="G35">
        <f t="shared" si="0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MIN(Table37[[#This Row],[GWh/d '[capacity map']]:[GWh/d '[transparency map']]])*365</f>
        <v>60068.78</v>
      </c>
      <c r="G36">
        <f t="shared" si="0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MIN(Table37[[#This Row],[GWh/d '[capacity map']]:[GWh/d '[transparency map']]])*365</f>
        <v>29200</v>
      </c>
      <c r="G37">
        <f t="shared" si="0"/>
        <v>29.2</v>
      </c>
    </row>
    <row r="38" spans="1:7">
      <c r="A38" t="s">
        <v>99</v>
      </c>
      <c r="B38" t="s">
        <v>37</v>
      </c>
      <c r="D38">
        <v>31.92</v>
      </c>
      <c r="F38">
        <f>MIN(Table37[[#This Row],[GWh/d '[capacity map']]:[GWh/d '[transparency map']]])*365</f>
        <v>11650.800000000001</v>
      </c>
      <c r="G38">
        <f t="shared" si="0"/>
        <v>11.6508</v>
      </c>
    </row>
    <row r="39" spans="1:7">
      <c r="A39" t="s">
        <v>50</v>
      </c>
      <c r="B39" t="s">
        <v>37</v>
      </c>
      <c r="C39">
        <v>731.7</v>
      </c>
      <c r="D39">
        <v>337.1</v>
      </c>
      <c r="F39">
        <f>MIN(Table37[[#This Row],[GWh/d '[capacity map']]:[GWh/d '[transparency map']]])*365</f>
        <v>123041.50000000001</v>
      </c>
      <c r="G39">
        <f t="shared" si="0"/>
        <v>123.04150000000001</v>
      </c>
    </row>
    <row r="40" spans="1:7">
      <c r="A40" t="s">
        <v>41</v>
      </c>
      <c r="B40" t="s">
        <v>55</v>
      </c>
      <c r="D40">
        <v>0</v>
      </c>
      <c r="F40">
        <f>MIN(Table37[[#This Row],[GWh/d '[capacity map']]:[GWh/d '[transparency map']]])*365</f>
        <v>0</v>
      </c>
      <c r="G40">
        <f t="shared" si="0"/>
        <v>0</v>
      </c>
    </row>
    <row r="41" spans="1:7">
      <c r="A41" t="s">
        <v>54</v>
      </c>
      <c r="B41" t="s">
        <v>55</v>
      </c>
      <c r="E41">
        <v>61.341321000000001</v>
      </c>
      <c r="F41">
        <f>MIN(Table37[[#This Row],[GWh/d '[capacity map']]:[GWh/d '[transparency map']]])*365</f>
        <v>22389.582165</v>
      </c>
      <c r="G41">
        <f t="shared" si="0"/>
        <v>22.389582165</v>
      </c>
    </row>
    <row r="42" spans="1:7">
      <c r="A42" t="s">
        <v>17</v>
      </c>
      <c r="B42" t="s">
        <v>25</v>
      </c>
      <c r="C42">
        <v>870</v>
      </c>
      <c r="F42">
        <f>MIN(Table37[[#This Row],[GWh/d '[capacity map']]:[GWh/d '[transparency map']]])*365</f>
        <v>317550</v>
      </c>
      <c r="G42">
        <f t="shared" si="0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MIN(Table37[[#This Row],[GWh/d '[capacity map']]:[GWh/d '[transparency map']]])*365</f>
        <v>224006.34</v>
      </c>
      <c r="G43">
        <f t="shared" si="0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MIN(Table37[[#This Row],[GWh/d '[capacity map']]:[GWh/d '[transparency map']]])*365</f>
        <v>36500</v>
      </c>
      <c r="G44">
        <f t="shared" si="0"/>
        <v>36.5</v>
      </c>
    </row>
    <row r="45" spans="1:7">
      <c r="A45" t="s">
        <v>37</v>
      </c>
      <c r="B45" t="s">
        <v>25</v>
      </c>
      <c r="C45">
        <v>224.4</v>
      </c>
      <c r="F45">
        <f>MIN(Table37[[#This Row],[GWh/d '[capacity map']]:[GWh/d '[transparency map']]])*365</f>
        <v>81906</v>
      </c>
      <c r="G45">
        <f t="shared" si="0"/>
        <v>81.906000000000006</v>
      </c>
    </row>
    <row r="46" spans="1:7">
      <c r="A46" t="s">
        <v>49</v>
      </c>
      <c r="B46" t="s">
        <v>25</v>
      </c>
      <c r="C46">
        <v>570</v>
      </c>
      <c r="D46">
        <v>568.5</v>
      </c>
      <c r="F46">
        <f>MIN(Table37[[#This Row],[GWh/d '[capacity map']]:[GWh/d '[transparency map']]])*365</f>
        <v>207502.5</v>
      </c>
      <c r="G46">
        <f t="shared" si="0"/>
        <v>207.5025</v>
      </c>
    </row>
    <row r="47" spans="1:7">
      <c r="A47" t="s">
        <v>32</v>
      </c>
      <c r="B47" t="s">
        <v>33</v>
      </c>
      <c r="C47">
        <v>117.8</v>
      </c>
      <c r="F47">
        <f>MIN(Table37[[#This Row],[GWh/d '[capacity map']]:[GWh/d '[transparency map']]])*365</f>
        <v>42997</v>
      </c>
      <c r="G47">
        <f t="shared" si="0"/>
        <v>42.997</v>
      </c>
    </row>
    <row r="48" spans="1:7">
      <c r="A48" t="s">
        <v>47</v>
      </c>
      <c r="B48" t="s">
        <v>33</v>
      </c>
      <c r="C48">
        <v>398.6</v>
      </c>
      <c r="F48">
        <f>MIN(Table37[[#This Row],[GWh/d '[capacity map']]:[GWh/d '[transparency map']]])*365</f>
        <v>145489</v>
      </c>
      <c r="G48">
        <f t="shared" si="0"/>
        <v>145.489</v>
      </c>
    </row>
    <row r="49" spans="1:7">
      <c r="A49" t="s">
        <v>23</v>
      </c>
      <c r="B49" t="s">
        <v>24</v>
      </c>
      <c r="C49">
        <v>53.7</v>
      </c>
      <c r="F49">
        <f>MIN(Table37[[#This Row],[GWh/d '[capacity map']]:[GWh/d '[transparency map']]])*365</f>
        <v>19600.5</v>
      </c>
      <c r="G49">
        <f t="shared" si="0"/>
        <v>19.6005</v>
      </c>
    </row>
    <row r="50" spans="1:7">
      <c r="A50" t="s">
        <v>30</v>
      </c>
      <c r="B50" t="s">
        <v>24</v>
      </c>
      <c r="C50">
        <v>77.400000000000006</v>
      </c>
      <c r="F50">
        <f>MIN(Table37[[#This Row],[GWh/d '[capacity map']]:[GWh/d '[transparency map']]])*365</f>
        <v>28251.000000000004</v>
      </c>
      <c r="G50">
        <f t="shared" si="0"/>
        <v>28.251000000000005</v>
      </c>
    </row>
    <row r="51" spans="1:7">
      <c r="A51" t="s">
        <v>20</v>
      </c>
      <c r="B51" t="s">
        <v>30</v>
      </c>
      <c r="C51">
        <v>153.1</v>
      </c>
      <c r="F51">
        <f>MIN(Table37[[#This Row],[GWh/d '[capacity map']]:[GWh/d '[transparency map']]])*365</f>
        <v>55881.5</v>
      </c>
      <c r="G51">
        <f t="shared" si="0"/>
        <v>55.881500000000003</v>
      </c>
    </row>
    <row r="52" spans="1:7">
      <c r="A52" t="s">
        <v>24</v>
      </c>
      <c r="B52" t="s">
        <v>30</v>
      </c>
      <c r="C52">
        <v>48.57</v>
      </c>
      <c r="F52">
        <f>MIN(Table37[[#This Row],[GWh/d '[capacity map']]:[GWh/d '[transparency map']]])*365</f>
        <v>17728.05</v>
      </c>
      <c r="G52">
        <f t="shared" si="0"/>
        <v>17.72805</v>
      </c>
    </row>
    <row r="53" spans="1:7">
      <c r="A53" t="s">
        <v>29</v>
      </c>
      <c r="B53" t="s">
        <v>30</v>
      </c>
      <c r="C53">
        <v>128.9</v>
      </c>
      <c r="F53">
        <f>MIN(Table37[[#This Row],[GWh/d '[capacity map']]:[GWh/d '[transparency map']]])*365</f>
        <v>47048.5</v>
      </c>
      <c r="G53">
        <f t="shared" si="0"/>
        <v>47.048499999999997</v>
      </c>
    </row>
    <row r="54" spans="1:7">
      <c r="A54" t="s">
        <v>34</v>
      </c>
      <c r="B54" t="s">
        <v>30</v>
      </c>
      <c r="C54">
        <v>50.3</v>
      </c>
      <c r="F54">
        <f>MIN(Table37[[#This Row],[GWh/d '[capacity map']]:[GWh/d '[transparency map']]])*365</f>
        <v>18359.5</v>
      </c>
      <c r="G54">
        <f t="shared" si="0"/>
        <v>18.359500000000001</v>
      </c>
    </row>
    <row r="55" spans="1:7">
      <c r="A55" t="s">
        <v>39</v>
      </c>
      <c r="B55" t="s">
        <v>30</v>
      </c>
      <c r="C55">
        <v>515.6</v>
      </c>
      <c r="D55">
        <v>84.77</v>
      </c>
      <c r="F55">
        <f>MIN(Table37[[#This Row],[GWh/d '[capacity map']]:[GWh/d '[transparency map']]])*365</f>
        <v>30941.05</v>
      </c>
      <c r="G55">
        <f t="shared" si="0"/>
        <v>30.941050000000001</v>
      </c>
    </row>
    <row r="56" spans="1:7">
      <c r="A56" t="s">
        <v>31</v>
      </c>
      <c r="B56" t="s">
        <v>30</v>
      </c>
      <c r="D56">
        <v>245.8</v>
      </c>
      <c r="F56">
        <f>MIN(Table37[[#This Row],[GWh/d '[capacity map']]:[GWh/d '[transparency map']]])*365</f>
        <v>89717</v>
      </c>
      <c r="G56">
        <f t="shared" si="0"/>
        <v>89.716999999999999</v>
      </c>
    </row>
    <row r="57" spans="1:7">
      <c r="A57" t="s">
        <v>11</v>
      </c>
      <c r="B57" t="s">
        <v>44</v>
      </c>
      <c r="C57">
        <v>386.9</v>
      </c>
      <c r="D57">
        <v>385</v>
      </c>
      <c r="F57">
        <f>MIN(Table37[[#This Row],[GWh/d '[capacity map']]:[GWh/d '[transparency map']]])*365</f>
        <v>140525</v>
      </c>
      <c r="G57">
        <f t="shared" si="0"/>
        <v>140.52500000000001</v>
      </c>
    </row>
    <row r="58" spans="1:7">
      <c r="A58" t="s">
        <v>20</v>
      </c>
      <c r="B58" t="s">
        <v>21</v>
      </c>
      <c r="C58">
        <v>1150</v>
      </c>
      <c r="F58">
        <f>MIN(Table37[[#This Row],[GWh/d '[capacity map']]:[GWh/d '[transparency map']]])*365</f>
        <v>419750</v>
      </c>
      <c r="G58">
        <f t="shared" si="0"/>
        <v>419.75</v>
      </c>
    </row>
    <row r="59" spans="1:7">
      <c r="A59" t="s">
        <v>22</v>
      </c>
      <c r="B59" t="s">
        <v>21</v>
      </c>
      <c r="C59">
        <v>640.4</v>
      </c>
      <c r="F59">
        <f>MIN(Table37[[#This Row],[GWh/d '[capacity map']]:[GWh/d '[transparency map']]])*365</f>
        <v>233746</v>
      </c>
      <c r="G59">
        <f t="shared" si="0"/>
        <v>233.74600000000001</v>
      </c>
    </row>
    <row r="60" spans="1:7">
      <c r="A60" t="s">
        <v>23</v>
      </c>
      <c r="B60" t="s">
        <v>21</v>
      </c>
      <c r="C60">
        <v>21.5</v>
      </c>
      <c r="F60">
        <f>MIN(Table37[[#This Row],[GWh/d '[capacity map']]:[GWh/d '[transparency map']]])*365</f>
        <v>7847.5</v>
      </c>
      <c r="G60">
        <f t="shared" si="0"/>
        <v>7.8475000000000001</v>
      </c>
    </row>
    <row r="61" spans="1:7">
      <c r="A61" t="s">
        <v>42</v>
      </c>
      <c r="B61" t="s">
        <v>21</v>
      </c>
      <c r="C61">
        <v>487.1</v>
      </c>
      <c r="F61">
        <f>MIN(Table37[[#This Row],[GWh/d '[capacity map']]:[GWh/d '[transparency map']]])*365</f>
        <v>177791.5</v>
      </c>
      <c r="G61">
        <f t="shared" si="0"/>
        <v>177.79150000000001</v>
      </c>
    </row>
    <row r="62" spans="1:7">
      <c r="A62" t="s">
        <v>51</v>
      </c>
      <c r="B62" t="s">
        <v>21</v>
      </c>
      <c r="C62">
        <v>1138.0999999999999</v>
      </c>
      <c r="D62">
        <v>1154</v>
      </c>
      <c r="F62">
        <f>MIN(Table37[[#This Row],[GWh/d '[capacity map']]:[GWh/d '[transparency map']]])*365</f>
        <v>415406.49999999994</v>
      </c>
      <c r="G62">
        <f t="shared" si="0"/>
        <v>415.40649999999994</v>
      </c>
    </row>
    <row r="63" spans="1:7">
      <c r="A63" t="s">
        <v>52</v>
      </c>
      <c r="B63" t="s">
        <v>21</v>
      </c>
      <c r="C63">
        <v>475.8</v>
      </c>
      <c r="D63">
        <v>493.7</v>
      </c>
      <c r="F63">
        <f>MIN(Table37[[#This Row],[GWh/d '[capacity map']]:[GWh/d '[transparency map']]])*365</f>
        <v>173667</v>
      </c>
      <c r="G63">
        <f t="shared" si="0"/>
        <v>173.667</v>
      </c>
    </row>
    <row r="64" spans="1:7">
      <c r="A64" t="s">
        <v>36</v>
      </c>
      <c r="B64" t="s">
        <v>35</v>
      </c>
      <c r="C64">
        <v>65.099999999999994</v>
      </c>
      <c r="F64">
        <f>MIN(Table37[[#This Row],[GWh/d '[capacity map']]:[GWh/d '[transparency map']]])*365</f>
        <v>23761.499999999996</v>
      </c>
      <c r="G64">
        <f t="shared" si="0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MIN(Table37[[#This Row],[GWh/d '[capacity map']]:[GWh/d '[transparency map']]])*365</f>
        <v>118770.99999999999</v>
      </c>
      <c r="G65">
        <f t="shared" si="0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MIN(Table37[[#This Row],[GWh/d '[capacity map']]:[GWh/d '[transparency map']]])*365</f>
        <v>9749.15</v>
      </c>
      <c r="G66">
        <f t="shared" ref="G66:G111" si="1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MIN(Table37[[#This Row],[GWh/d '[capacity map']]:[GWh/d '[transparency map']]])*365</f>
        <v>15320.342829999998</v>
      </c>
      <c r="G67">
        <f t="shared" si="1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MIN(Table37[[#This Row],[GWh/d '[capacity map']]:[GWh/d '[transparency map']]])*365</f>
        <v>24673.999999999996</v>
      </c>
      <c r="G68">
        <f t="shared" si="1"/>
        <v>24.673999999999996</v>
      </c>
    </row>
    <row r="69" spans="1:8">
      <c r="A69" t="s">
        <v>41</v>
      </c>
      <c r="B69" t="s">
        <v>36</v>
      </c>
      <c r="D69">
        <v>0</v>
      </c>
      <c r="F69">
        <f>MIN(Table37[[#This Row],[GWh/d '[capacity map']]:[GWh/d '[transparency map']]])*365</f>
        <v>0</v>
      </c>
      <c r="G69">
        <f t="shared" si="1"/>
        <v>0</v>
      </c>
    </row>
    <row r="70" spans="1:8">
      <c r="A70" t="s">
        <v>54</v>
      </c>
      <c r="B70" t="s">
        <v>36</v>
      </c>
      <c r="E70">
        <v>67.7</v>
      </c>
      <c r="F70">
        <f>MIN(Table37[[#This Row],[GWh/d '[capacity map']]:[GWh/d '[transparency map']]])*365</f>
        <v>24710.5</v>
      </c>
      <c r="G70">
        <f t="shared" si="1"/>
        <v>24.7105</v>
      </c>
    </row>
    <row r="71" spans="1:8">
      <c r="A71" t="s">
        <v>50</v>
      </c>
      <c r="B71" t="s">
        <v>99</v>
      </c>
      <c r="D71">
        <v>31.92</v>
      </c>
      <c r="F71">
        <f>MIN(Table37[[#This Row],[GWh/d '[capacity map']]:[GWh/d '[transparency map']]])*365</f>
        <v>11650.800000000001</v>
      </c>
      <c r="G71">
        <f t="shared" si="1"/>
        <v>11.6508</v>
      </c>
      <c r="H71" t="s">
        <v>151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MIN(Table37[[#This Row],[GWh/d '[capacity map']]:[GWh/d '[transparency map']]])*365</f>
        <v>5876.5000000000009</v>
      </c>
      <c r="G72">
        <f t="shared" si="1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MIN(Table37[[#This Row],[GWh/d '[capacity map']]:[GWh/d '[transparency map']]])*365</f>
        <v>93243.073199800012</v>
      </c>
      <c r="G73">
        <f t="shared" si="1"/>
        <v>93.243073199800008</v>
      </c>
    </row>
    <row r="74" spans="1:8">
      <c r="A74" t="s">
        <v>32</v>
      </c>
      <c r="B74" t="s">
        <v>46</v>
      </c>
      <c r="C74">
        <v>27.38</v>
      </c>
      <c r="D74">
        <v>33.28</v>
      </c>
      <c r="F74">
        <f>MIN(Table37[[#This Row],[GWh/d '[capacity map']]:[GWh/d '[transparency map']]])*365</f>
        <v>9993.6999999999989</v>
      </c>
      <c r="G74">
        <f t="shared" si="1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MIN(Table37[[#This Row],[GWh/d '[capacity map']]:[GWh/d '[transparency map']]])*365</f>
        <v>120888</v>
      </c>
      <c r="G75">
        <f t="shared" si="1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MIN(Table37[[#This Row],[GWh/d '[capacity map']]:[GWh/d '[transparency map']]])*365</f>
        <v>594330.59500000009</v>
      </c>
      <c r="G76">
        <f t="shared" si="1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MIN(Table37[[#This Row],[GWh/d '[capacity map']]:[GWh/d '[transparency map']]])*365</f>
        <v>351714</v>
      </c>
      <c r="G77">
        <f t="shared" si="1"/>
        <v>351.714</v>
      </c>
    </row>
    <row r="78" spans="1:8">
      <c r="A78" t="s">
        <v>11</v>
      </c>
      <c r="B78" t="s">
        <v>18</v>
      </c>
      <c r="C78">
        <v>494.4</v>
      </c>
      <c r="F78">
        <f>MIN(Table37[[#This Row],[GWh/d '[capacity map']]:[GWh/d '[transparency map']]])*365</f>
        <v>180456</v>
      </c>
      <c r="G78">
        <f t="shared" si="1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MIN(Table37[[#This Row],[GWh/d '[capacity map']]:[GWh/d '[transparency map']]])*365</f>
        <v>85227.5</v>
      </c>
      <c r="G79">
        <f t="shared" si="1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MIN(Table37[[#This Row],[GWh/d '[capacity map']]:[GWh/d '[transparency map']]])*365</f>
        <v>10220</v>
      </c>
      <c r="G80">
        <f t="shared" si="1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MIN(Table37[[#This Row],[GWh/d '[capacity map']]:[GWh/d '[transparency map']]])*365</f>
        <v>49494</v>
      </c>
      <c r="G81">
        <f t="shared" si="1"/>
        <v>49.494</v>
      </c>
    </row>
    <row r="82" spans="1:8">
      <c r="A82" t="s">
        <v>53</v>
      </c>
      <c r="B82" t="s">
        <v>27</v>
      </c>
      <c r="C82">
        <v>1203.4999999999998</v>
      </c>
      <c r="D82">
        <v>0</v>
      </c>
      <c r="F82">
        <f>MIN(Table37[[#This Row],[GWh/d '[capacity map']]:[GWh/d '[transparency map']]])*365</f>
        <v>0</v>
      </c>
      <c r="G82">
        <f t="shared" si="1"/>
        <v>0</v>
      </c>
    </row>
    <row r="83" spans="1:8">
      <c r="A83" t="s">
        <v>37</v>
      </c>
      <c r="B83" t="s">
        <v>38</v>
      </c>
      <c r="C83">
        <v>144</v>
      </c>
      <c r="F83">
        <f>MIN(Table37[[#This Row],[GWh/d '[capacity map']]:[GWh/d '[transparency map']]])*365</f>
        <v>52560</v>
      </c>
      <c r="G83">
        <f t="shared" si="1"/>
        <v>52.56</v>
      </c>
    </row>
    <row r="84" spans="1:8">
      <c r="A84" t="s">
        <v>30</v>
      </c>
      <c r="B84" t="s">
        <v>34</v>
      </c>
      <c r="C84">
        <v>77.5</v>
      </c>
      <c r="F84">
        <f>MIN(Table37[[#This Row],[GWh/d '[capacity map']]:[GWh/d '[transparency map']]])*365</f>
        <v>28287.5</v>
      </c>
      <c r="G84">
        <f t="shared" si="1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MIN(Table37[[#This Row],[GWh/d '[capacity map']]:[GWh/d '[transparency map']]])*365</f>
        <v>54074.75</v>
      </c>
      <c r="G85">
        <f t="shared" si="1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0</v>
      </c>
      <c r="F86">
        <f>MIN(Table37[[#This Row],[GWh/d '[capacity map']]:[GWh/d '[transparency map']]])*365</f>
        <v>0</v>
      </c>
      <c r="G86">
        <f t="shared" si="1"/>
        <v>0</v>
      </c>
    </row>
    <row r="87" spans="1:8">
      <c r="A87" t="s">
        <v>40</v>
      </c>
      <c r="B87" t="s">
        <v>34</v>
      </c>
      <c r="C87">
        <v>2.2000000000000002</v>
      </c>
      <c r="F87">
        <f>MIN(Table37[[#This Row],[GWh/d '[capacity map']]:[GWh/d '[transparency map']]])*365</f>
        <v>803.00000000000011</v>
      </c>
      <c r="G87">
        <f t="shared" si="1"/>
        <v>0.80300000000000016</v>
      </c>
    </row>
    <row r="88" spans="1:8">
      <c r="A88" t="s">
        <v>30</v>
      </c>
      <c r="B88" t="s">
        <v>31</v>
      </c>
      <c r="C88">
        <v>142</v>
      </c>
      <c r="D88">
        <v>245.8</v>
      </c>
      <c r="F88">
        <f>MIN(Table37[[#This Row],[GWh/d '[capacity map']]:[GWh/d '[transparency map']]])*365</f>
        <v>51830</v>
      </c>
      <c r="G88">
        <f t="shared" si="1"/>
        <v>51.83</v>
      </c>
    </row>
    <row r="89" spans="1:8">
      <c r="A89" t="s">
        <v>32</v>
      </c>
      <c r="B89" t="s">
        <v>31</v>
      </c>
      <c r="C89">
        <v>398.13</v>
      </c>
      <c r="D89">
        <v>467.5</v>
      </c>
      <c r="F89">
        <f>MIN(Table37[[#This Row],[GWh/d '[capacity map']]:[GWh/d '[transparency map']]])*365</f>
        <v>145317.45000000001</v>
      </c>
      <c r="G89">
        <f t="shared" si="1"/>
        <v>145.31745000000001</v>
      </c>
    </row>
    <row r="90" spans="1:8">
      <c r="A90" t="s">
        <v>35</v>
      </c>
      <c r="B90" t="s">
        <v>41</v>
      </c>
      <c r="C90">
        <v>114.2</v>
      </c>
      <c r="F90">
        <f>MIN(Table37[[#This Row],[GWh/d '[capacity map']]:[GWh/d '[transparency map']]])*365</f>
        <v>41683</v>
      </c>
      <c r="G90">
        <f t="shared" si="1"/>
        <v>41.683</v>
      </c>
    </row>
    <row r="91" spans="1:8">
      <c r="A91" t="s">
        <v>36</v>
      </c>
      <c r="B91" t="s">
        <v>41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</row>
    <row r="92" spans="1:8">
      <c r="A92" t="s">
        <v>26</v>
      </c>
      <c r="B92" t="s">
        <v>83</v>
      </c>
      <c r="E92">
        <v>30</v>
      </c>
      <c r="F92">
        <f>MIN(Table37[[#This Row],[GWh/d '[capacity map']]:[GWh/d '[transparency map']]])*365</f>
        <v>10950</v>
      </c>
      <c r="G92">
        <f t="shared" si="1"/>
        <v>10.95</v>
      </c>
      <c r="H92" t="s">
        <v>150</v>
      </c>
    </row>
    <row r="93" spans="1:8">
      <c r="A93" t="s">
        <v>20</v>
      </c>
      <c r="B93" t="s">
        <v>23</v>
      </c>
      <c r="C93">
        <v>112.5</v>
      </c>
      <c r="F93">
        <f>MIN(Table37[[#This Row],[GWh/d '[capacity map']]:[GWh/d '[transparency map']]])*365</f>
        <v>41062.5</v>
      </c>
      <c r="G93">
        <f t="shared" si="1"/>
        <v>41.0625</v>
      </c>
    </row>
    <row r="94" spans="1:8">
      <c r="A94" t="s">
        <v>21</v>
      </c>
      <c r="B94" t="s">
        <v>23</v>
      </c>
      <c r="C94">
        <v>28.5</v>
      </c>
      <c r="F94">
        <f>MIN(Table37[[#This Row],[GWh/d '[capacity map']]:[GWh/d '[transparency map']]])*365</f>
        <v>10402.5</v>
      </c>
      <c r="G94">
        <f t="shared" si="1"/>
        <v>10.4025</v>
      </c>
    </row>
    <row r="95" spans="1:8">
      <c r="A95" t="s">
        <v>24</v>
      </c>
      <c r="B95" t="s">
        <v>23</v>
      </c>
      <c r="C95">
        <v>7.7</v>
      </c>
      <c r="F95">
        <f>MIN(Table37[[#This Row],[GWh/d '[capacity map']]:[GWh/d '[transparency map']]])*365</f>
        <v>2810.5</v>
      </c>
      <c r="G95">
        <f t="shared" si="1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MIN(Table37[[#This Row],[GWh/d '[capacity map']]:[GWh/d '[transparency map']]])*365</f>
        <v>89972.5</v>
      </c>
      <c r="G96">
        <f t="shared" si="1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MIN(Table37[[#This Row],[GWh/d '[capacity map']]:[GWh/d '[transparency map']]])*365</f>
        <v>454936.00000000006</v>
      </c>
      <c r="G97">
        <f t="shared" si="1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MIN(Table37[[#This Row],[GWh/d '[capacity map']]:[GWh/d '[transparency map']]])*365</f>
        <v>18572.295000000002</v>
      </c>
      <c r="G98">
        <f t="shared" si="1"/>
        <v>18.572295</v>
      </c>
    </row>
    <row r="99" spans="1:8">
      <c r="A99" t="s">
        <v>39</v>
      </c>
      <c r="B99" t="s">
        <v>29</v>
      </c>
      <c r="C99">
        <v>2277.6</v>
      </c>
      <c r="D99">
        <v>1799</v>
      </c>
      <c r="F99">
        <f>MIN(Table37[[#This Row],[GWh/d '[capacity map']]:[GWh/d '[transparency map']]])*365</f>
        <v>656635</v>
      </c>
      <c r="G99">
        <f t="shared" si="1"/>
        <v>656.63499999999999</v>
      </c>
    </row>
    <row r="100" spans="1:8">
      <c r="A100" t="s">
        <v>50</v>
      </c>
      <c r="B100" t="s">
        <v>51</v>
      </c>
      <c r="C100">
        <v>1138.0999999999999</v>
      </c>
      <c r="F100">
        <f>MIN(Table37[[#This Row],[GWh/d '[capacity map']]:[GWh/d '[transparency map']]])*365</f>
        <v>415406.49999999994</v>
      </c>
      <c r="G100">
        <f t="shared" si="1"/>
        <v>415.40649999999994</v>
      </c>
      <c r="H100" t="s">
        <v>149</v>
      </c>
    </row>
    <row r="101" spans="1:8">
      <c r="A101" t="s">
        <v>32</v>
      </c>
      <c r="B101" t="s">
        <v>47</v>
      </c>
      <c r="C101">
        <v>497.16</v>
      </c>
      <c r="D101">
        <v>701.8</v>
      </c>
      <c r="F101">
        <f>MIN(Table37[[#This Row],[GWh/d '[capacity map']]:[GWh/d '[transparency map']]])*365</f>
        <v>181463.40000000002</v>
      </c>
      <c r="G101">
        <f t="shared" si="1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MIN(Table37[[#This Row],[GWh/d '[capacity map']]:[GWh/d '[transparency map']]])*365</f>
        <v>349998.5</v>
      </c>
      <c r="G102">
        <f t="shared" si="1"/>
        <v>349.99849999999998</v>
      </c>
      <c r="H102" t="s">
        <v>144</v>
      </c>
    </row>
    <row r="103" spans="1:8">
      <c r="A103" t="s">
        <v>97</v>
      </c>
      <c r="B103" t="s">
        <v>47</v>
      </c>
      <c r="D103">
        <v>375</v>
      </c>
      <c r="F103">
        <f>MIN(Table37[[#This Row],[GWh/d '[capacity map']]:[GWh/d '[transparency map']]])*365</f>
        <v>136875</v>
      </c>
      <c r="G103">
        <f t="shared" si="1"/>
        <v>136.875</v>
      </c>
      <c r="H103" t="s">
        <v>148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MIN(Table37[[#This Row],[GWh/d '[capacity map']]:[GWh/d '[transparency map']]])*365</f>
        <v>102492</v>
      </c>
      <c r="G104">
        <f t="shared" si="1"/>
        <v>102.492</v>
      </c>
    </row>
    <row r="105" spans="1:8">
      <c r="A105" t="s">
        <v>34</v>
      </c>
      <c r="B105" t="s">
        <v>39</v>
      </c>
      <c r="C105">
        <v>122.2</v>
      </c>
      <c r="F105">
        <f>MIN(Table37[[#This Row],[GWh/d '[capacity map']]:[GWh/d '[transparency map']]])*365</f>
        <v>44603</v>
      </c>
      <c r="G105">
        <f t="shared" si="1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MIN(Table37[[#This Row],[GWh/d '[capacity map']]:[GWh/d '[transparency map']]])*365</f>
        <v>1992720.7302134999</v>
      </c>
      <c r="G106">
        <f t="shared" si="1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MIN(Table37[[#This Row],[GWh/d '[capacity map']]:[GWh/d '[transparency map']]])*365</f>
        <v>29508.973952699998</v>
      </c>
      <c r="G107">
        <f t="shared" si="1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MIN(Table37[[#This Row],[GWh/d '[capacity map']]:[GWh/d '[transparency map']]])*365</f>
        <v>12969.074412800001</v>
      </c>
      <c r="G108">
        <f t="shared" si="1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205.9</v>
      </c>
      <c r="F109">
        <f>MIN(Table37[[#This Row],[GWh/d '[capacity map']]:[GWh/d '[transparency map']]])*365</f>
        <v>75153.5</v>
      </c>
      <c r="G109">
        <f t="shared" si="1"/>
        <v>75.153499999999994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MIN(Table37[[#This Row],[GWh/d '[capacity map']]:[GWh/d '[transparency map']]])*365</f>
        <v>513190</v>
      </c>
      <c r="G110">
        <f t="shared" si="1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MIN(Table37[[#This Row],[GWh/d '[capacity map']]:[GWh/d '[transparency map']]])*365</f>
        <v>180456</v>
      </c>
      <c r="G111">
        <f t="shared" si="1"/>
        <v>180.45599999999999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7" workbookViewId="0">
      <selection activeCell="I21" sqref="I2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108</v>
      </c>
      <c r="E1" t="s">
        <v>109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97</v>
      </c>
      <c r="B3" t="s">
        <v>98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99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100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98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99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126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127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128</v>
      </c>
    </row>
    <row r="31" spans="1:6">
      <c r="A31" t="s">
        <v>41</v>
      </c>
      <c r="B31" t="s">
        <v>53</v>
      </c>
      <c r="F31" t="s">
        <v>129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101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101</v>
      </c>
    </row>
    <row r="37" spans="1:6">
      <c r="A37" t="s">
        <v>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nodes_lng</vt:lpstr>
      <vt:lpstr>nodes_gas_prod_2020</vt:lpstr>
      <vt:lpstr>nodes_gas_prod_2024</vt:lpstr>
      <vt:lpstr>nodes_demand_2020</vt:lpstr>
      <vt:lpstr>nodes_demand_2023</vt:lpstr>
      <vt:lpstr>Connections_2021</vt:lpstr>
      <vt:lpstr>Connections_2024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2025-02-20T18:05:54Z</dcterms:modified>
</cp:coreProperties>
</file>