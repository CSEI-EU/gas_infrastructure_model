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CE7B1050-7080-4E0D-9B82-2904FBC28BE4}" xr6:coauthVersionLast="47" xr6:coauthVersionMax="47" xr10:uidLastSave="{00000000-0000-0000-0000-000000000000}"/>
  <bookViews>
    <workbookView xWindow="-80" yWindow="-80" windowWidth="19360" windowHeight="10240" tabRatio="790" firstSheet="12" activeTab="14" xr2:uid="{00000000-000D-0000-FFFF-FFFF00000000}"/>
  </bookViews>
  <sheets>
    <sheet name="nodes_lng_europe_2020" sheetId="1" r:id="rId1"/>
    <sheet name="nodes_lng_europe_2024" sheetId="15" r:id="rId2"/>
    <sheet name="nodes_lng_europe_2035" sheetId="17" r:id="rId3"/>
    <sheet name="nodes_gas_prod_europe_2020" sheetId="2" r:id="rId4"/>
    <sheet name="nodes_gas_prod_world_2020" sheetId="11" r:id="rId5"/>
    <sheet name="nodes_gas_prod_europe_2024" sheetId="7" r:id="rId6"/>
    <sheet name="nodes_gas_prod_world_2024" sheetId="12" r:id="rId7"/>
    <sheet name="nodes_demand_europe_2020" sheetId="3" r:id="rId8"/>
    <sheet name="nodes_demand_world_2020" sheetId="13" r:id="rId9"/>
    <sheet name="nodes_demand_europe_2024" sheetId="6" r:id="rId10"/>
    <sheet name="nodes_demand_europe_2035" sheetId="18" r:id="rId11"/>
    <sheet name="nodes_demand_europe_2035_SP" sheetId="20" r:id="rId12"/>
    <sheet name="nodes_demand_world_2024" sheetId="14" r:id="rId13"/>
    <sheet name="nodes_demand_europe_2035_AP" sheetId="21" r:id="rId14"/>
    <sheet name="nodes_demand_world_2035" sheetId="19" r:id="rId15"/>
    <sheet name="Connections_2020" sheetId="4" r:id="rId16"/>
    <sheet name="Import_Connections_EU" sheetId="5" r:id="rId17"/>
    <sheet name="Connections_2024" sheetId="8" r:id="rId18"/>
    <sheet name="Global_Connections" sheetId="10" r:id="rId19"/>
    <sheet name="global_LNG_connections_2020" sheetId="9" r:id="rId20"/>
    <sheet name="global_LNG_connections_2024" sheetId="16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20" l="1"/>
  <c r="C2" i="21" l="1"/>
  <c r="D2" i="21" s="1"/>
  <c r="C3" i="21"/>
  <c r="C4" i="21"/>
  <c r="C5" i="21"/>
  <c r="C6" i="21"/>
  <c r="C7" i="21"/>
  <c r="D7" i="21" s="1"/>
  <c r="G7" i="21" s="1"/>
  <c r="C8" i="21"/>
  <c r="C9" i="21"/>
  <c r="D9" i="21" s="1"/>
  <c r="G9" i="21" s="1"/>
  <c r="C10" i="21"/>
  <c r="D10" i="21" s="1"/>
  <c r="C11" i="21"/>
  <c r="C12" i="21"/>
  <c r="C13" i="21"/>
  <c r="C14" i="21"/>
  <c r="C15" i="21"/>
  <c r="D15" i="21" s="1"/>
  <c r="G15" i="21" s="1"/>
  <c r="C16" i="21"/>
  <c r="C17" i="21"/>
  <c r="D17" i="21" s="1"/>
  <c r="G17" i="21" s="1"/>
  <c r="C18" i="21"/>
  <c r="D18" i="21" s="1"/>
  <c r="C19" i="21"/>
  <c r="C20" i="21"/>
  <c r="C21" i="21"/>
  <c r="C22" i="21"/>
  <c r="C23" i="21"/>
  <c r="D23" i="21" s="1"/>
  <c r="G23" i="21" s="1"/>
  <c r="C24" i="21"/>
  <c r="C25" i="21"/>
  <c r="D25" i="21" s="1"/>
  <c r="G25" i="21" s="1"/>
  <c r="C26" i="21"/>
  <c r="D26" i="21" s="1"/>
  <c r="C27" i="21"/>
  <c r="C28" i="21"/>
  <c r="C29" i="21"/>
  <c r="C30" i="21"/>
  <c r="C31" i="21"/>
  <c r="D31" i="21" s="1"/>
  <c r="C32" i="21"/>
  <c r="C33" i="21"/>
  <c r="D33" i="21" s="1"/>
  <c r="C34" i="21"/>
  <c r="D34" i="21" s="1"/>
  <c r="G34" i="21" s="1"/>
  <c r="C35" i="21"/>
  <c r="C36" i="21"/>
  <c r="C37" i="21"/>
  <c r="C38" i="21"/>
  <c r="C39" i="21"/>
  <c r="D39" i="21" s="1"/>
  <c r="C40" i="21"/>
  <c r="C41" i="21"/>
  <c r="D41" i="21" s="1"/>
  <c r="C42" i="21"/>
  <c r="D42" i="21" s="1"/>
  <c r="G42" i="21" s="1"/>
  <c r="D40" i="21"/>
  <c r="G40" i="21" s="1"/>
  <c r="D38" i="21"/>
  <c r="G38" i="21" s="1"/>
  <c r="D37" i="21"/>
  <c r="D36" i="21"/>
  <c r="G36" i="21" s="1"/>
  <c r="D35" i="21"/>
  <c r="D32" i="21"/>
  <c r="D30" i="21"/>
  <c r="D29" i="21"/>
  <c r="D28" i="21"/>
  <c r="D27" i="21"/>
  <c r="F27" i="21" s="1"/>
  <c r="D24" i="21"/>
  <c r="G24" i="21" s="1"/>
  <c r="D22" i="21"/>
  <c r="G22" i="21" s="1"/>
  <c r="D21" i="21"/>
  <c r="G21" i="21" s="1"/>
  <c r="D20" i="21"/>
  <c r="D19" i="21"/>
  <c r="G19" i="21" s="1"/>
  <c r="D16" i="21"/>
  <c r="D14" i="21"/>
  <c r="D13" i="21"/>
  <c r="G13" i="21" s="1"/>
  <c r="D12" i="21"/>
  <c r="D11" i="21"/>
  <c r="G11" i="21" s="1"/>
  <c r="D8" i="21"/>
  <c r="D6" i="21"/>
  <c r="D5" i="21"/>
  <c r="G5" i="21" s="1"/>
  <c r="D4" i="21"/>
  <c r="D3" i="21"/>
  <c r="G3" i="21" s="1"/>
  <c r="D2" i="20"/>
  <c r="D3" i="20"/>
  <c r="D4" i="20"/>
  <c r="D5" i="20"/>
  <c r="D6" i="20"/>
  <c r="F6" i="20" s="1"/>
  <c r="D7" i="20"/>
  <c r="F7" i="20" s="1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F22" i="20" s="1"/>
  <c r="D23" i="20"/>
  <c r="F23" i="20" s="1"/>
  <c r="D24" i="20"/>
  <c r="D25" i="20"/>
  <c r="D26" i="20"/>
  <c r="D27" i="20"/>
  <c r="D28" i="20"/>
  <c r="D29" i="20"/>
  <c r="D30" i="20"/>
  <c r="F30" i="20" s="1"/>
  <c r="D31" i="20"/>
  <c r="F31" i="20" s="1"/>
  <c r="D32" i="20"/>
  <c r="D33" i="20"/>
  <c r="D34" i="20"/>
  <c r="D35" i="20"/>
  <c r="D36" i="20"/>
  <c r="D37" i="20"/>
  <c r="D38" i="20"/>
  <c r="F38" i="20" s="1"/>
  <c r="D39" i="20"/>
  <c r="F39" i="20" s="1"/>
  <c r="D40" i="20"/>
  <c r="D41" i="20"/>
  <c r="D42" i="20"/>
  <c r="F2" i="20"/>
  <c r="F3" i="20"/>
  <c r="F11" i="20"/>
  <c r="F15" i="20"/>
  <c r="F19" i="20"/>
  <c r="F35" i="20"/>
  <c r="F4" i="20"/>
  <c r="F5" i="20"/>
  <c r="F8" i="20"/>
  <c r="F9" i="20"/>
  <c r="F10" i="20"/>
  <c r="F12" i="20"/>
  <c r="F13" i="20"/>
  <c r="F14" i="20"/>
  <c r="F16" i="20"/>
  <c r="F17" i="20"/>
  <c r="F18" i="20"/>
  <c r="F20" i="20"/>
  <c r="F21" i="20"/>
  <c r="F24" i="20"/>
  <c r="F25" i="20"/>
  <c r="F26" i="20"/>
  <c r="F28" i="20"/>
  <c r="F29" i="20"/>
  <c r="F32" i="20"/>
  <c r="F33" i="20"/>
  <c r="F34" i="20"/>
  <c r="F36" i="20"/>
  <c r="F37" i="20"/>
  <c r="F40" i="20"/>
  <c r="F41" i="20"/>
  <c r="F42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3" i="20"/>
  <c r="C4" i="20"/>
  <c r="C2" i="20"/>
  <c r="G2" i="6"/>
  <c r="I2" i="18"/>
  <c r="G2" i="19"/>
  <c r="F2" i="19" s="1"/>
  <c r="G3" i="19"/>
  <c r="F3" i="19" s="1"/>
  <c r="G10" i="19"/>
  <c r="G12" i="19"/>
  <c r="G15" i="19"/>
  <c r="E4" i="19"/>
  <c r="G2" i="14"/>
  <c r="J2" i="18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J33" i="18"/>
  <c r="J34" i="18"/>
  <c r="J35" i="18"/>
  <c r="J36" i="18"/>
  <c r="J37" i="18"/>
  <c r="J38" i="18"/>
  <c r="J39" i="18"/>
  <c r="J40" i="18"/>
  <c r="J41" i="18"/>
  <c r="J42" i="18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F12" i="19" l="1"/>
  <c r="F7" i="19"/>
  <c r="F4" i="19"/>
  <c r="F17" i="19"/>
  <c r="F18" i="19"/>
  <c r="F9" i="19"/>
  <c r="F5" i="19"/>
  <c r="F20" i="19"/>
  <c r="F6" i="19"/>
  <c r="F22" i="19"/>
  <c r="G6" i="21"/>
  <c r="F6" i="21"/>
  <c r="F33" i="21"/>
  <c r="G33" i="21"/>
  <c r="G8" i="21"/>
  <c r="F8" i="21"/>
  <c r="G28" i="21"/>
  <c r="F28" i="21"/>
  <c r="F35" i="21"/>
  <c r="G35" i="21"/>
  <c r="G16" i="21"/>
  <c r="F16" i="21"/>
  <c r="G12" i="21"/>
  <c r="F12" i="21"/>
  <c r="G14" i="21"/>
  <c r="F14" i="21"/>
  <c r="F29" i="21"/>
  <c r="G29" i="21"/>
  <c r="G41" i="21"/>
  <c r="F41" i="21"/>
  <c r="G32" i="21"/>
  <c r="F32" i="21"/>
  <c r="G26" i="21"/>
  <c r="F26" i="21"/>
  <c r="F39" i="21"/>
  <c r="G39" i="21"/>
  <c r="G4" i="21"/>
  <c r="F4" i="21"/>
  <c r="G20" i="21"/>
  <c r="F20" i="21"/>
  <c r="G30" i="21"/>
  <c r="F30" i="21"/>
  <c r="G2" i="21"/>
  <c r="F2" i="21"/>
  <c r="E27" i="21"/>
  <c r="G31" i="21" s="1"/>
  <c r="G18" i="21"/>
  <c r="F18" i="21"/>
  <c r="G10" i="21"/>
  <c r="F10" i="21"/>
  <c r="F31" i="21"/>
  <c r="F37" i="21"/>
  <c r="G37" i="21"/>
  <c r="F3" i="21"/>
  <c r="F5" i="21"/>
  <c r="F7" i="21"/>
  <c r="F9" i="21"/>
  <c r="F11" i="21"/>
  <c r="F13" i="21"/>
  <c r="F15" i="21"/>
  <c r="F17" i="21"/>
  <c r="F19" i="21"/>
  <c r="F21" i="21"/>
  <c r="F23" i="21"/>
  <c r="F25" i="21"/>
  <c r="G27" i="21"/>
  <c r="F22" i="21"/>
  <c r="F24" i="21"/>
  <c r="F34" i="21"/>
  <c r="F36" i="21"/>
  <c r="F38" i="21"/>
  <c r="F40" i="21"/>
  <c r="F42" i="21"/>
  <c r="E27" i="20"/>
  <c r="G20" i="20" s="1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5" i="18" s="1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G28" i="20" l="1"/>
  <c r="G26" i="20"/>
  <c r="G30" i="20"/>
  <c r="G36" i="20"/>
  <c r="G37" i="20"/>
  <c r="G12" i="20"/>
  <c r="G25" i="20"/>
  <c r="G18" i="20"/>
  <c r="G38" i="20"/>
  <c r="G10" i="20"/>
  <c r="G34" i="20"/>
  <c r="G6" i="20"/>
  <c r="G27" i="20"/>
  <c r="G24" i="20"/>
  <c r="G39" i="20"/>
  <c r="G16" i="20"/>
  <c r="G4" i="20"/>
  <c r="G35" i="20"/>
  <c r="G15" i="20"/>
  <c r="G3" i="20"/>
  <c r="G33" i="20"/>
  <c r="G14" i="20"/>
  <c r="G29" i="20"/>
  <c r="G13" i="20"/>
  <c r="G11" i="20"/>
  <c r="G8" i="20"/>
  <c r="G19" i="20"/>
  <c r="G7" i="20"/>
  <c r="G17" i="20"/>
  <c r="G9" i="20"/>
  <c r="G40" i="20"/>
  <c r="G32" i="20"/>
  <c r="G2" i="20"/>
  <c r="G42" i="20"/>
  <c r="G31" i="20"/>
  <c r="G5" i="20"/>
  <c r="G41" i="20"/>
  <c r="G23" i="20"/>
  <c r="G22" i="20"/>
  <c r="G21" i="20"/>
  <c r="D28" i="18"/>
  <c r="D35" i="18"/>
  <c r="H44" i="18"/>
  <c r="H45" i="18"/>
  <c r="C5" i="18" s="1"/>
  <c r="I5" i="18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C12" i="18" l="1"/>
  <c r="I12" i="18" s="1"/>
  <c r="D34" i="18"/>
  <c r="D4" i="18"/>
  <c r="D20" i="18"/>
  <c r="D33" i="18"/>
  <c r="D27" i="18"/>
  <c r="D15" i="18"/>
  <c r="D36" i="18"/>
  <c r="D21" i="18"/>
  <c r="D37" i="18"/>
  <c r="D17" i="18"/>
  <c r="D7" i="18"/>
  <c r="D3" i="18"/>
  <c r="D18" i="18"/>
  <c r="D19" i="18"/>
  <c r="D42" i="18"/>
  <c r="D5" i="18"/>
  <c r="D26" i="18"/>
  <c r="D9" i="18"/>
  <c r="D12" i="18"/>
  <c r="D39" i="18"/>
  <c r="D6" i="18"/>
  <c r="D22" i="18"/>
  <c r="D8" i="18"/>
  <c r="D30" i="18"/>
  <c r="D2" i="18"/>
  <c r="C2" i="18"/>
  <c r="D23" i="18"/>
  <c r="D32" i="18"/>
  <c r="D41" i="18"/>
  <c r="D14" i="18"/>
  <c r="D13" i="18"/>
  <c r="D25" i="18"/>
  <c r="D29" i="18"/>
  <c r="D11" i="18"/>
  <c r="D31" i="18"/>
  <c r="D10" i="18"/>
  <c r="D40" i="18"/>
  <c r="D38" i="18"/>
  <c r="D16" i="18"/>
  <c r="D24" i="18"/>
  <c r="C16" i="18"/>
  <c r="I16" i="18" s="1"/>
  <c r="C32" i="18"/>
  <c r="I32" i="18" s="1"/>
  <c r="C35" i="18"/>
  <c r="I35" i="18" s="1"/>
  <c r="C36" i="18"/>
  <c r="I36" i="18" s="1"/>
  <c r="C19" i="18"/>
  <c r="I19" i="18" s="1"/>
  <c r="C21" i="18"/>
  <c r="I21" i="18" s="1"/>
  <c r="C13" i="18"/>
  <c r="I13" i="18" s="1"/>
  <c r="C39" i="18"/>
  <c r="I39" i="18" s="1"/>
  <c r="C10" i="18"/>
  <c r="I10" i="18" s="1"/>
  <c r="C26" i="18"/>
  <c r="I26" i="18" s="1"/>
  <c r="C22" i="18"/>
  <c r="I22" i="18" s="1"/>
  <c r="C40" i="18"/>
  <c r="I40" i="18" s="1"/>
  <c r="C41" i="18"/>
  <c r="I41" i="18" s="1"/>
  <c r="C29" i="18"/>
  <c r="I29" i="18" s="1"/>
  <c r="C9" i="18"/>
  <c r="I9" i="18" s="1"/>
  <c r="C25" i="18"/>
  <c r="I25" i="18" s="1"/>
  <c r="C4" i="18"/>
  <c r="I4" i="18" s="1"/>
  <c r="C33" i="18"/>
  <c r="I33" i="18" s="1"/>
  <c r="C34" i="18"/>
  <c r="I34" i="18" s="1"/>
  <c r="C20" i="18"/>
  <c r="I20" i="18" s="1"/>
  <c r="C24" i="18"/>
  <c r="I24" i="18" s="1"/>
  <c r="C30" i="18"/>
  <c r="I30" i="18" s="1"/>
  <c r="C23" i="18"/>
  <c r="I23" i="18" s="1"/>
  <c r="C7" i="18"/>
  <c r="I7" i="18" s="1"/>
  <c r="C3" i="18"/>
  <c r="I3" i="18" s="1"/>
  <c r="C18" i="18"/>
  <c r="I18" i="18" s="1"/>
  <c r="C14" i="18"/>
  <c r="I14" i="18" s="1"/>
  <c r="C42" i="18"/>
  <c r="I42" i="18" s="1"/>
  <c r="C11" i="18"/>
  <c r="I11" i="18" s="1"/>
  <c r="C38" i="18"/>
  <c r="I38" i="18" s="1"/>
  <c r="C6" i="18"/>
  <c r="I6" i="18" s="1"/>
  <c r="C8" i="18"/>
  <c r="I8" i="18" s="1"/>
  <c r="C27" i="18"/>
  <c r="I27" i="18" s="1"/>
  <c r="C17" i="18"/>
  <c r="I17" i="18" s="1"/>
  <c r="C15" i="18"/>
  <c r="I15" i="18" s="1"/>
  <c r="C28" i="18"/>
  <c r="I28" i="18" s="1"/>
  <c r="C31" i="18"/>
  <c r="I31" i="18" s="1"/>
  <c r="C37" i="18"/>
  <c r="I37" i="18" s="1"/>
  <c r="G17" i="12"/>
  <c r="C13" i="14"/>
  <c r="G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3" i="6"/>
  <c r="G21" i="6"/>
  <c r="G31" i="6"/>
  <c r="G5" i="6"/>
  <c r="G41" i="6"/>
  <c r="G32" i="6"/>
</calcChain>
</file>

<file path=xl/sharedStrings.xml><?xml version="1.0" encoding="utf-8"?>
<sst xmlns="http://schemas.openxmlformats.org/spreadsheetml/2006/main" count="3091" uniqueCount="304">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</sst>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6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81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80"/>
    <tableColumn id="5" xr3:uid="{4278F9D8-E46F-44B9-A622-727B8E2C8EF1}" name="Mil m3 EU [2020]" dataDxfId="79"/>
    <tableColumn id="6" xr3:uid="{F2BDB73C-713D-4BC7-B762-048AA072F297}" name="Mrd m3 EU [2020]" dataDxfId="78">
      <calculatedColumnFormula>Table2[[#This Row],[Mil m3 EU '[2020']]]/1000</calculatedColumnFormula>
    </tableColumn>
    <tableColumn id="7" xr3:uid="{337F5DC2-FD6B-445B-A2F7-5464B34B589E}" name="GWh [2020]" dataDxfId="77">
      <calculatedColumnFormula>Table2[[#This Row],[TWh '[2020']2]]*1000</calculatedColumnFormula>
    </tableColumn>
    <tableColumn id="4" xr3:uid="{5BB2DA97-8C23-44BC-9268-BDBE2BCDBBC8}" name="TWh [2020]2" dataDxfId="7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75" headerRowBorderDxfId="74" tableBorderDxfId="73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72">
      <calculatedColumnFormula>Table7[[#This Row],[Mil m3 '[2020']]]/1000</calculatedColumnFormula>
    </tableColumn>
    <tableColumn id="7" xr3:uid="{4A1E0E2A-2ECC-45EB-9D63-EC01B197BAA8}" name="GWh [2020]" dataDxfId="71">
      <calculatedColumnFormula>Table7[[#This Row],[TWh '[2020']2]]*1000</calculatedColumnFormula>
    </tableColumn>
    <tableColumn id="6" xr3:uid="{ECFA587C-DE79-4510-9945-328AB8DBC35F}" name="TWh [2020]2" dataDxfId="70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69"/>
    <tableColumn id="5" xr3:uid="{42F1A333-D727-4655-B618-A9AB5617745F}" name="Mil m3 EU [2020]" dataDxfId="68"/>
    <tableColumn id="6" xr3:uid="{326B3A9A-70B2-4D34-8E01-54CBBD0565E6}" name="Mrd m3 EU [2020]" dataDxfId="67">
      <calculatedColumnFormula>Table26[[#This Row],[Mil m3 EU '[2020']]]/1000</calculatedColumnFormula>
    </tableColumn>
    <tableColumn id="7" xr3:uid="{7EF7045A-D72E-40AA-A523-1A389D57AAF5}" name="GWh [2020]" dataDxfId="66">
      <calculatedColumnFormula>Table26[[#This Row],[TWh '[2020']]]*1000</calculatedColumnFormula>
    </tableColumn>
    <tableColumn id="4" xr3:uid="{DC1916A1-B3CC-4586-AE6D-12CF46A9C0F0}" name="TWh [2020]" dataDxfId="65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64" headerRowBorderDxfId="63" tableBorderDxfId="62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61">
      <calculatedColumnFormula>Table79[[#This Row],[Mil m3 '[2020']]]/1000</calculatedColumnFormula>
    </tableColumn>
    <tableColumn id="7" xr3:uid="{A1AF1224-2FA6-47E0-9ECD-AB8B46DF628B}" name="GWh [2020]" dataDxfId="60">
      <calculatedColumnFormula>Table79[[#This Row],[TWh '[2020']]]*1000</calculatedColumnFormula>
    </tableColumn>
    <tableColumn id="6" xr3:uid="{0CF67BB6-4E02-4893-BB83-4858F32AB909}" name="TWh [2020]" dataDxfId="59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58"/>
    <tableColumn id="4" xr3:uid="{1618AAC4-0782-47C3-91CE-2FEB95FBDD58}" name="TWh [2020]" dataDxfId="57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56">
      <calculatedColumnFormula>IF(Table1[[#This Row],[TWh '[2020']]]=0,$D$27*(E2/$E$27),0)</calculatedColumnFormula>
    </tableColumn>
    <tableColumn id="7" xr3:uid="{53C148C2-CAF7-47BC-9950-964805B82325}" name="GWh [2020]" dataDxfId="55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54" headerRowBorderDxfId="53" tableBorderDxfId="52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51">
      <calculatedColumnFormula>Table7910[[#This Row],[Mil m3 '[2020']]]/1000</calculatedColumnFormula>
    </tableColumn>
    <tableColumn id="7" xr3:uid="{95C698CF-3EBE-40E8-840D-A6C3E41CFB2C}" name="GWh [2020]" dataDxfId="50">
      <calculatedColumnFormula>Table7910[[#This Row],[TWh '[2020']]]*1000</calculatedColumnFormula>
    </tableColumn>
    <tableColumn id="6" xr3:uid="{44160680-3C35-4A7A-9677-B7F78304684A}" name="TWh [2020]" dataDxfId="49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48"/>
    <tableColumn id="4" xr3:uid="{60E83C2D-D521-4D6A-800D-160C3176DFC7}" name="TWh [2023]" dataDxfId="47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46">
      <calculatedColumnFormula>MIN(Table15[[#This Row],[TWh '[2023']]],Table15[[#This Row],[TWh by share]])*1000</calculatedColumnFormula>
    </tableColumn>
    <tableColumn id="6" xr3:uid="{EA1A4D0E-E13A-491B-8024-93E1A98AD8DD}" name="TWh by share" dataDxfId="4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38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37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36"/>
    <tableColumn id="4" xr3:uid="{CFF2A961-5340-417B-A68C-5AA0571EECB8}" name="TWh [2023]" dataDxfId="35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34">
      <calculatedColumnFormula>MIN(Table1515[[#This Row],[TWh '[2023']]],Table1515[[#This Row],[TWh by share]])*1000</calculatedColumnFormula>
    </tableColumn>
    <tableColumn id="10" xr3:uid="{C231D16E-346D-4A6C-BDE3-02DCD7F98838}" name="GWh [2035] SP" dataDxfId="33">
      <calculatedColumnFormula>Table1515[[#This Row],[Mrd m3 '[2035'] SP]]*9.77*-1000</calculatedColumnFormula>
    </tableColumn>
    <tableColumn id="12" xr3:uid="{B7100D75-BF53-4B84-BEA5-5B8213EA443B}" name="GWh [2035] AP" dataDxfId="32">
      <calculatedColumnFormula>Table1515[[#This Row],[Mrd m3 '[2035'] AP]]*9.77*-1000</calculatedColumnFormula>
    </tableColumn>
    <tableColumn id="6" xr3:uid="{38428858-BB77-4254-A9E7-787AC7919612}" name="TWh by share" dataDxfId="31">
      <calculatedColumnFormula>IF(Table1515[[#This Row],[TWh '[2023']]]=0,$F$27*(G2/$G$27),0)</calculatedColumnFormula>
    </tableColumn>
    <tableColumn id="9" xr3:uid="{062339C5-9866-4A10-AB51-65D785DCAE56}" name="EU" dataDxfId="3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29">
      <calculatedColumnFormula>Table1515[[#This Row],[GWh '[2035'] SP]]</calculatedColumnFormula>
    </tableColumn>
    <tableColumn id="4" xr3:uid="{B0F52B8B-7854-4A88-A627-18C628B9FFAB}" name="TWh [2023]" dataDxfId="28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27">
      <calculatedColumnFormula>Table1517[[#This Row],[TWh '[2023']]]*1000</calculatedColumnFormula>
    </tableColumn>
    <tableColumn id="6" xr3:uid="{3EC6FD5C-175B-4AEC-9875-DCE8BEBC18DA}" name="TWh by share" dataDxfId="26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4" headerRowBorderDxfId="43" tableBorderDxfId="42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41">
      <calculatedColumnFormula>Table791011[[#This Row],[Mil m3 '[2020']]]/1000</calculatedColumnFormula>
    </tableColumn>
    <tableColumn id="7" xr3:uid="{800E9158-5DB0-43C4-A644-BF3466322E9E}" name="GWh [2020]" dataDxfId="40">
      <calculatedColumnFormula>Table791011[[#This Row],[TWh '[2020']]]*1000</calculatedColumnFormula>
    </tableColumn>
    <tableColumn id="6" xr3:uid="{28EBAF35-966D-44B9-8859-9AC70136DAAC}" name="TWh [2020]" dataDxfId="39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25">
      <calculatedColumnFormula>Table1515[[#This Row],[GWh '[2035'] AP]]</calculatedColumnFormula>
    </tableColumn>
    <tableColumn id="4" xr3:uid="{242F6F74-7D77-4BEA-9D4C-482848363307}" name="TWh [2023]" dataDxfId="24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23">
      <calculatedColumnFormula>Table151718[[#This Row],[TWh '[2023']]]*1000</calculatedColumnFormula>
    </tableColumn>
    <tableColumn id="6" xr3:uid="{F133F4B6-959B-4931-9BF3-538BD68B0E51}" name="TWh by share" dataDxfId="22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21" headerRowBorderDxfId="20" tableBorderDxfId="19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18">
      <calculatedColumnFormula>Table79101116[[#This Row],[values 2024]]/1000</calculatedColumnFormula>
    </tableColumn>
    <tableColumn id="7" xr3:uid="{DA064D9E-1168-4CB6-B3AA-E50FAC653181}" name="GWh [2020]" dataDxfId="17">
      <calculatedColumnFormula>Table79101116[[#This Row],[TWh '[2020']]]*1000</calculatedColumnFormula>
    </tableColumn>
    <tableColumn id="6" xr3:uid="{EAF9FC8E-89CB-4295-BD8E-F84762361F50}" name="TWh [2020]" dataDxfId="16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1" headerRowBorderDxfId="10" tableBorderDxfId="9" totalsRowBorderDxfId="8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F2" sqref="F2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1"/>
        <v>4</v>
      </c>
      <c r="H7">
        <f t="shared" si="2"/>
        <v>39080</v>
      </c>
      <c r="I7">
        <f t="shared" si="3"/>
        <v>39.08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topLeftCell="A4" workbookViewId="0">
      <selection activeCell="C18" sqref="C18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C25" sqref="C25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A17" sqref="A17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H4" sqref="H4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1796875" customWidth="1"/>
    <col min="15" max="15" width="11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topLeftCell="A29" workbookViewId="0">
      <selection activeCell="H30" sqref="H30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I1" sqref="I1"/>
    </sheetView>
  </sheetViews>
  <sheetFormatPr defaultRowHeight="14.5"/>
  <cols>
    <col min="1" max="1" width="9.54296875" customWidth="1"/>
    <col min="2" max="4" width="20.36328125" customWidth="1"/>
    <col min="5" max="5" width="15" customWidth="1"/>
    <col min="6" max="6" width="12" customWidth="1"/>
    <col min="7" max="7" width="22.1796875" customWidth="1"/>
    <col min="8" max="8" width="10.453125" bestFit="1" customWidth="1"/>
    <col min="9" max="10" width="10.453125" customWidth="1"/>
  </cols>
  <sheetData>
    <row r="1" spans="1:1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1.0021848080126188</v>
      </c>
      <c r="D2">
        <f>IF(Table1515[[#This Row],[EU]]=1,$T$19*Table1515[[#This Row],[GWh '[2020']]]/$H$44,$T$18*Table1515[[#This Row],[GWh '[2020']]]/$H$45)</f>
        <v>0.76166045408959016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-9791.3455742832848</v>
      </c>
      <c r="J2">
        <f>Table1515[[#This Row],[Mrd m3 '[2035'] AP]]*9.77*-1000</f>
        <v>-7441.422636455296</v>
      </c>
      <c r="K2">
        <f>IF(Table1515[[#This Row],[TWh '[2023']]]=0,$F$27*(G2/$G$27),0)</f>
        <v>-9.8563519374511106</v>
      </c>
      <c r="L2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1.2296659696345975</v>
      </c>
      <c r="D5">
        <f>IF(Table1515[[#This Row],[EU]]=1,$T$19*Table1515[[#This Row],[GWh '[2020']]]/$H$44,$T$18*Table1515[[#This Row],[GWh '[2020']]]/$H$45)</f>
        <v>0.93454613692229405</v>
      </c>
      <c r="E5" s="2"/>
      <c r="F5">
        <f>Table1515[[#This Row],[Mrd m3 '[2023']]]*9.77*-1</f>
        <v>0</v>
      </c>
      <c r="G5">
        <v>3492</v>
      </c>
      <c r="H5">
        <f>MIN(Table1515[[#This Row],[TWh '[2023']]],Table1515[[#This Row],[TWh by share]])*1000</f>
        <v>-12093.598371601995</v>
      </c>
      <c r="I5">
        <f>Table1515[[#This Row],[Mrd m3 '[2035'] SP]]*9.77*-1000</f>
        <v>-12013.836523330017</v>
      </c>
      <c r="J5">
        <f>Table1515[[#This Row],[Mrd m3 '[2035'] AP]]*9.77*-1000</f>
        <v>-9130.5157577308128</v>
      </c>
      <c r="K5">
        <f>IF(Table1515[[#This Row],[TWh '[2023']]]=0,$F$27*(G5/$G$27),0)</f>
        <v>-12.093598371601995</v>
      </c>
      <c r="L5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0.90816395638248204</v>
      </c>
      <c r="D22">
        <f>IF(Table1515[[#This Row],[EU]]=1,$T$19*Table1515[[#This Row],[GWh '[2020']]]/$H$44,$T$18*Table1515[[#This Row],[GWh '[2020']]]/$H$45)</f>
        <v>0.69020460685068641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-8872.7618538568495</v>
      </c>
      <c r="J22">
        <f>Table1515[[#This Row],[Mrd m3 '[2035'] AP]]*9.77*-1000</f>
        <v>-6743.2990089312052</v>
      </c>
      <c r="K22">
        <f>IF(Table1515[[#This Row],[TWh '[2023']]]=0,$F$27*(G22/$G$27),0)</f>
        <v>-8.9316695877324026</v>
      </c>
      <c r="L22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0.21899463531379049</v>
      </c>
      <c r="D23">
        <f>IF(Table1515[[#This Row],[EU]]=1,$T$19*Table1515[[#This Row],[GWh '[2020']]]/$H$44,$T$18*Table1515[[#This Row],[GWh '[2020']]]/$H$45)</f>
        <v>0.16643592283848074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-2139.5775870157331</v>
      </c>
      <c r="J23">
        <f>Table1515[[#This Row],[Mrd m3 '[2035'] AP]]*9.77*-1000</f>
        <v>-1626.0789661319568</v>
      </c>
      <c r="K23">
        <f>IF(Table1515[[#This Row],[TWh '[2023']]]=0,$F$27*(G23/$G$27),0)</f>
        <v>-2.1537825965920052</v>
      </c>
      <c r="L23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0.3505452877402605</v>
      </c>
      <c r="D25">
        <f>IF(Table1515[[#This Row],[EU]]=1,$T$19*Table1515[[#This Row],[GWh '[2020']]]/$H$44,$T$18*Table1515[[#This Row],[GWh '[2020']]]/$H$45)</f>
        <v>0.26641441868259796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-3424.8274612223449</v>
      </c>
      <c r="J25">
        <f>Table1515[[#This Row],[Mrd m3 '[2035'] AP]]*9.77*-1000</f>
        <v>-2602.8688705289824</v>
      </c>
      <c r="K25">
        <f>IF(Table1515[[#This Row],[TWh '[2023']]]=0,$F$27*(G25/$G$27),0)</f>
        <v>0</v>
      </c>
      <c r="L25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3.7681926567891075</v>
      </c>
      <c r="D26">
        <f>IF(Table1515[[#This Row],[EU]]=1,$T$19*Table1515[[#This Row],[GWh '[2020']]]/$H$44,$T$18*Table1515[[#This Row],[GWh '[2020']]]/$H$45)</f>
        <v>2.8638264191597216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-36815.242256829581</v>
      </c>
      <c r="J26">
        <f>Table1515[[#This Row],[Mrd m3 '[2035'] AP]]*9.77*-1000</f>
        <v>-27979.584115190479</v>
      </c>
      <c r="K26">
        <f>IF(Table1515[[#This Row],[TWh '[2023']]]=0,$F$27*(G26/$G$27),0)</f>
        <v>0</v>
      </c>
      <c r="L2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6.919582541956979</v>
      </c>
      <c r="D27">
        <f>IF(Table1515[[#This Row],[EU]]=1,$T$19*Table1515[[#This Row],[GWh '[2020']]]/$H$44,$T$18*Table1515[[#This Row],[GWh '[2020']]]/$H$45)</f>
        <v>5.2588827318873044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-67604.321434919679</v>
      </c>
      <c r="J27">
        <f>Table1515[[#This Row],[Mrd m3 '[2035'] AP]]*9.77*-1000</f>
        <v>-51379.284290538963</v>
      </c>
      <c r="K27">
        <f>IF(Table1515[[#This Row],[TWh '[2023']]]=0,$F$27*(G27/$G$27),0)</f>
        <v>0</v>
      </c>
      <c r="L27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2.4391544306609294</v>
      </c>
      <c r="D32">
        <f>IF(Table1515[[#This Row],[EU]]=1,$T$19*Table1515[[#This Row],[GWh '[2020']]]/$H$44,$T$18*Table1515[[#This Row],[GWh '[2020']]]/$H$45)</f>
        <v>1.8537573673023067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-23830.538787557281</v>
      </c>
      <c r="J32">
        <f>Table1515[[#This Row],[Mrd m3 '[2035'] AP]]*9.77*-1000</f>
        <v>-18111.209478543537</v>
      </c>
      <c r="K32">
        <f>IF(Table1515[[#This Row],[TWh '[2023']]]=0,$F$27*(G32/$G$27),0)</f>
        <v>-23.98875367714076</v>
      </c>
      <c r="L32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2.7260242700355777</v>
      </c>
      <c r="D37">
        <f>IF(Table1515[[#This Row],[EU]]=1,$T$19*Table1515[[#This Row],[GWh '[2020']]]/$H$44,$T$18*Table1515[[#This Row],[GWh '[2020']]]/$H$45)</f>
        <v>2.0717784452270389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-26633.257118247591</v>
      </c>
      <c r="J37">
        <f>Table1515[[#This Row],[Mrd m3 '[2035'] AP]]*9.77*-1000</f>
        <v>-20241.275409868169</v>
      </c>
      <c r="K37">
        <f>IF(Table1515[[#This Row],[TWh '[2023']]]=0,$F$27*(G37/$G$27),0)</f>
        <v>0</v>
      </c>
      <c r="L37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48.109938737256186</v>
      </c>
      <c r="D38">
        <f>IF(Table1515[[#This Row],[EU]]=1,$T$19*Table1515[[#This Row],[GWh '[2020']]]/$H$44,$T$18*Table1515[[#This Row],[GWh '[2020']]]/$H$45)</f>
        <v>36.563553440314699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-470034.1014629929</v>
      </c>
      <c r="J38">
        <f>Table1515[[#This Row],[Mrd m3 '[2035'] AP]]*9.77*-1000</f>
        <v>-357225.91711187462</v>
      </c>
      <c r="K38">
        <f>IF(Table1515[[#This Row],[TWh '[2023']]]=0,$F$27*(G38/$G$27),0)</f>
        <v>0</v>
      </c>
      <c r="L38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63.084695072552847</v>
      </c>
      <c r="D39">
        <f>IF(Table1515[[#This Row],[EU]]=1,$T$19*Table1515[[#This Row],[GWh '[2020']]]/$H$44,$T$18*Table1515[[#This Row],[GWh '[2020']]]/$H$45)</f>
        <v>47.944368255140162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-616337.4708588412</v>
      </c>
      <c r="J39">
        <f>Table1515[[#This Row],[Mrd m3 '[2035'] AP]]*9.77*-1000</f>
        <v>-468416.47785271937</v>
      </c>
      <c r="K39">
        <f>IF(Table1515[[#This Row],[TWh '[2023']]]=0,$F$27*(G39/$G$27),0)</f>
        <v>0</v>
      </c>
      <c r="L39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18.615347680088203</v>
      </c>
      <c r="D40">
        <f>IF(Table1515[[#This Row],[EU]]=1,$T$19*Table1515[[#This Row],[GWh '[2020']]]/$H$44,$T$18*Table1515[[#This Row],[GWh '[2020']]]/$H$45)</f>
        <v>14.147664236867033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-181871.94683446173</v>
      </c>
      <c r="J40">
        <f>Table1515[[#This Row],[Mrd m3 '[2035'] AP]]*9.77*-1000</f>
        <v>-138222.67959419091</v>
      </c>
      <c r="K40">
        <f>IF(Table1515[[#This Row],[TWh '[2023']]]=0,$F$27*(G40/$G$27),0)</f>
        <v>0</v>
      </c>
      <c r="L40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0.62750995357641837</v>
      </c>
      <c r="D42">
        <f>IF(Table1515[[#This Row],[EU]]=1,$T$19*Table1515[[#This Row],[GWh '[2020']]]/$H$44,$T$18*Table1515[[#This Row],[GWh '[2020']]]/$H$45)</f>
        <v>0.47690756471807788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-6130.7722464416074</v>
      </c>
      <c r="J42">
        <f>Table1515[[#This Row],[Mrd m3 '[2035'] AP]]*9.77*-1000</f>
        <v>-4659.3869072956204</v>
      </c>
      <c r="K42">
        <f>IF(Table1515[[#This Row],[TWh '[2023']]]=0,$F$27*(G42/$G$27),0)</f>
        <v>-6.171475457673183</v>
      </c>
      <c r="L42">
        <v>0</v>
      </c>
    </row>
    <row r="44" spans="1:12">
      <c r="G44" t="s">
        <v>298</v>
      </c>
      <c r="H44">
        <f>SUMIF(Table1515[EU],"1",Table1515[GWh '[2020']])</f>
        <v>-3119811.3731077109</v>
      </c>
    </row>
    <row r="45" spans="1:12">
      <c r="G45" t="s">
        <v>299</v>
      </c>
      <c r="H45">
        <f>SUMIF(Table1515[EU],"0",Table1515[GWh '[2020']])</f>
        <v>-1475229.6969553055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topLeftCell="A18" workbookViewId="0">
      <selection activeCell="C27" sqref="C27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SP]]</f>
        <v>-9791.3455742832848</v>
      </c>
      <c r="D2">
        <f>Table1517[[#This Row],[GWh '[2035'] SP]]/1000</f>
        <v>-9.7913455742832856</v>
      </c>
      <c r="E2">
        <v>2846</v>
      </c>
      <c r="F2">
        <f>Table1517[[#This Row],[TWh '[2023']]]*1000</f>
        <v>-9791.3455742832848</v>
      </c>
      <c r="G2">
        <f>IF(Table1517[[#This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SP]]</f>
        <v>-12013.836523330017</v>
      </c>
      <c r="D5">
        <f>Table1517[[#This Row],[GWh '[2035'] SP]]/1000</f>
        <v>-12.013836523330017</v>
      </c>
      <c r="E5">
        <v>3492</v>
      </c>
      <c r="F5">
        <f>Table1517[[#This Row],[TWh '[2023']]]*1000</f>
        <v>-12013.836523330017</v>
      </c>
      <c r="G5">
        <f>IF(Table1517[[#This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SP]]</f>
        <v>-8872.7618538568495</v>
      </c>
      <c r="D22">
        <f>Table1517[[#This Row],[GWh '[2035'] SP]]/1000</f>
        <v>-8.8727618538568489</v>
      </c>
      <c r="E22">
        <v>2579</v>
      </c>
      <c r="F22">
        <f>Table1517[[#This Row],[TWh '[2023']]]*1000</f>
        <v>-8872.7618538568495</v>
      </c>
      <c r="G22">
        <f>IF(Table1517[[#This Row],[TWh '[2023']]]=0,$D$27*(E22/$E$27),0)</f>
        <v>0</v>
      </c>
    </row>
    <row r="23" spans="1:7">
      <c r="B23" t="s">
        <v>111</v>
      </c>
      <c r="C23" s="2">
        <f>Table1515[[#This Row],[GWh '[2035'] SP]]</f>
        <v>-2139.5775870157331</v>
      </c>
      <c r="D23">
        <f>Table1517[[#This Row],[GWh '[2035'] SP]]/1000</f>
        <v>-2.139577587015733</v>
      </c>
      <c r="E23">
        <v>621.9</v>
      </c>
      <c r="F23">
        <f>Table1517[[#This Row],[TWh '[2023']]]*1000</f>
        <v>-2139.5775870157331</v>
      </c>
      <c r="G23">
        <f>IF(Table1517[[#This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SP]]</f>
        <v>-3424.8274612223449</v>
      </c>
      <c r="D25">
        <f>Table1517[[#This Row],[GWh '[2035'] SP]]/1000</f>
        <v>-3.4248274612223448</v>
      </c>
      <c r="E25">
        <v>2076.3000000000002</v>
      </c>
      <c r="F25">
        <f>Table1517[[#This Row],[TWh '[2023']]]*1000</f>
        <v>-3424.8274612223449</v>
      </c>
      <c r="G25">
        <f>IF(Table1517[[#This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SP]]</f>
        <v>-36815.242256829581</v>
      </c>
      <c r="D26">
        <f>Table1517[[#This Row],[GWh '[2035'] SP]]/1000</f>
        <v>-36.815242256829578</v>
      </c>
      <c r="E26">
        <v>5367.6</v>
      </c>
      <c r="F26">
        <f>Table1517[[#This Row],[TWh '[2023']]]*1000</f>
        <v>-36815.242256829581</v>
      </c>
      <c r="G26">
        <f>IF(Table1517[[#This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SP]]</f>
        <v>-67604.321434919679</v>
      </c>
      <c r="D27">
        <f>Table1517[[#This Row],[GWh '[2035'] SP]]/1000</f>
        <v>-67.604321434919683</v>
      </c>
      <c r="E27">
        <f>SUMIF(D2:D26,"=0",E2:E26)+SUMIF(D28:D42,"=0",E28:E42)</f>
        <v>0</v>
      </c>
      <c r="F27">
        <f>Table1517[[#This Row],[TWh '[2023']]]*1000</f>
        <v>-67604.321434919679</v>
      </c>
      <c r="G27">
        <f>IF(Table1517[[#This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SP]]</f>
        <v>-23830.538787557281</v>
      </c>
      <c r="D32">
        <f>Table1517[[#This Row],[GWh '[2035'] SP]]/1000</f>
        <v>-23.830538787557281</v>
      </c>
      <c r="E32">
        <v>6926.7</v>
      </c>
      <c r="F32">
        <f>Table1517[[#This Row],[TWh '[2023']]]*1000</f>
        <v>-23830.538787557281</v>
      </c>
      <c r="G32">
        <f>IF(Table1517[[#This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SP]]</f>
        <v>-26633.257118247591</v>
      </c>
      <c r="D37">
        <f>Table1517[[#This Row],[GWh '[2035'] SP]]/1000</f>
        <v>-26.633257118247592</v>
      </c>
      <c r="E37">
        <v>8606</v>
      </c>
      <c r="F37">
        <f>Table1517[[#This Row],[TWh '[2023']]]*1000</f>
        <v>-26633.257118247591</v>
      </c>
      <c r="G37">
        <f>IF(Table1517[[#This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SP]]</f>
        <v>-470034.1014629929</v>
      </c>
      <c r="D38">
        <f>Table1517[[#This Row],[GWh '[2035'] SP]]/1000</f>
        <v>-470.03410146299291</v>
      </c>
      <c r="E38">
        <v>83155</v>
      </c>
      <c r="F38">
        <f>Table1517[[#This Row],[TWh '[2023']]]*1000</f>
        <v>-470034.1014629929</v>
      </c>
      <c r="G38">
        <f>IF(Table1517[[#This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SP]]</f>
        <v>-616337.4708588412</v>
      </c>
      <c r="D39">
        <f>Table1517[[#This Row],[GWh '[2035'] SP]]/1000</f>
        <v>-616.33747085884124</v>
      </c>
      <c r="E39">
        <v>67025.5</v>
      </c>
      <c r="F39">
        <f>Table1517[[#This Row],[TWh '[2023']]]*1000</f>
        <v>-616337.4708588412</v>
      </c>
      <c r="G39">
        <f>IF(Table1517[[#This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SP]]</f>
        <v>-181871.94683446173</v>
      </c>
      <c r="D40">
        <f>Table1517[[#This Row],[GWh '[2035'] SP]]/1000</f>
        <v>-181.87194683446174</v>
      </c>
      <c r="E40">
        <v>41733</v>
      </c>
      <c r="F40">
        <f>Table1517[[#This Row],[TWh '[2023']]]*1000</f>
        <v>-181871.94683446173</v>
      </c>
      <c r="G40">
        <f>IF(Table1517[[#This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>
      <c r="B42" t="s">
        <v>117</v>
      </c>
      <c r="C42" s="2">
        <f>Table1515[[#This Row],[GWh '[2035'] SP]]</f>
        <v>-6130.7722464416074</v>
      </c>
      <c r="D42">
        <f>Table1517[[#This Row],[GWh '[2035'] SP]]/1000</f>
        <v>-6.130772246441607</v>
      </c>
      <c r="E42">
        <v>1782</v>
      </c>
      <c r="F42">
        <f>Table1517[[#This Row],[TWh '[2023']]]*1000</f>
        <v>-6130.7722464416074</v>
      </c>
      <c r="G42">
        <f>IF(Table1517[[#This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topLeftCell="A8" workbookViewId="0">
      <selection activeCell="F5" sqref="F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topLeftCell="A26" workbookViewId="0">
      <selection activeCell="I36" sqref="I36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AP]]</f>
        <v>-7441.422636455296</v>
      </c>
      <c r="D2">
        <f>Table151718[[#This Row],[GWh '[2035'] SP]]/1000</f>
        <v>-7.4414226364552958</v>
      </c>
      <c r="E2">
        <v>2846</v>
      </c>
      <c r="F2">
        <f>Table151718[[#This Row],[TWh '[2023']]]*1000</f>
        <v>-7441.422636455296</v>
      </c>
      <c r="G2">
        <f>IF(Table151718[[#This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AP]]</f>
        <v>-9130.5157577308128</v>
      </c>
      <c r="D5">
        <f>Table151718[[#This Row],[GWh '[2035'] SP]]/1000</f>
        <v>-9.1305157577308123</v>
      </c>
      <c r="E5">
        <v>3492</v>
      </c>
      <c r="F5">
        <f>Table151718[[#This Row],[TWh '[2023']]]*1000</f>
        <v>-9130.5157577308128</v>
      </c>
      <c r="G5">
        <f>IF(Table151718[[#This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AP]]</f>
        <v>-6743.2990089312052</v>
      </c>
      <c r="D22">
        <f>Table151718[[#This Row],[GWh '[2035'] SP]]/1000</f>
        <v>-6.7432990089312055</v>
      </c>
      <c r="E22">
        <v>2579</v>
      </c>
      <c r="F22">
        <f>Table151718[[#This Row],[TWh '[2023']]]*1000</f>
        <v>-6743.2990089312052</v>
      </c>
      <c r="G22">
        <f>IF(Table151718[[#This Row],[TWh '[2023']]]=0,$D$27*(E22/$E$27),0)</f>
        <v>0</v>
      </c>
    </row>
    <row r="23" spans="1:7">
      <c r="B23" t="s">
        <v>111</v>
      </c>
      <c r="C23" s="2">
        <f>Table1515[[#This Row],[GWh '[2035'] AP]]</f>
        <v>-1626.0789661319568</v>
      </c>
      <c r="D23">
        <f>Table151718[[#This Row],[GWh '[2035'] SP]]/1000</f>
        <v>-1.6260789661319568</v>
      </c>
      <c r="E23">
        <v>621.9</v>
      </c>
      <c r="F23">
        <f>Table151718[[#This Row],[TWh '[2023']]]*1000</f>
        <v>-1626.0789661319568</v>
      </c>
      <c r="G23">
        <f>IF(Table151718[[#This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AP]]</f>
        <v>-2602.8688705289824</v>
      </c>
      <c r="D25">
        <f>Table151718[[#This Row],[GWh '[2035'] SP]]/1000</f>
        <v>-2.6028688705289822</v>
      </c>
      <c r="E25">
        <v>2076.3000000000002</v>
      </c>
      <c r="F25">
        <f>Table151718[[#This Row],[TWh '[2023']]]*1000</f>
        <v>-2602.8688705289824</v>
      </c>
      <c r="G25">
        <f>IF(Table151718[[#This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AP]]</f>
        <v>-27979.584115190479</v>
      </c>
      <c r="D26">
        <f>Table151718[[#This Row],[GWh '[2035'] SP]]/1000</f>
        <v>-27.97958411519048</v>
      </c>
      <c r="E26">
        <v>5367.6</v>
      </c>
      <c r="F26">
        <f>Table151718[[#This Row],[TWh '[2023']]]*1000</f>
        <v>-27979.584115190479</v>
      </c>
      <c r="G26">
        <f>IF(Table151718[[#This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AP]]</f>
        <v>-51379.284290538963</v>
      </c>
      <c r="D27">
        <f>Table151718[[#This Row],[GWh '[2035'] SP]]/1000</f>
        <v>-51.379284290538962</v>
      </c>
      <c r="E27">
        <f>SUMIF(D2:D26,"=0",E2:E26)+SUMIF(D28:D42,"=0",E28:E42)</f>
        <v>0</v>
      </c>
      <c r="F27">
        <f>Table151718[[#This Row],[TWh '[2023']]]*1000</f>
        <v>-51379.284290538963</v>
      </c>
      <c r="G27">
        <f>IF(Table151718[[#This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AP]]</f>
        <v>-18111.209478543537</v>
      </c>
      <c r="D32">
        <f>Table151718[[#This Row],[GWh '[2035'] SP]]/1000</f>
        <v>-18.111209478543536</v>
      </c>
      <c r="E32">
        <v>6926.7</v>
      </c>
      <c r="F32">
        <f>Table151718[[#This Row],[TWh '[2023']]]*1000</f>
        <v>-18111.209478543537</v>
      </c>
      <c r="G32">
        <f>IF(Table151718[[#This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AP]]</f>
        <v>-20241.275409868169</v>
      </c>
      <c r="D37">
        <f>Table151718[[#This Row],[GWh '[2035'] SP]]/1000</f>
        <v>-20.24127540986817</v>
      </c>
      <c r="E37">
        <v>8606</v>
      </c>
      <c r="F37">
        <f>Table151718[[#This Row],[TWh '[2023']]]*1000</f>
        <v>-20241.275409868169</v>
      </c>
      <c r="G37">
        <f>IF(Table151718[[#This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AP]]</f>
        <v>-357225.91711187462</v>
      </c>
      <c r="D38">
        <f>Table151718[[#This Row],[GWh '[2035'] SP]]/1000</f>
        <v>-357.22591711187459</v>
      </c>
      <c r="E38">
        <v>83155</v>
      </c>
      <c r="F38">
        <f>Table151718[[#This Row],[TWh '[2023']]]*1000</f>
        <v>-357225.91711187462</v>
      </c>
      <c r="G38">
        <f>IF(Table151718[[#This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AP]]</f>
        <v>-468416.47785271937</v>
      </c>
      <c r="D39">
        <f>Table151718[[#This Row],[GWh '[2035'] SP]]/1000</f>
        <v>-468.41647785271937</v>
      </c>
      <c r="E39">
        <v>67025.5</v>
      </c>
      <c r="F39">
        <f>Table151718[[#This Row],[TWh '[2023']]]*1000</f>
        <v>-468416.47785271937</v>
      </c>
      <c r="G39">
        <f>IF(Table151718[[#This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AP]]</f>
        <v>-138222.67959419091</v>
      </c>
      <c r="D40">
        <f>Table151718[[#This Row],[GWh '[2035'] SP]]/1000</f>
        <v>-138.22267959419091</v>
      </c>
      <c r="E40">
        <v>41733</v>
      </c>
      <c r="F40">
        <f>Table151718[[#This Row],[TWh '[2023']]]*1000</f>
        <v>-138222.67959419091</v>
      </c>
      <c r="G40">
        <f>IF(Table151718[[#This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>
      <c r="B42" t="s">
        <v>117</v>
      </c>
      <c r="C42" s="2">
        <f>Table1515[[#This Row],[GWh '[2035'] AP]]</f>
        <v>-4659.3869072956204</v>
      </c>
      <c r="D42">
        <f>Table151718[[#This Row],[GWh '[2035'] SP]]/1000</f>
        <v>-4.6593869072956204</v>
      </c>
      <c r="E42">
        <v>1782</v>
      </c>
      <c r="F42">
        <f>Table151718[[#This Row],[TWh '[2023']]]*1000</f>
        <v>-4659.3869072956204</v>
      </c>
      <c r="G42">
        <f>IF(Table151718[[#This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abSelected="1" topLeftCell="A7" workbookViewId="0">
      <selection activeCell="C23" sqref="C2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>
      <c r="A23" t="s">
        <v>295</v>
      </c>
      <c r="B23" t="s">
        <v>296</v>
      </c>
      <c r="E23" s="2"/>
      <c r="F23" s="2"/>
      <c r="G23" s="3"/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70" workbookViewId="0">
      <selection activeCell="I73" sqref="I73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nodes_lng_europe_2020</vt:lpstr>
      <vt:lpstr>nodes_lng_europe_2024</vt:lpstr>
      <vt:lpstr>nodes_lng_europe_2035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nodes_demand_europe_2024</vt:lpstr>
      <vt:lpstr>nodes_demand_europe_2035</vt:lpstr>
      <vt:lpstr>nodes_demand_europe_2035_SP</vt:lpstr>
      <vt:lpstr>nodes_demand_world_2024</vt:lpstr>
      <vt:lpstr>nodes_demand_europe_2035_AP</vt:lpstr>
      <vt:lpstr>nodes_demand_world_2035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2025-05-05T18:40:29Z</dcterms:modified>
</cp:coreProperties>
</file>