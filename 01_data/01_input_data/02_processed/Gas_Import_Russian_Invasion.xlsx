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A7F1019F-A729-43DD-88B4-109E6B40F1C1}" xr6:coauthVersionLast="47" xr6:coauthVersionMax="47" xr10:uidLastSave="{00000000-0000-0000-0000-000000000000}"/>
  <bookViews>
    <workbookView xWindow="-4590" yWindow="-21720" windowWidth="38640" windowHeight="21120" activeTab="2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7" l="1"/>
  <c r="C59" i="7"/>
  <c r="C57" i="7"/>
  <c r="C66" i="2"/>
  <c r="E67" i="2"/>
  <c r="F67" i="2"/>
  <c r="E66" i="7"/>
  <c r="F66" i="7"/>
  <c r="C65" i="7"/>
  <c r="C55" i="7"/>
  <c r="C54" i="7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F54" i="7"/>
  <c r="E54" i="7"/>
  <c r="F53" i="7"/>
  <c r="E53" i="7"/>
  <c r="E66" i="2"/>
  <c r="F66" i="2"/>
  <c r="C65" i="2"/>
  <c r="C60" i="2"/>
  <c r="C58" i="2"/>
  <c r="C56" i="2"/>
  <c r="E54" i="2"/>
  <c r="E55" i="2"/>
  <c r="E56" i="2"/>
  <c r="E57" i="2"/>
  <c r="E58" i="2"/>
  <c r="E59" i="2"/>
  <c r="E60" i="2"/>
  <c r="E61" i="2"/>
  <c r="E62" i="2"/>
  <c r="E63" i="2"/>
  <c r="E64" i="2"/>
  <c r="E65" i="2"/>
  <c r="F54" i="2"/>
  <c r="F55" i="2"/>
  <c r="F56" i="2"/>
  <c r="F57" i="2"/>
  <c r="F58" i="2"/>
  <c r="F59" i="2"/>
  <c r="F60" i="2"/>
  <c r="F61" i="2"/>
  <c r="F62" i="2"/>
  <c r="F63" i="2"/>
  <c r="F64" i="2"/>
  <c r="F65" i="2"/>
  <c r="C55" i="2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F117" i="8" l="1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F30" i="7"/>
  <c r="E30" i="7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F25" i="7"/>
  <c r="E25" i="7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F19" i="7"/>
  <c r="E19" i="7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F10" i="7"/>
  <c r="E10" i="7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F6" i="7"/>
  <c r="E6" i="7"/>
  <c r="M5" i="7"/>
  <c r="L5" i="7"/>
  <c r="F5" i="7"/>
  <c r="E5" i="7"/>
  <c r="M4" i="7"/>
  <c r="L4" i="7"/>
  <c r="F4" i="7"/>
  <c r="E4" i="7"/>
  <c r="M3" i="7"/>
  <c r="L3" i="7"/>
  <c r="F3" i="7"/>
  <c r="E3" i="7"/>
  <c r="M2" i="7"/>
  <c r="L2" i="7"/>
  <c r="F2" i="7"/>
  <c r="E2" i="7"/>
  <c r="E2" i="2"/>
  <c r="E40" i="2"/>
  <c r="F40" i="2" s="1"/>
  <c r="F3" i="2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<sst xmlns="http://schemas.openxmlformats.org/spreadsheetml/2006/main" count="1073" uniqueCount="181">
  <si>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</si>
  <si>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</si>
  <si>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</si>
  <si>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</si>
  <si>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</si>
  <si>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</si>
  <si>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</si>
  <si>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</si>
  <si>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</si>
  <si>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</si>
  <si>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</si>
  <si>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</si>
  <si>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</si>
  <si>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</si>
  <si>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</si>
  <si>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</si>
  <si>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</si>
  <si>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</si>
  <si>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</si>
  <si>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</si>
  <si>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</si>
  <si>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</si>
  <si>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</si>
  <si>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</si>
  <si>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</si>
  <si>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</si>
  <si>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</si>
  <si>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</si>
  <si>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</si>
  <si>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</si>
  <si>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</si>
  <si>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</si>
  <si>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</si>
  <si>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</si>
  <si>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</si>
  <si>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</si>
  <si>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</si>
  <si>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</si>
  <si>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</si>
  <si>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</si>
  <si>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</si>
  <si>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</si>
  <si>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</si>
  <si>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</si>
  <si>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</si>
  <si>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</si>
  <si>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</si>
  <si>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</si>
  <si>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</si>
  <si>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</si>
  <si>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</si>
  <si>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</si>
  <si>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</si>
  <si>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</si>
  <si>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</si>
  <si>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</si>
  <si>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</si>
  <si>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</si>
  <si>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</si>
  <si>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</si>
  <si>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</si>
  <si>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</si>
  <si>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</si>
  <si>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</si>
  <si>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</si>
  <si>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</si>
  <si>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</si>
  <si>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</si>
  <si>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</si>
  <si>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</si>
  <si>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</si>
  <si>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</si>
  <si>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</si>
  <si>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</si>
  <si>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</si>
  <si>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</si>
  <si>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</si>
  <si>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</si>
  <si>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</si>
  <si>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</si>
  <si>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</si>
  <si>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</si>
  <si>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</si>
  <si>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</si>
  <si>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</si>
  <si>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</si>
  <si>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</si>
  <si>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</si>
  <si>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</si>
  <si>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</si>
  <si>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</si>
  <si>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</si>
  <si>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</si>
  <si>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</si>
  <si>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</si>
  <si>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</si>
  <si>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</si>
  <si>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</si>
  <si>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</si>
  <si>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</si>
  <si>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</si>
  <si>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</si>
  <si>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</si>
  <si>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</si>
  <si>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</si>
  <si>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</si>
  <si>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</si>
  <si>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</si>
  <si>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</si>
  <si>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</si>
  <si>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</si>
  <si>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</si>
  <si>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</si>
  <si>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</si>
  <si>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</si>
  <si>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</si>
  <si>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</si>
  <si>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</si>
  <si>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</si>
  <si>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</si>
  <si>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</si>
  <si>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</si>
  <si>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</si>
  <si>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</si>
  <si>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</si>
  <si>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</si>
  <si>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</si>
  <si>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</si>
  <si>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</si>
  <si>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</si>
  <si>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</si>
  <si>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</si>
  <si>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</si>
  <si>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</si>
  <si>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</si>
  <si>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</si>
  <si>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</si>
  <si>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</si>
  <si>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</si>
  <si>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</si>
  <si>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</si>
  <si>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</si>
  <si>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</si>
  <si>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</si>
  <si>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</si>
  <si>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</si>
  <si>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</si>
  <si>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</si>
  <si>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</si>
  <si>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</si>
  <si>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</si>
  <si>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</si>
  <si>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</si>
  <si>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</si>
  <si>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NA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</si>
  <si>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</si>
  <si>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</si>
  <si>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</si>
  <si>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</si>
  <si>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</si>
  <si>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</si>
  <si>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</si>
  <si>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</si>
  <si>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</si>
  <si>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</si>
  <si>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</si>
  <si>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</si>
  <si>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</si>
  <si>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</si>
  <si>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Quatar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</si>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</sst>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1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ont="1" applyFill="1" applyBorder="1"/>
    <xf numFmtId="164" fontId="0" fillId="4" borderId="2" xfId="0" applyNumberFormat="1" applyFon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26">
    <dxf>
      <numFmt numFmtId="2" formatCode="0.00"/>
    </dxf>
    <dxf>
      <numFmt numFmtId="164" formatCode="0.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25"/>
    <tableColumn id="5" xr3:uid="{4278F9D8-E46F-44B9-A622-727B8E2C8EF1}" name="Mil m3 EU [2020]" dataDxfId="24"/>
    <tableColumn id="6" xr3:uid="{F2BDB73C-713D-4BC7-B762-048AA072F297}" name="Mrd m3 EU [2020]" dataDxfId="23">
      <calculatedColumnFormula>Table2[[#This Row],[Mil m3 EU '[2020']]]/1000</calculatedColumnFormula>
    </tableColumn>
    <tableColumn id="4" xr3:uid="{5BB2DA97-8C23-44BC-9268-BDBE2BCDBBC8}" name="TWh [2020]" dataDxfId="22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7" totalsRowShown="0" headerRowDxfId="7" headerRowBorderDxfId="8" tableBorderDxfId="9">
  <autoFilter ref="A53:F67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5">
      <calculatedColumnFormula>Table7[[#This Row],[Mil m3 '[2020']]]/1000</calculatedColumnFormula>
    </tableColumn>
    <tableColumn id="6" xr3:uid="{ECFA587C-DE79-4510-9945-328AB8DBC35F}" name="TWh [2020]" dataDxfId="6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21"/>
    <tableColumn id="5" xr3:uid="{42F1A333-D727-4655-B618-A9AB5617745F}" name="Mil m3 EU [2020]" dataDxfId="20"/>
    <tableColumn id="6" xr3:uid="{326B3A9A-70B2-4D34-8E01-54CBBD0565E6}" name="Mrd m3 EU [2020]" dataDxfId="19">
      <calculatedColumnFormula>Table26[[#This Row],[Mil m3 EU '[2020']]]/1000</calculatedColumnFormula>
    </tableColumn>
    <tableColumn id="4" xr3:uid="{DC1916A1-B3CC-4586-AE6D-12CF46A9C0F0}" name="TWh [2020]" dataDxfId="18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6" totalsRowShown="0" headerRowDxfId="4" headerRowBorderDxfId="2" tableBorderDxfId="3">
  <autoFilter ref="A52:F66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1">
      <calculatedColumnFormula>Table79[[#This Row],[Mil m3 '[2020']]]/1000</calculatedColumnFormula>
    </tableColumn>
    <tableColumn id="6" xr3:uid="{0CF67BB6-4E02-4893-BB83-4858F32AB909}" name="TWh [2020]" dataDxfId="0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17"/>
    <tableColumn id="4" xr3:uid="{1618AAC4-0782-47C3-91CE-2FEB95FBDD58}" name="TWh [2020]" dataDxfId="16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15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4"/>
    <tableColumn id="4" xr3:uid="{60E83C2D-D521-4D6A-800D-160C3176DFC7}" name="TWh [2023]" dataDxfId="13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2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11" totalsRowShown="0">
  <autoFilter ref="A1:H111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1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7" totalsRowShown="0">
  <autoFilter ref="A1:H117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0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C1" sqref="C1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7"/>
  <sheetViews>
    <sheetView topLeftCell="A25" workbookViewId="0">
      <selection activeCell="N56" sqref="N5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176</v>
      </c>
      <c r="E53" s="9" t="s">
        <v>177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154</v>
      </c>
      <c r="B55" t="s">
        <v>165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155</v>
      </c>
      <c r="B56" t="s">
        <v>166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156</v>
      </c>
      <c r="B57" t="s">
        <v>167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157</v>
      </c>
      <c r="B58" t="s">
        <v>168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158</v>
      </c>
      <c r="B59" t="s">
        <v>169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159</v>
      </c>
      <c r="B60" t="s">
        <v>170</v>
      </c>
      <c r="C60" s="2">
        <f>231.909048813308-C21-C3-C37</f>
        <v>135.88472424096241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1327.5937558342027</v>
      </c>
    </row>
    <row r="61" spans="1:6">
      <c r="A61" t="s">
        <v>160</v>
      </c>
      <c r="B61" t="s">
        <v>171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161</v>
      </c>
      <c r="B62" t="s">
        <v>172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162</v>
      </c>
      <c r="B63" t="s">
        <v>173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163</v>
      </c>
      <c r="B64" t="s">
        <v>174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164</v>
      </c>
      <c r="B65" t="s">
        <v>175</v>
      </c>
      <c r="C65">
        <f>656.2735508682-C64-C62-C61-C63</f>
        <v>292.78732582326188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2860.5321732932684</v>
      </c>
    </row>
    <row r="66" spans="1:6">
      <c r="A66" t="s">
        <v>178</v>
      </c>
      <c r="B66" t="s">
        <v>179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41</v>
      </c>
      <c r="B67" t="s">
        <v>70</v>
      </c>
      <c r="C67">
        <v>638.446656032448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6237.6238294370169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6"/>
  <sheetViews>
    <sheetView tabSelected="1" topLeftCell="A19" workbookViewId="0">
      <selection activeCell="Q62" sqref="Q62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176</v>
      </c>
      <c r="E52" s="9" t="s">
        <v>177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154</v>
      </c>
      <c r="B54" t="s">
        <v>165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155</v>
      </c>
      <c r="B55" t="s">
        <v>166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156</v>
      </c>
      <c r="B56" t="s">
        <v>167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157</v>
      </c>
      <c r="B57" t="s">
        <v>168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158</v>
      </c>
      <c r="B58" t="s">
        <v>169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159</v>
      </c>
      <c r="B59" t="s">
        <v>170</v>
      </c>
      <c r="C59" s="2">
        <f>253.649617284986-C21-C3-C37</f>
        <v>133.95499124326935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1308.7402644467415</v>
      </c>
    </row>
    <row r="60" spans="1:6">
      <c r="A60" t="s">
        <v>160</v>
      </c>
      <c r="B60" t="s">
        <v>171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161</v>
      </c>
      <c r="B61" t="s">
        <v>172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162</v>
      </c>
      <c r="B62" t="s">
        <v>173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163</v>
      </c>
      <c r="B63" t="s">
        <v>174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164</v>
      </c>
      <c r="B64" t="s">
        <v>175</v>
      </c>
      <c r="C64">
        <f>691.83903700697-C63-C61-C60-C62</f>
        <v>274.25497681609454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2679.4711234932433</v>
      </c>
    </row>
    <row r="65" spans="1:6">
      <c r="A65" t="s">
        <v>178</v>
      </c>
      <c r="B65" t="s">
        <v>179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41</v>
      </c>
      <c r="B66" t="s">
        <v>70</v>
      </c>
      <c r="C66">
        <v>586.38219987241905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5728.9540927535336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workbookViewId="0">
      <selection activeCell="D1" sqref="D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workbookViewId="0">
      <selection activeCell="H11" sqref="H1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11"/>
  <sheetViews>
    <sheetView topLeftCell="A67" workbookViewId="0">
      <selection activeCell="A103" sqref="A10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178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7"/>
  <sheetViews>
    <sheetView topLeftCell="A76" workbookViewId="0">
      <selection activeCell="A109" sqref="A109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178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180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B3" sqref="B3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178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2025-03-14T09:15:53Z</dcterms:modified>
</cp:coreProperties>
</file>