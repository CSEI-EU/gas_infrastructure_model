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6D67A9AC-B502-410B-A73B-99685A638C8C}" xr6:coauthVersionLast="47" xr6:coauthVersionMax="47" xr10:uidLastSave="{00000000-0000-0000-0000-000000000000}"/>
  <bookViews>
    <workbookView xWindow="-110" yWindow="-110" windowWidth="19420" windowHeight="10300" tabRatio="790" firstSheet="22" activeTab="25" xr2:uid="{00000000-000D-0000-FFFF-FFFF00000000}"/>
  </bookViews>
  <sheets>
    <sheet name="nodes_lng_europe_2020" sheetId="1" r:id="rId1"/>
    <sheet name="nodes_lng_europe_2024" sheetId="15" r:id="rId2"/>
    <sheet name="nodes_lng_europe_2035" sheetId="17" r:id="rId3"/>
    <sheet name="nodes_gas_prod_europe_2020" sheetId="2" r:id="rId4"/>
    <sheet name="nodes_gas_prod_world_2020" sheetId="11" r:id="rId5"/>
    <sheet name="nodes_gas_prod_europe_2024" sheetId="7" r:id="rId6"/>
    <sheet name="nodes_gas_prod_world_2024" sheetId="12" r:id="rId7"/>
    <sheet name="nodes_gas_prod_europe_2035_SP" sheetId="23" r:id="rId8"/>
    <sheet name="nodes_gas_prod_europe_2035_AP" sheetId="24" r:id="rId9"/>
    <sheet name="nodes_gas_prod_world_2035" sheetId="22" r:id="rId10"/>
    <sheet name="nodes_demand_europe_2020" sheetId="3" r:id="rId11"/>
    <sheet name="nodes_demand_world_2020" sheetId="13" r:id="rId12"/>
    <sheet name="nodes_demand_europe_2024" sheetId="6" r:id="rId13"/>
    <sheet name="nodes_demand_europe_2035" sheetId="18" r:id="rId14"/>
    <sheet name="nodes_demand_europe_2035_SP" sheetId="20" r:id="rId15"/>
    <sheet name="nodes_demand_europe_2035_AP" sheetId="21" r:id="rId16"/>
    <sheet name="nodes_demand_world_2024" sheetId="14" r:id="rId17"/>
    <sheet name="nodes_demand_world_2035" sheetId="19" r:id="rId18"/>
    <sheet name="Connections_2020" sheetId="4" r:id="rId19"/>
    <sheet name="Import_Connections_EU" sheetId="5" r:id="rId20"/>
    <sheet name="Connections_2024" sheetId="8" r:id="rId21"/>
    <sheet name="Connections_2035" sheetId="25" r:id="rId22"/>
    <sheet name="Global_Connections" sheetId="10" r:id="rId23"/>
    <sheet name="global_LNG_connections_2020" sheetId="9" r:id="rId24"/>
    <sheet name="global_LNG_connections_2024" sheetId="16" r:id="rId25"/>
    <sheet name="global_LNG_connections_2035" sheetId="2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5" i="26" l="1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F5" i="3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C40" i="24" l="1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C44" i="24" l="1"/>
  <c r="C45" i="24" s="1"/>
  <c r="F12" i="19"/>
  <c r="F7" i="19"/>
  <c r="F4" i="19"/>
  <c r="F17" i="19"/>
  <c r="F18" i="19"/>
  <c r="F9" i="19"/>
  <c r="F5" i="19"/>
  <c r="F20" i="19"/>
  <c r="F6" i="19"/>
  <c r="F22" i="19"/>
  <c r="F19" i="19"/>
  <c r="H26" i="18"/>
  <c r="K26" i="18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H2" i="18" s="1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3" i="6"/>
  <c r="F4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G2" i="3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3" i="3"/>
  <c r="G4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C13" i="13"/>
  <c r="G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G34" i="6"/>
  <c r="F17" i="3"/>
  <c r="D42" i="6"/>
  <c r="D41" i="6"/>
  <c r="D40" i="6"/>
  <c r="G40" i="6" s="1"/>
  <c r="D39" i="6"/>
  <c r="G39" i="6" s="1"/>
  <c r="D38" i="6"/>
  <c r="G38" i="6" s="1"/>
  <c r="D37" i="6"/>
  <c r="G37" i="6" s="1"/>
  <c r="D36" i="6"/>
  <c r="G36" i="6" s="1"/>
  <c r="D35" i="6"/>
  <c r="G35" i="6" s="1"/>
  <c r="D34" i="6"/>
  <c r="D33" i="6"/>
  <c r="G33" i="6" s="1"/>
  <c r="D32" i="6"/>
  <c r="D31" i="6"/>
  <c r="D30" i="6"/>
  <c r="G30" i="6" s="1"/>
  <c r="D29" i="6"/>
  <c r="G29" i="6" s="1"/>
  <c r="D28" i="6"/>
  <c r="G28" i="6" s="1"/>
  <c r="D27" i="6"/>
  <c r="G27" i="6" s="1"/>
  <c r="D26" i="6"/>
  <c r="G26" i="6" s="1"/>
  <c r="D25" i="6"/>
  <c r="G25" i="6" s="1"/>
  <c r="D24" i="6"/>
  <c r="G24" i="6" s="1"/>
  <c r="D23" i="6"/>
  <c r="D22" i="6"/>
  <c r="D21" i="6"/>
  <c r="D20" i="6"/>
  <c r="G20" i="6" s="1"/>
  <c r="D19" i="6"/>
  <c r="G19" i="6" s="1"/>
  <c r="D18" i="6"/>
  <c r="D17" i="6"/>
  <c r="G17" i="6" s="1"/>
  <c r="D16" i="6"/>
  <c r="G16" i="6" s="1"/>
  <c r="D15" i="6"/>
  <c r="G15" i="6" s="1"/>
  <c r="D14" i="6"/>
  <c r="G14" i="6" s="1"/>
  <c r="D13" i="6"/>
  <c r="G13" i="6" s="1"/>
  <c r="D12" i="6"/>
  <c r="G12" i="6" s="1"/>
  <c r="D11" i="6"/>
  <c r="G11" i="6" s="1"/>
  <c r="D10" i="6"/>
  <c r="G10" i="6" s="1"/>
  <c r="D9" i="6"/>
  <c r="G9" i="6" s="1"/>
  <c r="D8" i="6"/>
  <c r="G8" i="6" s="1"/>
  <c r="D7" i="6"/>
  <c r="G7" i="6" s="1"/>
  <c r="D6" i="6"/>
  <c r="G6" i="6" s="1"/>
  <c r="D5" i="6"/>
  <c r="D4" i="6"/>
  <c r="G4" i="6" s="1"/>
  <c r="D3" i="6"/>
  <c r="G3" i="6" s="1"/>
  <c r="D2" i="6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G31" i="20" l="1"/>
  <c r="E44" i="2"/>
  <c r="G34" i="2"/>
  <c r="E34" i="7"/>
  <c r="G34" i="7" s="1"/>
  <c r="E16" i="7"/>
  <c r="E44" i="7"/>
  <c r="G16" i="7"/>
  <c r="E27" i="6"/>
  <c r="F32" i="3"/>
  <c r="F23" i="3"/>
  <c r="F42" i="3"/>
  <c r="F41" i="3"/>
  <c r="F22" i="3"/>
  <c r="F21" i="3"/>
  <c r="F2" i="3"/>
  <c r="G22" i="6" l="1"/>
  <c r="G42" i="6"/>
  <c r="G23" i="6"/>
  <c r="G21" i="6"/>
  <c r="G31" i="6"/>
  <c r="G5" i="6"/>
  <c r="G41" i="6"/>
  <c r="G32" i="6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<sst xmlns="http://schemas.openxmlformats.org/spreadsheetml/2006/main" count="4341" uniqueCount="308">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</sst>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6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0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03"/>
    <tableColumn id="5" xr3:uid="{4278F9D8-E46F-44B9-A622-727B8E2C8EF1}" name="Mil m3 EU [2020]" dataDxfId="102"/>
    <tableColumn id="6" xr3:uid="{F2BDB73C-713D-4BC7-B762-048AA072F297}" name="Mrd m3 EU [2020]" dataDxfId="101">
      <calculatedColumnFormula>Table2[[#This Row],[Mil m3 EU '[2020']]]/1000</calculatedColumnFormula>
    </tableColumn>
    <tableColumn id="7" xr3:uid="{337F5DC2-FD6B-445B-A2F7-5464B34B589E}" name="GWh [2020]" dataDxfId="100">
      <calculatedColumnFormula>Table2[[#This Row],[TWh '[2020']2]]*1000</calculatedColumnFormula>
    </tableColumn>
    <tableColumn id="4" xr3:uid="{5BB2DA97-8C23-44BC-9268-BDBE2BCDBBC8}" name="TWh [2020]2" dataDxfId="99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98" headerRowBorderDxfId="97" tableBorderDxfId="96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95">
      <calculatedColumnFormula>Table7[[#This Row],[Mil m3 '[2020']]]/1000</calculatedColumnFormula>
    </tableColumn>
    <tableColumn id="7" xr3:uid="{4A1E0E2A-2ECC-45EB-9D63-EC01B197BAA8}" name="GWh [2020]" dataDxfId="94">
      <calculatedColumnFormula>Table7[[#This Row],[TWh '[2020']2]]*1000</calculatedColumnFormula>
    </tableColumn>
    <tableColumn id="6" xr3:uid="{ECFA587C-DE79-4510-9945-328AB8DBC35F}" name="TWh [2020]2" dataDxfId="9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92"/>
    <tableColumn id="5" xr3:uid="{42F1A333-D727-4655-B618-A9AB5617745F}" name="Mil m3 EU [2020]" dataDxfId="91"/>
    <tableColumn id="6" xr3:uid="{326B3A9A-70B2-4D34-8E01-54CBBD0565E6}" name="Mrd m3 EU [2020]" dataDxfId="90">
      <calculatedColumnFormula>Table26[[#This Row],[Mil m3 EU '[2020']]]/1000</calculatedColumnFormula>
    </tableColumn>
    <tableColumn id="7" xr3:uid="{7EF7045A-D72E-40AA-A523-1A389D57AAF5}" name="GWh [2020]" dataDxfId="89">
      <calculatedColumnFormula>Table26[[#This Row],[TWh '[2020']]]*1000</calculatedColumnFormula>
    </tableColumn>
    <tableColumn id="4" xr3:uid="{DC1916A1-B3CC-4586-AE6D-12CF46A9C0F0}" name="TWh [2020]" dataDxfId="88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87" headerRowBorderDxfId="86" tableBorderDxfId="85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84">
      <calculatedColumnFormula>Table79[[#This Row],[Mil m3 '[2020']]]/1000</calculatedColumnFormula>
    </tableColumn>
    <tableColumn id="7" xr3:uid="{A1AF1224-2FA6-47E0-9ECD-AB8B46DF628B}" name="GWh [2020]" dataDxfId="83">
      <calculatedColumnFormula>Table79[[#This Row],[TWh '[2020']]]*1000</calculatedColumnFormula>
    </tableColumn>
    <tableColumn id="6" xr3:uid="{0CF67BB6-4E02-4893-BB83-4858F32AB909}" name="TWh [2020]" dataDxfId="82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81"/>
    <tableColumn id="5" xr3:uid="{6BE9D8BC-17DF-46B0-904B-E214536BC73C}" name="Mil m3 EU [2024]" dataDxfId="80"/>
    <tableColumn id="6" xr3:uid="{88443DA7-833C-4668-ABC7-6640612488C4}" name="Mrd m3 EU [2020]" dataDxfId="79"/>
    <tableColumn id="7" xr3:uid="{64FD0380-738D-4F61-AAEA-FA6952811E43}" name="GWh [2020]" dataDxfId="78">
      <calculatedColumnFormula>Table2620[[#This Row],[TWh '[2020']]]*1000</calculatedColumnFormula>
    </tableColumn>
    <tableColumn id="4" xr3:uid="{920F5378-329F-48CE-AB35-E8FBBE6E4295}" name="TWh [2020]" dataDxfId="77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76"/>
    <tableColumn id="5" xr3:uid="{31D61434-4BE8-4DF8-919D-0B08C9C85FF9}" name="Mil m3 EU [2024]" dataDxfId="75"/>
    <tableColumn id="6" xr3:uid="{791C1399-23F6-4DDC-8608-02DCF3203E4D}" name="Mrd m3 EU [2020]" dataDxfId="74"/>
    <tableColumn id="7" xr3:uid="{C7B33927-885B-433C-9C92-1A5BB72E75AE}" name="GWh [2020]" dataDxfId="73">
      <calculatedColumnFormula>Table262021[[#This Row],[TWh '[2020']]]*1000</calculatedColumnFormula>
    </tableColumn>
    <tableColumn id="4" xr3:uid="{5CDEC814-A327-4D11-A6C7-3DEC6EA2D16D}" name="TWh [2020]" dataDxfId="72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71" headerRowBorderDxfId="70" tableBorderDxfId="69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68"/>
    <tableColumn id="7" xr3:uid="{5E4FB509-2E7C-4F35-ABA3-27B44D26F2A0}" name="GWh [2020]" dataDxfId="67">
      <calculatedColumnFormula>Table7919[[#This Row],[TWh '[2020']]]*1000</calculatedColumnFormula>
    </tableColumn>
    <tableColumn id="6" xr3:uid="{404CEA6B-9B54-4634-86D8-4FC47FBC55CD}" name="TWh [2020]" dataDxfId="66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65"/>
    <tableColumn id="4" xr3:uid="{1618AAC4-0782-47C3-91CE-2FEB95FBDD58}" name="TWh [2020]" dataDxfId="6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63">
      <calculatedColumnFormula>IF(Table1[[#This Row],[TWh '[2020']]]=0,$D$27*(E2/$E$27),0)</calculatedColumnFormula>
    </tableColumn>
    <tableColumn id="7" xr3:uid="{53C148C2-CAF7-47BC-9950-964805B82325}" name="GWh [2020]" dataDxfId="62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61" headerRowBorderDxfId="60" tableBorderDxfId="59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8">
      <calculatedColumnFormula>Table7910[[#This Row],[Mil m3 '[2020']]]/1000</calculatedColumnFormula>
    </tableColumn>
    <tableColumn id="7" xr3:uid="{95C698CF-3EBE-40E8-840D-A6C3E41CFB2C}" name="GWh [2020]" dataDxfId="57">
      <calculatedColumnFormula>Table7910[[#This Row],[TWh '[2020']]]*1000</calculatedColumnFormula>
    </tableColumn>
    <tableColumn id="6" xr3:uid="{44160680-3C35-4A7A-9677-B7F78304684A}" name="TWh [2020]" dataDxfId="5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55"/>
    <tableColumn id="4" xr3:uid="{60E83C2D-D521-4D6A-800D-160C3176DFC7}" name="TWh [2023]" dataDxfId="54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53">
      <calculatedColumnFormula>MIN(Table15[[#This Row],[TWh '[2023']]],Table15[[#This Row],[TWh by share]])*1000</calculatedColumnFormula>
    </tableColumn>
    <tableColumn id="6" xr3:uid="{EA1A4D0E-E13A-491B-8024-93E1A98AD8DD}" name="TWh by share" dataDxfId="5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51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50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49"/>
    <tableColumn id="4" xr3:uid="{CFF2A961-5340-417B-A68C-5AA0571EECB8}" name="TWh [2023]" dataDxfId="48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47">
      <calculatedColumnFormula>MIN(Table1515[[#This Row],[TWh '[2023']]],Table1515[[#This Row],[TWh by share]])*1000</calculatedColumnFormula>
    </tableColumn>
    <tableColumn id="10" xr3:uid="{C231D16E-346D-4A6C-BDE3-02DCD7F98838}" name="GWh [2035] SP" dataDxfId="46">
      <calculatedColumnFormula>Table1515[[#This Row],[Mrd m3 '[2035'] SP]]*9.77*-1000</calculatedColumnFormula>
    </tableColumn>
    <tableColumn id="12" xr3:uid="{B7100D75-BF53-4B84-BEA5-5B8213EA443B}" name="GWh [2035] AP" dataDxfId="45">
      <calculatedColumnFormula>Table1515[[#This Row],[Mrd m3 '[2035'] AP]]*9.77*-1000</calculatedColumnFormula>
    </tableColumn>
    <tableColumn id="6" xr3:uid="{38428858-BB77-4254-A9E7-787AC7919612}" name="TWh by share" dataDxfId="44">
      <calculatedColumnFormula>IF(Table1515[[#This Row],[TWh '[2023']]]=0,$F$27*(G2/$G$27),0)</calculatedColumnFormula>
    </tableColumn>
    <tableColumn id="9" xr3:uid="{062339C5-9866-4A10-AB51-65D785DCAE56}" name="EU" dataDxfId="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42">
      <calculatedColumnFormula>Table1515[[#This Row],[GWh '[2035'] SP]]</calculatedColumnFormula>
    </tableColumn>
    <tableColumn id="4" xr3:uid="{B0F52B8B-7854-4A88-A627-18C628B9FFAB}" name="TWh [2023]" dataDxfId="41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40">
      <calculatedColumnFormula>Table1517[[#This Row],[TWh '[2023']]]*1000</calculatedColumnFormula>
    </tableColumn>
    <tableColumn id="6" xr3:uid="{3EC6FD5C-175B-4AEC-9875-DCE8BEBC18DA}" name="TWh by share" dataDxfId="39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38">
      <calculatedColumnFormula>Table1515[[#This Row],[GWh '[2035'] AP]]</calculatedColumnFormula>
    </tableColumn>
    <tableColumn id="4" xr3:uid="{242F6F74-7D77-4BEA-9D4C-482848363307}" name="TWh [2023]" dataDxfId="37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36">
      <calculatedColumnFormula>Table151718[[#This Row],[TWh '[2023']]]*1000</calculatedColumnFormula>
    </tableColumn>
    <tableColumn id="6" xr3:uid="{F133F4B6-959B-4931-9BF3-538BD68B0E51}" name="TWh by share" dataDxfId="35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34" headerRowBorderDxfId="33" tableBorderDxfId="32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31">
      <calculatedColumnFormula>Table791011[[#This Row],[Mil m3 '[2020']]]/1000</calculatedColumnFormula>
    </tableColumn>
    <tableColumn id="7" xr3:uid="{800E9158-5DB0-43C4-A644-BF3466322E9E}" name="GWh [2020]" dataDxfId="30">
      <calculatedColumnFormula>Table791011[[#This Row],[TWh '[2020']]]*1000</calculatedColumnFormula>
    </tableColumn>
    <tableColumn id="6" xr3:uid="{28EBAF35-966D-44B9-8859-9AC70136DAAC}" name="TWh [2020]" dataDxfId="29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28" headerRowBorderDxfId="27" tableBorderDxfId="26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25">
      <calculatedColumnFormula>Table79101116[[#This Row],[values 2024]]/1000</calculatedColumnFormula>
    </tableColumn>
    <tableColumn id="7" xr3:uid="{DA064D9E-1168-4CB6-B3AA-E50FAC653181}" name="GWh [2020]" dataDxfId="24">
      <calculatedColumnFormula>Table79101116[[#This Row],[TWh '[2020']]]*1000</calculatedColumnFormula>
    </tableColumn>
    <tableColumn id="6" xr3:uid="{EAF9FC8E-89CB-4295-BD8E-F84762361F50}" name="TWh [2020]" dataDxfId="23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2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1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0">
      <calculatedColumnFormula>C2*9.77*1000</calculatedColumnFormula>
    </tableColumn>
    <tableColumn id="5" xr3:uid="{01416B1F-02D4-4015-854F-1DF81E1DF7B6}" name="TWh/a" dataDxfId="19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8" headerRowBorderDxfId="17" tableBorderDxfId="16" totalsRowBorderDxfId="15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4">
      <calculatedColumnFormula>LNG_global[[#This Row],[Distance '[miles']]]*1.60934449789256</calculatedColumnFormula>
    </tableColumn>
    <tableColumn id="9" xr3:uid="{DD9D70F1-D00A-43D9-9F09-037C2573E34A}" name="Suez or Panama" dataDxfId="13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15" totalsRowShown="0" headerRowDxfId="12" headerRowBorderDxfId="11" tableBorderDxfId="10" totalsRowBorderDxfId="9">
  <autoFilter ref="A1:I215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8">
      <calculatedColumnFormula>LNG_global14[[#This Row],[Distance '[miles']]]*1.60934449789256</calculatedColumnFormula>
    </tableColumn>
    <tableColumn id="9" xr3:uid="{601054B1-1B08-47CB-880D-0D80ED1BD0EA}" name="Suez or Panama" dataDxfId="7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3" tableBorderDxfId="4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F2" sqref="F2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1"/>
        <v>4</v>
      </c>
      <c r="H7">
        <f t="shared" si="2"/>
        <v>39080</v>
      </c>
      <c r="I7">
        <f t="shared" si="3"/>
        <v>39.08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topLeftCell="A4" workbookViewId="0">
      <selection activeCell="C18" sqref="C18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C25" sqref="C25"/>
    </sheetView>
  </sheetViews>
  <sheetFormatPr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7" workbookViewId="0">
      <selection activeCell="B7" sqref="B7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RowHeight="14.5"/>
  <cols>
    <col min="1" max="1" width="9.54296875" customWidth="1"/>
    <col min="2" max="2" width="19.1796875" customWidth="1"/>
    <col min="3" max="3" width="15" customWidth="1"/>
    <col min="4" max="4" width="17.089843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topLeftCell="A28" workbookViewId="0">
      <selection activeCell="B31" sqref="B31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A46" sqref="A46:B46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1" max="11" width="9.2695312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topLeftCell="A37" workbookViewId="0">
      <selection activeCell="A46" sqref="A46:B46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1" max="11" width="9.2695312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RowHeight="14.5"/>
  <cols>
    <col min="1" max="1" width="9.54296875" customWidth="1"/>
    <col min="2" max="2" width="12.5429687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G6" sqref="G6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A19" sqref="A19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1796875" customWidth="1"/>
    <col min="15" max="15" width="11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79</v>
      </c>
      <c r="B24" t="s">
        <v>136</v>
      </c>
      <c r="I24" t="s">
        <v>137</v>
      </c>
    </row>
    <row r="25" spans="1:9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F6" sqref="F6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f>Table15[[#This Row],[Mrd m3 '[2023']]]*9.77*-1</f>
        <v>0</v>
      </c>
      <c r="E2">
        <v>2846</v>
      </c>
      <c r="F2">
        <f>MIN(Table15[[#This Row],[TWh '[2023']]],Table15[[#This Row],[TWh by share]])*1000</f>
        <v>-9856.3519374511106</v>
      </c>
      <c r="G2">
        <f>IF(Table15[[#This Row],[TWh '[2023']]]=0,$D$27*(E2/$E$27),0)</f>
        <v>-9.8563519374511106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-12.093598371601995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-1782.1780418174076</v>
      </c>
      <c r="G21">
        <f>IF(Table15[[#This Row],[TWh '[2023']]]=0,$D$27*(E21/$E$27),0)</f>
        <v>-1.7821780418174076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-8931.6695877324019</v>
      </c>
      <c r="G22">
        <f>IF(Table15[[#This Row],[TWh '[2023']]]=0,$D$27*(E22/$E$27),0)</f>
        <v>-8.9316695877324026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-2153.7825965920051</v>
      </c>
      <c r="G23">
        <f>IF(Table15[[#This Row],[TWh '[2023']]]=0,$D$27*(E23/$E$27),0)</f>
        <v>-2.1537825965920052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-23988.753677140761</v>
      </c>
      <c r="G32">
        <f>IF(Table15[[#This Row],[TWh '[2023']]]=0,$D$27*(E32/$E$27),0)</f>
        <v>-23.98875367714076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-3075.3480395139095</v>
      </c>
      <c r="G41">
        <f>IF(Table15[[#This Row],[TWh '[2023']]]=0,$D$27*(E41/$E$27),0)</f>
        <v>-3.0753480395139094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-6171.475457673183</v>
      </c>
      <c r="G42">
        <f>IF(Table15[[#This Row],[TWh '[2023']]]=0,$D$27*(E42/$E$27),0)</f>
        <v>-6.171475457673183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H5" sqref="H5"/>
    </sheetView>
  </sheetViews>
  <sheetFormatPr defaultRowHeight="14.5"/>
  <cols>
    <col min="1" max="1" width="9.5429687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1.0069516221046382</v>
      </c>
      <c r="D2">
        <f>IF(Table1515[[#This Row],[EU]]=1,$T$19*Table1515[[#This Row],[GWh '[2020']]]/$H$44,$T$18*Table1515[[#This Row],[GWh '[2020']]]/$H$45)</f>
        <v>0.76528323279952493</v>
      </c>
      <c r="E2" s="2"/>
      <c r="F2">
        <f>Table1515[[#This Row],[Mrd m3 '[2023']]]*9.77*-1</f>
        <v>0</v>
      </c>
      <c r="G2">
        <v>2846</v>
      </c>
      <c r="H2">
        <f>MIN(Table1515[[#This Row],[TWh '[2023']]],Table1515[[#This Row],[TWh by share]])*1000</f>
        <v>-9856.3519374511106</v>
      </c>
      <c r="I2">
        <f>Table1515[[#This Row],[Mrd m3 '[2035'] SP]]*9.77*-1000</f>
        <v>-9837.9173479623132</v>
      </c>
      <c r="J2">
        <f>Table1515[[#This Row],[Mrd m3 '[2035'] AP]]*9.77*-1000</f>
        <v>-7476.8171844513581</v>
      </c>
      <c r="K2">
        <f>IF(Table1515[[#This Row],[TWh '[2023']]]=0,$F$27*(G2/$G$27),0)</f>
        <v>-9.8563519374511106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5.5381981505061164</v>
      </c>
      <c r="D3">
        <f>IF(Table1515[[#This Row],[EU]]=1,$T$19*Table1515[[#This Row],[GWh '[2020']]]/$H$44,$T$18*Table1515[[#This Row],[GWh '[2020']]]/$H$45)</f>
        <v>3.5987513273716787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-54108.195930444759</v>
      </c>
      <c r="J3">
        <f>Table1515[[#This Row],[Mrd m3 '[2035'] AP]]*9.77*-1000</f>
        <v>-35159.800468421301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11.030988415493967</v>
      </c>
      <c r="D4">
        <f>IF(Table1515[[#This Row],[EU]]=1,$T$19*Table1515[[#This Row],[GWh '[2020']]]/$H$44,$T$18*Table1515[[#This Row],[GWh '[2020']]]/$H$45)</f>
        <v>7.1679963633754564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-107772.75681937605</v>
      </c>
      <c r="J4">
        <f>Table1515[[#This Row],[Mrd m3 '[2035'] AP]]*9.77*-1000</f>
        <v>-70031.32447017821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0.52205144678360094</v>
      </c>
      <c r="D5">
        <f>IF(Table1515[[#This Row],[EU]]=1,$T$19*Table1515[[#This Row],[GWh '[2020']]]/$H$44,$T$18*Table1515[[#This Row],[GWh '[2020']]]/$H$45)</f>
        <v>0.39675909955553673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-5100.4426350757803</v>
      </c>
      <c r="J5">
        <f>Table1515[[#This Row],[Mrd m3 '[2035'] AP]]*9.77*-1000</f>
        <v>-3876.3364026575937</v>
      </c>
      <c r="K5">
        <f>IF(Table1515[[#This Row],[TWh '[2023']]]=0,$F$27*(G5/$G$27),0)</f>
        <v>-12.093598371601995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2.0329780815184644</v>
      </c>
      <c r="D6">
        <f>IF(Table1515[[#This Row],[EU]]=1,$T$19*Table1515[[#This Row],[GWh '[2020']]]/$H$44,$T$18*Table1515[[#This Row],[GWh '[2020']]]/$H$45)</f>
        <v>1.321040231959469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-19862.195856435395</v>
      </c>
      <c r="J6">
        <f>Table1515[[#This Row],[Mrd m3 '[2035'] AP]]*9.77*-1000</f>
        <v>-12906.563066244011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2.0121683842828131</v>
      </c>
      <c r="D7">
        <f>IF(Table1515[[#This Row],[EU]]=1,$T$19*Table1515[[#This Row],[GWh '[2020']]]/$H$44,$T$18*Table1515[[#This Row],[GWh '[2020']]]/$H$45)</f>
        <v>1.3075179773355246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-19658.885114443085</v>
      </c>
      <c r="J7">
        <f>Table1515[[#This Row],[Mrd m3 '[2035'] AP]]*9.77*-1000</f>
        <v>-12774.450638568074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5.3902892719595856</v>
      </c>
      <c r="D8">
        <f>IF(Table1515[[#This Row],[EU]]=1,$T$19*Table1515[[#This Row],[GWh '[2020']]]/$H$44,$T$18*Table1515[[#This Row],[GWh '[2020']]]/$H$45)</f>
        <v>3.5026393323628442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-52663.126187045149</v>
      </c>
      <c r="J8">
        <f>Table1515[[#This Row],[Mrd m3 '[2035'] AP]]*9.77*-1000</f>
        <v>-34220.786277184983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1.3120603934563158</v>
      </c>
      <c r="D9">
        <f>IF(Table1515[[#This Row],[EU]]=1,$T$19*Table1515[[#This Row],[GWh '[2020']]]/$H$44,$T$18*Table1515[[#This Row],[GWh '[2020']]]/$H$45)</f>
        <v>0.85258399107861771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-12818.830044068203</v>
      </c>
      <c r="J9">
        <f>Table1515[[#This Row],[Mrd m3 '[2035'] AP]]*9.77*-1000</f>
        <v>-8329.745592838095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0.2976907480556118</v>
      </c>
      <c r="D10">
        <f>IF(Table1515[[#This Row],[EU]]=1,$T$19*Table1515[[#This Row],[GWh '[2020']]]/$H$44,$T$18*Table1515[[#This Row],[GWh '[2020']]]/$H$45)</f>
        <v>0.19344106974819911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-2908.438608503327</v>
      </c>
      <c r="J10">
        <f>Table1515[[#This Row],[Mrd m3 '[2035'] AP]]*9.77*-1000</f>
        <v>-1889.9192514399053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0.96129172744801217</v>
      </c>
      <c r="D11">
        <f>IF(Table1515[[#This Row],[EU]]=1,$T$19*Table1515[[#This Row],[GWh '[2020']]]/$H$44,$T$18*Table1515[[#This Row],[GWh '[2020']]]/$H$45)</f>
        <v>0.62465260110435039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-9391.8201771670792</v>
      </c>
      <c r="J11">
        <f>Table1515[[#This Row],[Mrd m3 '[2035'] AP]]*9.77*-1000</f>
        <v>-6102.8559127895032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27.254592188891984</v>
      </c>
      <c r="D12">
        <f>IF(Table1515[[#This Row],[EU]]=1,$T$19*Table1515[[#This Row],[GWh '[2020']]]/$H$44,$T$18*Table1515[[#This Row],[GWh '[2020']]]/$H$45)</f>
        <v>17.710182472937593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-266277.36568547465</v>
      </c>
      <c r="J12">
        <f>Table1515[[#This Row],[Mrd m3 '[2035'] AP]]*9.77*-1000</f>
        <v>-173028.48276060028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60.895833385477168</v>
      </c>
      <c r="D13">
        <f>IF(Table1515[[#This Row],[EU]]=1,$T$19*Table1515[[#This Row],[GWh '[2020']]]/$H$44,$T$18*Table1515[[#This Row],[GWh '[2020']]]/$H$45)</f>
        <v>39.570444262158311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-594952.29217611183</v>
      </c>
      <c r="J13">
        <f>Table1515[[#This Row],[Mrd m3 '[2035'] AP]]*9.77*-1000</f>
        <v>-386603.2404412867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4.3317080880240209</v>
      </c>
      <c r="D14">
        <f>IF(Table1515[[#This Row],[EU]]=1,$T$19*Table1515[[#This Row],[GWh '[2020']]]/$H$44,$T$18*Table1515[[#This Row],[GWh '[2020']]]/$H$45)</f>
        <v>2.8147675124514069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-42320.788019994681</v>
      </c>
      <c r="J14">
        <f>Table1515[[#This Row],[Mrd m3 '[2035'] AP]]*9.77*-1000</f>
        <v>-27500.278596650245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6.5873265113018125</v>
      </c>
      <c r="D15">
        <f>IF(Table1515[[#This Row],[EU]]=1,$T$19*Table1515[[#This Row],[GWh '[2020']]]/$H$44,$T$18*Table1515[[#This Row],[GWh '[2020']]]/$H$45)</f>
        <v>4.2804806513128506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-64358.180015418708</v>
      </c>
      <c r="J15">
        <f>Table1515[[#This Row],[Mrd m3 '[2035'] AP]]*9.77*-1000</f>
        <v>-41820.295963326549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3.8820027499500616</v>
      </c>
      <c r="D16">
        <f>IF(Table1515[[#This Row],[EU]]=1,$T$19*Table1515[[#This Row],[GWh '[2020']]]/$H$44,$T$18*Table1515[[#This Row],[GWh '[2020']]]/$H$45)</f>
        <v>2.5225465340142423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-37927.1668670121</v>
      </c>
      <c r="J16">
        <f>Table1515[[#This Row],[Mrd m3 '[2035'] AP]]*9.77*-1000</f>
        <v>-24645.279637319145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47.160616853221256</v>
      </c>
      <c r="D17">
        <f>IF(Table1515[[#This Row],[EU]]=1,$T$19*Table1515[[#This Row],[GWh '[2020']]]/$H$44,$T$18*Table1515[[#This Row],[GWh '[2020']]]/$H$45)</f>
        <v>30.645225737307197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-460759.22665597167</v>
      </c>
      <c r="J17">
        <f>Table1515[[#This Row],[Mrd m3 '[2035'] AP]]*9.77*-1000</f>
        <v>-299403.85545349133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0.61738832088631557</v>
      </c>
      <c r="D18">
        <f>IF(Table1515[[#This Row],[EU]]=1,$T$19*Table1515[[#This Row],[GWh '[2020']]]/$H$44,$T$18*Table1515[[#This Row],[GWh '[2020']]]/$H$45)</f>
        <v>0.40118229411678868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-6031.8838950593026</v>
      </c>
      <c r="J18">
        <f>Table1515[[#This Row],[Mrd m3 '[2035'] AP]]*9.77*-1000</f>
        <v>-3919.5510135210252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1.2599659323487851</v>
      </c>
      <c r="D19">
        <f>IF(Table1515[[#This Row],[EU]]=1,$T$19*Table1515[[#This Row],[GWh '[2020']]]/$H$44,$T$18*Table1515[[#This Row],[GWh '[2020']]]/$H$45)</f>
        <v>0.81873272646788764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-12309.86715904763</v>
      </c>
      <c r="J19">
        <f>Table1515[[#This Row],[Mrd m3 '[2035'] AP]]*9.77*-1000</f>
        <v>-7999.0187375912619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0.46153035445995766</v>
      </c>
      <c r="D20">
        <f>IF(Table1515[[#This Row],[EU]]=1,$T$19*Table1515[[#This Row],[GWh '[2020']]]/$H$44,$T$18*Table1515[[#This Row],[GWh '[2020']]]/$H$45)</f>
        <v>0.29990493850121763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-4509.1515630737858</v>
      </c>
      <c r="J20">
        <f>Table1515[[#This Row],[Mrd m3 '[2035'] AP]]*9.77*-1000</f>
        <v>-2930.0712491568961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0.14681007983211192</v>
      </c>
      <c r="D21">
        <f>IF(Table1515[[#This Row],[EU]]=1,$T$19*Table1515[[#This Row],[GWh '[2020']]]/$H$44,$T$18*Table1515[[#This Row],[GWh '[2020']]]/$H$45)</f>
        <v>9.5397989618531867E-2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-1782.1780418174076</v>
      </c>
      <c r="I21">
        <f>Table1515[[#This Row],[Mrd m3 '[2035'] SP]]*9.77*-1000</f>
        <v>-1434.3344799597332</v>
      </c>
      <c r="J21">
        <f>Table1515[[#This Row],[Mrd m3 '[2035'] AP]]*9.77*-1000</f>
        <v>-932.03835857305626</v>
      </c>
      <c r="K21">
        <f>IF(Table1515[[#This Row],[TWh '[2023']]]=0,$F$27*(G21/$G$27),0)</f>
        <v>-1.7821780418174076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0.91248356760641669</v>
      </c>
      <c r="D22">
        <f>IF(Table1515[[#This Row],[EU]]=1,$T$19*Table1515[[#This Row],[GWh '[2020']]]/$H$44,$T$18*Table1515[[#This Row],[GWh '[2020']]]/$H$45)</f>
        <v>0.69348751138087672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-8931.6695877324019</v>
      </c>
      <c r="I22">
        <f>Table1515[[#This Row],[Mrd m3 '[2035'] SP]]*9.77*-1000</f>
        <v>-8914.9644555146897</v>
      </c>
      <c r="J22">
        <f>Table1515[[#This Row],[Mrd m3 '[2035'] AP]]*9.77*-1000</f>
        <v>-6775.3729861911652</v>
      </c>
      <c r="K22">
        <f>IF(Table1515[[#This Row],[TWh '[2023']]]=0,$F$27*(G22/$G$27),0)</f>
        <v>-8.9316695877324026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0.22003626626383505</v>
      </c>
      <c r="D23">
        <f>IF(Table1515[[#This Row],[EU]]=1,$T$19*Table1515[[#This Row],[GWh '[2020']]]/$H$44,$T$18*Table1515[[#This Row],[GWh '[2020']]]/$H$45)</f>
        <v>0.16722756236051464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-2153.7825965920051</v>
      </c>
      <c r="I23">
        <f>Table1515[[#This Row],[Mrd m3 '[2035'] SP]]*9.77*-1000</f>
        <v>-2149.7543213976683</v>
      </c>
      <c r="J23">
        <f>Table1515[[#This Row],[Mrd m3 '[2035'] AP]]*9.77*-1000</f>
        <v>-1633.8132842622279</v>
      </c>
      <c r="K23">
        <f>IF(Table1515[[#This Row],[TWh '[2023']]]=0,$F$27*(G23/$G$27),0)</f>
        <v>-2.1537825965920052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20.742028064054182</v>
      </c>
      <c r="D24">
        <f>IF(Table1515[[#This Row],[EU]]=1,$T$19*Table1515[[#This Row],[GWh '[2020']]]/$H$44,$T$18*Table1515[[#This Row],[GWh '[2020']]]/$H$45)</f>
        <v>13.478282827614974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-202649.61418580936</v>
      </c>
      <c r="J24">
        <f>Table1515[[#This Row],[Mrd m3 '[2035'] AP]]*9.77*-1000</f>
        <v>-131682.82322579829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0.35221262913690859</v>
      </c>
      <c r="D25">
        <f>IF(Table1515[[#This Row],[EU]]=1,$T$19*Table1515[[#This Row],[GWh '[2020']]]/$H$44,$T$18*Table1515[[#This Row],[GWh '[2020']]]/$H$45)</f>
        <v>0.26768159814405057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-3441.1173866675967</v>
      </c>
      <c r="J25">
        <f>Table1515[[#This Row],[Mrd m3 '[2035'] AP]]*9.77*-1000</f>
        <v>-2615.2492138673738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3.786115772081033</v>
      </c>
      <c r="D26">
        <f>IF(Table1515[[#This Row],[EU]]=1,$T$19*Table1515[[#This Row],[GWh '[2020']]]/$H$44,$T$18*Table1515[[#This Row],[GWh '[2020']]]/$H$45)</f>
        <v>2.877447986781585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-36990.351093231686</v>
      </c>
      <c r="J26">
        <f>Table1515[[#This Row],[Mrd m3 '[2035'] AP]]*9.77*-1000</f>
        <v>-28112.666830856084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6.9524949981309074</v>
      </c>
      <c r="D27">
        <f>IF(Table1515[[#This Row],[EU]]=1,$T$19*Table1515[[#This Row],[GWh '[2020']]]/$H$44,$T$18*Table1515[[#This Row],[GWh '[2020']]]/$H$45)</f>
        <v>5.2838961985794901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19650.2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-67925.876131738958</v>
      </c>
      <c r="J27">
        <f>Table1515[[#This Row],[Mrd m3 '[2035'] AP]]*9.77*-1000</f>
        <v>-51623.665860121619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15.760580452734962</v>
      </c>
      <c r="D28">
        <f>IF(Table1515[[#This Row],[EU]]=1,$T$19*Table1515[[#This Row],[GWh '[2020']]]/$H$44,$T$18*Table1515[[#This Row],[GWh '[2020']]]/$H$45)</f>
        <v>10.241311033489257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-153980.87102322056</v>
      </c>
      <c r="J28">
        <f>Table1515[[#This Row],[Mrd m3 '[2035'] AP]]*9.77*-1000</f>
        <v>-100057.60879719004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3.6059938766742263</v>
      </c>
      <c r="D29">
        <f>IF(Table1515[[#This Row],[EU]]=1,$T$19*Table1515[[#This Row],[GWh '[2020']]]/$H$44,$T$18*Table1515[[#This Row],[GWh '[2020']]]/$H$45)</f>
        <v>2.3431944646093221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-35230.560175107188</v>
      </c>
      <c r="J29">
        <f>Table1515[[#This Row],[Mrd m3 '[2035'] AP]]*9.77*-1000</f>
        <v>-22893.009919233078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7.3125977481081232</v>
      </c>
      <c r="D30">
        <f>IF(Table1515[[#This Row],[EU]]=1,$T$19*Table1515[[#This Row],[GWh '[2020']]]/$H$44,$T$18*Table1515[[#This Row],[GWh '[2020']]]/$H$45)</f>
        <v>4.7517658518834889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-71444.079999016365</v>
      </c>
      <c r="J30">
        <f>Table1515[[#This Row],[Mrd m3 '[2035'] AP]]*9.77*-1000</f>
        <v>-46424.752372901683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2.4507560789993663</v>
      </c>
      <c r="D32">
        <f>IF(Table1515[[#This Row],[EU]]=1,$T$19*Table1515[[#This Row],[GWh '[2020']]]/$H$44,$T$18*Table1515[[#This Row],[GWh '[2020']]]/$H$45)</f>
        <v>1.8625746200395186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-23988.753677140761</v>
      </c>
      <c r="I32">
        <f>Table1515[[#This Row],[Mrd m3 '[2035'] SP]]*9.77*-1000</f>
        <v>-23943.886891823808</v>
      </c>
      <c r="J32">
        <f>Table1515[[#This Row],[Mrd m3 '[2035'] AP]]*9.77*-1000</f>
        <v>-18197.354037786095</v>
      </c>
      <c r="K32">
        <f>IF(Table1515[[#This Row],[TWh '[2023']]]=0,$F$27*(G32/$G$27),0)</f>
        <v>-23.98875367714076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3.3786828071384778</v>
      </c>
      <c r="D33">
        <f>IF(Table1515[[#This Row],[EU]]=1,$T$19*Table1515[[#This Row],[GWh '[2020']]]/$H$44,$T$18*Table1515[[#This Row],[GWh '[2020']]]/$H$45)</f>
        <v>2.1954864933545752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-33009.731025742927</v>
      </c>
      <c r="J33">
        <f>Table1515[[#This Row],[Mrd m3 '[2035'] AP]]*9.77*-1000</f>
        <v>-21449.903040074201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0.61703451838305479</v>
      </c>
      <c r="D34">
        <f>IF(Table1515[[#This Row],[EU]]=1,$T$19*Table1515[[#This Row],[GWh '[2020']]]/$H$44,$T$18*Table1515[[#This Row],[GWh '[2020']]]/$H$45)</f>
        <v>0.40095239132284111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-6028.4272446024452</v>
      </c>
      <c r="J34">
        <f>Table1515[[#This Row],[Mrd m3 '[2035'] AP]]*9.77*-1000</f>
        <v>-3917.3048632241575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23.57989343826717</v>
      </c>
      <c r="D35">
        <f>IF(Table1515[[#This Row],[EU]]=1,$T$19*Table1515[[#This Row],[GWh '[2020']]]/$H$44,$T$18*Table1515[[#This Row],[GWh '[2020']]]/$H$45)</f>
        <v>15.322343206967384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-230375.55889187026</v>
      </c>
      <c r="J35">
        <f>Table1515[[#This Row],[Mrd m3 '[2035'] AP]]*9.77*-1000</f>
        <v>-149699.29313207133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0.57641220355939038</v>
      </c>
      <c r="D36">
        <f>IF(Table1515[[#This Row],[EU]]=1,$T$19*Table1515[[#This Row],[GWh '[2020']]]/$H$44,$T$18*Table1515[[#This Row],[GWh '[2020']]]/$H$45)</f>
        <v>0.37455578986154936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-5631.5472287752436</v>
      </c>
      <c r="J36">
        <f>Table1515[[#This Row],[Mrd m3 '[2035'] AP]]*9.77*-1000</f>
        <v>-3659.4100669473373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2.7389903924530197</v>
      </c>
      <c r="D37">
        <f>IF(Table1515[[#This Row],[EU]]=1,$T$19*Table1515[[#This Row],[GWh '[2020']]]/$H$44,$T$18*Table1515[[#This Row],[GWh '[2020']]]/$H$45)</f>
        <v>2.0816326982642952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-26759.936134266001</v>
      </c>
      <c r="J37">
        <f>Table1515[[#This Row],[Mrd m3 '[2035'] AP]]*9.77*-1000</f>
        <v>-20337.551462042164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48.338769918995723</v>
      </c>
      <c r="D38">
        <f>IF(Table1515[[#This Row],[EU]]=1,$T$19*Table1515[[#This Row],[GWh '[2020']]]/$H$44,$T$18*Table1515[[#This Row],[GWh '[2020']]]/$H$45)</f>
        <v>36.737465138436754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-472269.7821085882</v>
      </c>
      <c r="J38">
        <f>Table1515[[#This Row],[Mrd m3 '[2035'] AP]]*9.77*-1000</f>
        <v>-358925.03440252703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63.38475251810415</v>
      </c>
      <c r="D39">
        <f>IF(Table1515[[#This Row],[EU]]=1,$T$19*Table1515[[#This Row],[GWh '[2020']]]/$H$44,$T$18*Table1515[[#This Row],[GWh '[2020']]]/$H$45)</f>
        <v>48.172411913759156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-619269.0321018775</v>
      </c>
      <c r="J39">
        <f>Table1515[[#This Row],[Mrd m3 '[2035'] AP]]*9.77*-1000</f>
        <v>-470644.46439742693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18.70389013347587</v>
      </c>
      <c r="D40">
        <f>IF(Table1515[[#This Row],[EU]]=1,$T$19*Table1515[[#This Row],[GWh '[2020']]]/$H$44,$T$18*Table1515[[#This Row],[GWh '[2020']]]/$H$45)</f>
        <v>14.214956501441661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-182737.00660405925</v>
      </c>
      <c r="J40">
        <f>Table1515[[#This Row],[Mrd m3 '[2035'] AP]]*9.77*-1000</f>
        <v>-138880.12501908504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0.25333725396602291</v>
      </c>
      <c r="D41">
        <f>IF(Table1515[[#This Row],[EU]]=1,$T$19*Table1515[[#This Row],[GWh '[2020']]]/$H$44,$T$18*Table1515[[#This Row],[GWh '[2020']]]/$H$45)</f>
        <v>0.16461992767441955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-3075.3480395139095</v>
      </c>
      <c r="I41">
        <f>Table1515[[#This Row],[Mrd m3 '[2035'] SP]]*9.77*-1000</f>
        <v>-2475.1049712480435</v>
      </c>
      <c r="J41">
        <f>Table1515[[#This Row],[Mrd m3 '[2035'] AP]]*9.77*-1000</f>
        <v>-1608.3366933790787</v>
      </c>
      <c r="K41">
        <f>IF(Table1515[[#This Row],[TWh '[2023']]]=0,$F$27*(G41/$G$27),0)</f>
        <v>-3.0753480395139094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0.63049465586453446</v>
      </c>
      <c r="D42">
        <f>IF(Table1515[[#This Row],[EU]]=1,$T$19*Table1515[[#This Row],[GWh '[2020']]]/$H$44,$T$18*Table1515[[#This Row],[GWh '[2020']]]/$H$45)</f>
        <v>0.4791759384570462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-6171.475457673183</v>
      </c>
      <c r="I42">
        <f>Table1515[[#This Row],[Mrd m3 '[2035'] SP]]*9.77*-1000</f>
        <v>-6159.9327877965015</v>
      </c>
      <c r="J42">
        <f>Table1515[[#This Row],[Mrd m3 '[2035'] AP]]*9.77*-1000</f>
        <v>-4681.5489187253415</v>
      </c>
      <c r="K42">
        <f>IF(Table1515[[#This Row],[TWh '[2023']]]=0,$F$27*(G42/$G$27),0)</f>
        <v>-6.171475457673183</v>
      </c>
      <c r="L42">
        <v>0</v>
      </c>
    </row>
    <row r="44" spans="1:12">
      <c r="G44" t="s">
        <v>298</v>
      </c>
      <c r="H44">
        <f>SUMIF(Table1515[EU],"1",Table1515[GWh '[2020']])</f>
        <v>-3119811.3731077109</v>
      </c>
    </row>
    <row r="45" spans="1:12">
      <c r="G45" t="s">
        <v>299</v>
      </c>
      <c r="H45">
        <f>SUMIF(Table1515[EU],"0",Table1515[GWh '[2020']])</f>
        <v>-1468246.0985837034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F5" sqref="F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-9837.9173479623132</v>
      </c>
      <c r="D2">
        <f>Table1517[[#This Row],[GWh '[2035'] SP]]/1000</f>
        <v>-9.8379173479623141</v>
      </c>
      <c r="E2">
        <v>2846</v>
      </c>
      <c r="F2">
        <f>Table1517[[#This Row],[TWh '[2023']]]*1000</f>
        <v>-9837.9173479623132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-54108.195930444759</v>
      </c>
      <c r="D3">
        <f>Table1517[[#This Row],[GWh '[2035'] SP]]/1000</f>
        <v>-54.108195930444758</v>
      </c>
      <c r="E3">
        <v>8901.1</v>
      </c>
      <c r="F3">
        <f>Table1517[[#This Row],[TWh '[2023']]]*1000</f>
        <v>-54108.195930444759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-107772.75681937605</v>
      </c>
      <c r="D4">
        <f>Table1517[[#This Row],[GWh '[2035'] SP]]/1000</f>
        <v>-107.77275681937606</v>
      </c>
      <c r="E4">
        <v>11549.9</v>
      </c>
      <c r="F4">
        <f>Table1517[[#This Row],[TWh '[2023']]]*1000</f>
        <v>-107772.75681937605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-5100.4426350757803</v>
      </c>
      <c r="D5">
        <f>Table1517[[#This Row],[GWh '[2035'] SP]]/1000</f>
        <v>-5.1004426350757806</v>
      </c>
      <c r="E5">
        <v>3492</v>
      </c>
      <c r="F5">
        <f>Table1517[[#This Row],[TWh '[2023']]]*1000</f>
        <v>-5100.4426350757803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-19862.195856435395</v>
      </c>
      <c r="D6">
        <f>Table1517[[#This Row],[GWh '[2035'] SP]]/1000</f>
        <v>-19.862195856435395</v>
      </c>
      <c r="E6">
        <v>6951.5</v>
      </c>
      <c r="F6">
        <f>Table1517[[#This Row],[TWh '[2023']]]*1000</f>
        <v>-19862.195856435395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-19658.885114443085</v>
      </c>
      <c r="D7">
        <f>Table1517[[#This Row],[GWh '[2035'] SP]]/1000</f>
        <v>-19.658885114443084</v>
      </c>
      <c r="E7">
        <v>4058.2</v>
      </c>
      <c r="F7">
        <f>Table1517[[#This Row],[TWh '[2023']]]*1000</f>
        <v>-19658.885114443085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-52663.126187045149</v>
      </c>
      <c r="D8">
        <f>Table1517[[#This Row],[GWh '[2035'] SP]]/1000</f>
        <v>-52.663126187045151</v>
      </c>
      <c r="E8">
        <v>10693.9</v>
      </c>
      <c r="F8">
        <f>Table1517[[#This Row],[TWh '[2023']]]*1000</f>
        <v>-52663.126187045149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-12818.830044068203</v>
      </c>
      <c r="D9">
        <f>Table1517[[#This Row],[GWh '[2035'] SP]]/1000</f>
        <v>-12.818830044068203</v>
      </c>
      <c r="E9">
        <v>5822.8</v>
      </c>
      <c r="F9">
        <f>Table1517[[#This Row],[TWh '[2023']]]*1000</f>
        <v>-12818.830044068203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-2908.438608503327</v>
      </c>
      <c r="D10">
        <f>Table1517[[#This Row],[GWh '[2035'] SP]]/1000</f>
        <v>-2.9084386085033271</v>
      </c>
      <c r="E10">
        <v>1329</v>
      </c>
      <c r="F10">
        <f>Table1517[[#This Row],[TWh '[2023']]]*1000</f>
        <v>-2908.438608503327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-9391.8201771670792</v>
      </c>
      <c r="D11">
        <f>Table1517[[#This Row],[GWh '[2035'] SP]]/1000</f>
        <v>-9.3918201771670784</v>
      </c>
      <c r="E11">
        <v>5525.3</v>
      </c>
      <c r="F11">
        <f>Table1517[[#This Row],[TWh '[2023']]]*1000</f>
        <v>-9391.8201771670792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-266277.36568547465</v>
      </c>
      <c r="D12">
        <f>Table1517[[#This Row],[GWh '[2035'] SP]]/1000</f>
        <v>-266.27736568547465</v>
      </c>
      <c r="E12">
        <v>67098.8</v>
      </c>
      <c r="F12">
        <f>Table1517[[#This Row],[TWh '[2023']]]*1000</f>
        <v>-266277.36568547465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-594952.29217611183</v>
      </c>
      <c r="D13">
        <f>Table1517[[#This Row],[GWh '[2035'] SP]]/1000</f>
        <v>-594.95229217611188</v>
      </c>
      <c r="E13">
        <v>83166.7</v>
      </c>
      <c r="F13">
        <f>Table1517[[#This Row],[TWh '[2023']]]*1000</f>
        <v>-594952.29217611183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-42320.788019994681</v>
      </c>
      <c r="D14">
        <f>Table1517[[#This Row],[GWh '[2035'] SP]]/1000</f>
        <v>-42.32078801999468</v>
      </c>
      <c r="E14">
        <v>10709.7</v>
      </c>
      <c r="F14">
        <f>Table1517[[#This Row],[TWh '[2023']]]*1000</f>
        <v>-42320.788019994681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-64358.180015418708</v>
      </c>
      <c r="D15">
        <f>Table1517[[#This Row],[GWh '[2035'] SP]]/1000</f>
        <v>-64.358180015418711</v>
      </c>
      <c r="E15">
        <v>9769.5</v>
      </c>
      <c r="F15">
        <f>Table1517[[#This Row],[TWh '[2023']]]*1000</f>
        <v>-64358.180015418708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-37927.1668670121</v>
      </c>
      <c r="D16">
        <f>Table1517[[#This Row],[GWh '[2035'] SP]]/1000</f>
        <v>-37.927166867012097</v>
      </c>
      <c r="E16">
        <v>4963.8</v>
      </c>
      <c r="F16">
        <f>Table1517[[#This Row],[TWh '[2023']]]*1000</f>
        <v>-37927.1668670121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-460759.22665597167</v>
      </c>
      <c r="D17">
        <f>Table1517[[#This Row],[GWh '[2035'] SP]]/1000</f>
        <v>-460.75922665597164</v>
      </c>
      <c r="E17">
        <v>60244.6</v>
      </c>
      <c r="F17">
        <f>Table1517[[#This Row],[TWh '[2023']]]*1000</f>
        <v>-460759.22665597167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-6031.8838950593026</v>
      </c>
      <c r="D18">
        <f>Table1517[[#This Row],[GWh '[2035'] SP]]/1000</f>
        <v>-6.0318838950593028</v>
      </c>
      <c r="E18">
        <v>1907.7</v>
      </c>
      <c r="F18">
        <f>Table1517[[#This Row],[TWh '[2023']]]*1000</f>
        <v>-6031.8838950593026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-12309.86715904763</v>
      </c>
      <c r="D19">
        <f>Table1517[[#This Row],[GWh '[2035'] SP]]/1000</f>
        <v>-12.309867159047629</v>
      </c>
      <c r="E19">
        <v>2794.1</v>
      </c>
      <c r="F19">
        <f>Table1517[[#This Row],[TWh '[2023']]]*1000</f>
        <v>-12309.86715904763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-4509.1515630737858</v>
      </c>
      <c r="D20">
        <f>Table1517[[#This Row],[GWh '[2035'] SP]]/1000</f>
        <v>-4.509151563073786</v>
      </c>
      <c r="E20">
        <v>626.1</v>
      </c>
      <c r="F20">
        <f>Table1517[[#This Row],[TWh '[2023']]]*1000</f>
        <v>-4509.1515630737858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-1434.3344799597332</v>
      </c>
      <c r="D21">
        <f>Table1517[[#This Row],[GWh '[2035'] SP]]/1000</f>
        <v>-1.4343344799597333</v>
      </c>
      <c r="E21">
        <v>514.6</v>
      </c>
      <c r="F21">
        <f>Table1517[[#This Row],[TWh '[2023']]]*1000</f>
        <v>-1434.3344799597332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-8914.9644555146897</v>
      </c>
      <c r="D22">
        <f>Table1517[[#This Row],[GWh '[2035'] SP]]/1000</f>
        <v>-8.9149644555146903</v>
      </c>
      <c r="E22">
        <v>2579</v>
      </c>
      <c r="F22">
        <f>Table1517[[#This Row],[TWh '[2023']]]*1000</f>
        <v>-8914.9644555146897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-2149.7543213976683</v>
      </c>
      <c r="D23">
        <f>Table1517[[#This Row],[GWh '[2035'] SP]]/1000</f>
        <v>-2.1497543213976682</v>
      </c>
      <c r="E23">
        <v>621.9</v>
      </c>
      <c r="F23">
        <f>Table1517[[#This Row],[TWh '[2023']]]*1000</f>
        <v>-2149.7543213976683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-202649.61418580936</v>
      </c>
      <c r="D24">
        <f>Table1517[[#This Row],[GWh '[2035'] SP]]/1000</f>
        <v>-202.64961418580936</v>
      </c>
      <c r="E24">
        <v>17407.599999999999</v>
      </c>
      <c r="F24">
        <f>Table1517[[#This Row],[TWh '[2023']]]*1000</f>
        <v>-202649.61418580936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-3441.1173866675967</v>
      </c>
      <c r="D25">
        <f>Table1517[[#This Row],[GWh '[2035'] SP]]/1000</f>
        <v>-3.4411173866675968</v>
      </c>
      <c r="E25">
        <v>2076.3000000000002</v>
      </c>
      <c r="F25">
        <f>Table1517[[#This Row],[TWh '[2023']]]*1000</f>
        <v>-3441.1173866675967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-36990.351093231686</v>
      </c>
      <c r="D26">
        <f>Table1517[[#This Row],[GWh '[2035'] SP]]/1000</f>
        <v>-36.990351093231688</v>
      </c>
      <c r="E26">
        <v>5367.6</v>
      </c>
      <c r="F26">
        <f>Table1517[[#This Row],[TWh '[2023']]]*1000</f>
        <v>-36990.351093231686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-67925.876131738958</v>
      </c>
      <c r="D27">
        <f>Table1517[[#This Row],[GWh '[2035'] SP]]/1000</f>
        <v>-67.92587613173896</v>
      </c>
      <c r="E27">
        <f>SUMIF(D2:D26,"=0",E2:E26)+SUMIF(D28:D42,"=0",E28:E42)</f>
        <v>0</v>
      </c>
      <c r="F27">
        <f>Table1517[[#This Row],[TWh '[2023']]]*1000</f>
        <v>-67925.876131738958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-153980.87102322056</v>
      </c>
      <c r="D28">
        <f>Table1517[[#This Row],[GWh '[2035'] SP]]/1000</f>
        <v>-153.98087102322057</v>
      </c>
      <c r="E28">
        <v>37958.1</v>
      </c>
      <c r="F28">
        <f>Table1517[[#This Row],[TWh '[2023']]]*1000</f>
        <v>-153980.87102322056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-35230.560175107188</v>
      </c>
      <c r="D29">
        <f>Table1517[[#This Row],[GWh '[2035'] SP]]/1000</f>
        <v>-35.230560175107186</v>
      </c>
      <c r="E29">
        <v>10295.9</v>
      </c>
      <c r="F29">
        <f>Table1517[[#This Row],[TWh '[2023']]]*1000</f>
        <v>-35230.560175107188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-71444.079999016365</v>
      </c>
      <c r="D30">
        <f>Table1517[[#This Row],[GWh '[2035'] SP]]/1000</f>
        <v>-71.444079999016367</v>
      </c>
      <c r="E30">
        <v>19318</v>
      </c>
      <c r="F30">
        <f>Table1517[[#This Row],[TWh '[2023']]]*1000</f>
        <v>-71444.079999016365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-23943.886891823808</v>
      </c>
      <c r="D32">
        <f>Table1517[[#This Row],[GWh '[2035'] SP]]/1000</f>
        <v>-23.943886891823809</v>
      </c>
      <c r="E32">
        <v>6926.7</v>
      </c>
      <c r="F32">
        <f>Table1517[[#This Row],[TWh '[2023']]]*1000</f>
        <v>-23943.886891823808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-33009.731025742927</v>
      </c>
      <c r="D33">
        <f>Table1517[[#This Row],[GWh '[2035'] SP]]/1000</f>
        <v>-33.00973102574293</v>
      </c>
      <c r="E33">
        <v>5457.9</v>
      </c>
      <c r="F33">
        <f>Table1517[[#This Row],[TWh '[2023']]]*1000</f>
        <v>-33009.731025742927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-6028.4272446024452</v>
      </c>
      <c r="D34">
        <f>Table1517[[#This Row],[GWh '[2035'] SP]]/1000</f>
        <v>-6.0284272446024456</v>
      </c>
      <c r="E34">
        <v>2095.9</v>
      </c>
      <c r="F34">
        <f>Table1517[[#This Row],[TWh '[2023']]]*1000</f>
        <v>-6028.4272446024452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-230375.55889187026</v>
      </c>
      <c r="D35">
        <f>Table1517[[#This Row],[GWh '[2035'] SP]]/1000</f>
        <v>-230.37555889187027</v>
      </c>
      <c r="E35">
        <v>47330</v>
      </c>
      <c r="F35">
        <f>Table1517[[#This Row],[TWh '[2023']]]*1000</f>
        <v>-230375.55889187026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-5631.5472287752436</v>
      </c>
      <c r="D36">
        <f>Table1517[[#This Row],[GWh '[2035'] SP]]/1000</f>
        <v>-5.6315472287752435</v>
      </c>
      <c r="E36">
        <v>10327.6</v>
      </c>
      <c r="F36">
        <f>Table1517[[#This Row],[TWh '[2023']]]*1000</f>
        <v>-5631.5472287752436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-26759.936134266001</v>
      </c>
      <c r="D37">
        <f>Table1517[[#This Row],[GWh '[2035'] SP]]/1000</f>
        <v>-26.759936134266002</v>
      </c>
      <c r="E37">
        <v>8606</v>
      </c>
      <c r="F37">
        <f>Table1517[[#This Row],[TWh '[2023']]]*1000</f>
        <v>-26759.936134266001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-472269.7821085882</v>
      </c>
      <c r="D38">
        <f>Table1517[[#This Row],[GWh '[2035'] SP]]/1000</f>
        <v>-472.26978210858817</v>
      </c>
      <c r="E38">
        <v>83155</v>
      </c>
      <c r="F38">
        <f>Table1517[[#This Row],[TWh '[2023']]]*1000</f>
        <v>-472269.7821085882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-619269.0321018775</v>
      </c>
      <c r="D39">
        <f>Table1517[[#This Row],[GWh '[2035'] SP]]/1000</f>
        <v>-619.26903210187754</v>
      </c>
      <c r="E39">
        <v>67025.5</v>
      </c>
      <c r="F39">
        <f>Table1517[[#This Row],[TWh '[2023']]]*1000</f>
        <v>-619269.0321018775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-182737.00660405925</v>
      </c>
      <c r="D40">
        <f>Table1517[[#This Row],[GWh '[2035'] SP]]/1000</f>
        <v>-182.73700660405925</v>
      </c>
      <c r="E40">
        <v>41733</v>
      </c>
      <c r="F40">
        <f>Table1517[[#This Row],[TWh '[2023']]]*1000</f>
        <v>-182737.00660405925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-2475.1049712480435</v>
      </c>
      <c r="D41">
        <f>Table1517[[#This Row],[GWh '[2035'] SP]]/1000</f>
        <v>-2.4751049712480433</v>
      </c>
      <c r="E41">
        <v>888</v>
      </c>
      <c r="F41">
        <f>Table1517[[#This Row],[TWh '[2023']]]*1000</f>
        <v>-2475.1049712480435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-6159.9327877965015</v>
      </c>
      <c r="D42">
        <f>Table1517[[#This Row],[GWh '[2035'] SP]]/1000</f>
        <v>-6.1599327877965013</v>
      </c>
      <c r="E42">
        <v>1782</v>
      </c>
      <c r="F42">
        <f>Table1517[[#This Row],[TWh '[2023']]]*1000</f>
        <v>-6159.9327877965015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K9" sqref="K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089843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-7476.8171844513581</v>
      </c>
      <c r="D2">
        <f>Table151718[[#This Row],[GWh '[2035'] SP]]/1000</f>
        <v>-7.4768171844513578</v>
      </c>
      <c r="E2">
        <v>2846</v>
      </c>
      <c r="F2">
        <f>Table151718[[#This Row],[TWh '[2023']]]*1000</f>
        <v>-7476.8171844513581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-35159.800468421301</v>
      </c>
      <c r="D3">
        <f>Table151718[[#This Row],[GWh '[2035'] SP]]/1000</f>
        <v>-35.159800468421302</v>
      </c>
      <c r="E3">
        <v>8901.1</v>
      </c>
      <c r="F3">
        <f>Table151718[[#This Row],[TWh '[2023']]]*1000</f>
        <v>-35159.800468421301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-70031.32447017821</v>
      </c>
      <c r="D4">
        <f>Table151718[[#This Row],[GWh '[2035'] SP]]/1000</f>
        <v>-70.031324470178205</v>
      </c>
      <c r="E4">
        <v>11549.9</v>
      </c>
      <c r="F4">
        <f>Table151718[[#This Row],[TWh '[2023']]]*1000</f>
        <v>-70031.32447017821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-3876.3364026575937</v>
      </c>
      <c r="D5">
        <f>Table151718[[#This Row],[GWh '[2035'] SP]]/1000</f>
        <v>-3.8763364026575937</v>
      </c>
      <c r="E5">
        <v>3492</v>
      </c>
      <c r="F5">
        <f>Table151718[[#This Row],[TWh '[2023']]]*1000</f>
        <v>-3876.3364026575937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-12906.563066244011</v>
      </c>
      <c r="D6">
        <f>Table151718[[#This Row],[GWh '[2035'] SP]]/1000</f>
        <v>-12.906563066244011</v>
      </c>
      <c r="E6">
        <v>6951.5</v>
      </c>
      <c r="F6">
        <f>Table151718[[#This Row],[TWh '[2023']]]*1000</f>
        <v>-12906.563066244011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-12774.450638568074</v>
      </c>
      <c r="D7">
        <f>Table151718[[#This Row],[GWh '[2035'] SP]]/1000</f>
        <v>-12.774450638568075</v>
      </c>
      <c r="E7">
        <v>4058.2</v>
      </c>
      <c r="F7">
        <f>Table151718[[#This Row],[TWh '[2023']]]*1000</f>
        <v>-12774.450638568074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-34220.786277184983</v>
      </c>
      <c r="D8">
        <f>Table151718[[#This Row],[GWh '[2035'] SP]]/1000</f>
        <v>-34.220786277184985</v>
      </c>
      <c r="E8">
        <v>10693.9</v>
      </c>
      <c r="F8">
        <f>Table151718[[#This Row],[TWh '[2023']]]*1000</f>
        <v>-34220.786277184983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-8329.745592838095</v>
      </c>
      <c r="D9">
        <f>Table151718[[#This Row],[GWh '[2035'] SP]]/1000</f>
        <v>-8.3297455928380959</v>
      </c>
      <c r="E9">
        <v>5822.8</v>
      </c>
      <c r="F9">
        <f>Table151718[[#This Row],[TWh '[2023']]]*1000</f>
        <v>-8329.745592838095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-1889.9192514399053</v>
      </c>
      <c r="D10">
        <f>Table151718[[#This Row],[GWh '[2035'] SP]]/1000</f>
        <v>-1.8899192514399052</v>
      </c>
      <c r="E10">
        <v>1329</v>
      </c>
      <c r="F10">
        <f>Table151718[[#This Row],[TWh '[2023']]]*1000</f>
        <v>-1889.9192514399053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-6102.8559127895032</v>
      </c>
      <c r="D11">
        <f>Table151718[[#This Row],[GWh '[2035'] SP]]/1000</f>
        <v>-6.1028559127895035</v>
      </c>
      <c r="E11">
        <v>5525.3</v>
      </c>
      <c r="F11">
        <f>Table151718[[#This Row],[TWh '[2023']]]*1000</f>
        <v>-6102.8559127895032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-173028.48276060028</v>
      </c>
      <c r="D12">
        <f>Table151718[[#This Row],[GWh '[2035'] SP]]/1000</f>
        <v>-173.02848276060027</v>
      </c>
      <c r="E12">
        <v>67098.8</v>
      </c>
      <c r="F12">
        <f>Table151718[[#This Row],[TWh '[2023']]]*1000</f>
        <v>-173028.48276060028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-386603.2404412867</v>
      </c>
      <c r="D13">
        <f>Table151718[[#This Row],[GWh '[2035'] SP]]/1000</f>
        <v>-386.60324044128669</v>
      </c>
      <c r="E13">
        <v>83166.7</v>
      </c>
      <c r="F13">
        <f>Table151718[[#This Row],[TWh '[2023']]]*1000</f>
        <v>-386603.2404412867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-27500.278596650245</v>
      </c>
      <c r="D14">
        <f>Table151718[[#This Row],[GWh '[2035'] SP]]/1000</f>
        <v>-27.500278596650244</v>
      </c>
      <c r="E14">
        <v>10709.7</v>
      </c>
      <c r="F14">
        <f>Table151718[[#This Row],[TWh '[2023']]]*1000</f>
        <v>-27500.278596650245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-41820.295963326549</v>
      </c>
      <c r="D15">
        <f>Table151718[[#This Row],[GWh '[2035'] SP]]/1000</f>
        <v>-41.820295963326551</v>
      </c>
      <c r="E15">
        <v>9769.5</v>
      </c>
      <c r="F15">
        <f>Table151718[[#This Row],[TWh '[2023']]]*1000</f>
        <v>-41820.295963326549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-24645.279637319145</v>
      </c>
      <c r="D16">
        <f>Table151718[[#This Row],[GWh '[2035'] SP]]/1000</f>
        <v>-24.645279637319145</v>
      </c>
      <c r="E16">
        <v>4963.8</v>
      </c>
      <c r="F16">
        <f>Table151718[[#This Row],[TWh '[2023']]]*1000</f>
        <v>-24645.279637319145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-299403.85545349133</v>
      </c>
      <c r="D17">
        <f>Table151718[[#This Row],[GWh '[2035'] SP]]/1000</f>
        <v>-299.4038554534913</v>
      </c>
      <c r="E17">
        <v>60244.6</v>
      </c>
      <c r="F17">
        <f>Table151718[[#This Row],[TWh '[2023']]]*1000</f>
        <v>-299403.85545349133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-3919.5510135210252</v>
      </c>
      <c r="D18">
        <f>Table151718[[#This Row],[GWh '[2035'] SP]]/1000</f>
        <v>-3.9195510135210254</v>
      </c>
      <c r="E18">
        <v>1907.7</v>
      </c>
      <c r="F18">
        <f>Table151718[[#This Row],[TWh '[2023']]]*1000</f>
        <v>-3919.5510135210252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-7999.0187375912619</v>
      </c>
      <c r="D19">
        <f>Table151718[[#This Row],[GWh '[2035'] SP]]/1000</f>
        <v>-7.9990187375912623</v>
      </c>
      <c r="E19">
        <v>2794.1</v>
      </c>
      <c r="F19">
        <f>Table151718[[#This Row],[TWh '[2023']]]*1000</f>
        <v>-7999.0187375912619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-2930.0712491568961</v>
      </c>
      <c r="D20">
        <f>Table151718[[#This Row],[GWh '[2035'] SP]]/1000</f>
        <v>-2.9300712491568963</v>
      </c>
      <c r="E20">
        <v>626.1</v>
      </c>
      <c r="F20">
        <f>Table151718[[#This Row],[TWh '[2023']]]*1000</f>
        <v>-2930.0712491568961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-932.03835857305626</v>
      </c>
      <c r="D21">
        <f>Table151718[[#This Row],[GWh '[2035'] SP]]/1000</f>
        <v>-0.93203835857305628</v>
      </c>
      <c r="E21">
        <v>514.6</v>
      </c>
      <c r="F21">
        <f>Table151718[[#This Row],[TWh '[2023']]]*1000</f>
        <v>-932.03835857305626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-6775.3729861911652</v>
      </c>
      <c r="D22">
        <f>Table151718[[#This Row],[GWh '[2035'] SP]]/1000</f>
        <v>-6.7753729861911651</v>
      </c>
      <c r="E22">
        <v>2579</v>
      </c>
      <c r="F22">
        <f>Table151718[[#This Row],[TWh '[2023']]]*1000</f>
        <v>-6775.3729861911652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-1633.8132842622279</v>
      </c>
      <c r="D23">
        <f>Table151718[[#This Row],[GWh '[2035'] SP]]/1000</f>
        <v>-1.6338132842622279</v>
      </c>
      <c r="E23">
        <v>621.9</v>
      </c>
      <c r="F23">
        <f>Table151718[[#This Row],[TWh '[2023']]]*1000</f>
        <v>-1633.8132842622279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-131682.82322579829</v>
      </c>
      <c r="D24">
        <f>Table151718[[#This Row],[GWh '[2035'] SP]]/1000</f>
        <v>-131.6828232257983</v>
      </c>
      <c r="E24">
        <v>17407.599999999999</v>
      </c>
      <c r="F24">
        <f>Table151718[[#This Row],[TWh '[2023']]]*1000</f>
        <v>-131682.82322579829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-2615.2492138673738</v>
      </c>
      <c r="D25">
        <f>Table151718[[#This Row],[GWh '[2035'] SP]]/1000</f>
        <v>-2.615249213867374</v>
      </c>
      <c r="E25">
        <v>2076.3000000000002</v>
      </c>
      <c r="F25">
        <f>Table151718[[#This Row],[TWh '[2023']]]*1000</f>
        <v>-2615.2492138673738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-28112.666830856084</v>
      </c>
      <c r="D26">
        <f>Table151718[[#This Row],[GWh '[2035'] SP]]/1000</f>
        <v>-28.112666830856085</v>
      </c>
      <c r="E26">
        <v>5367.6</v>
      </c>
      <c r="F26">
        <f>Table151718[[#This Row],[TWh '[2023']]]*1000</f>
        <v>-28112.666830856084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-51623.665860121619</v>
      </c>
      <c r="D27">
        <f>Table151718[[#This Row],[GWh '[2035'] SP]]/1000</f>
        <v>-51.623665860121619</v>
      </c>
      <c r="E27">
        <f>SUMIF(D2:D26,"=0",E2:E26)+SUMIF(D28:D42,"=0",E28:E42)</f>
        <v>0</v>
      </c>
      <c r="F27">
        <f>Table151718[[#This Row],[TWh '[2023']]]*1000</f>
        <v>-51623.665860121619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-100057.60879719004</v>
      </c>
      <c r="D28">
        <f>Table151718[[#This Row],[GWh '[2035'] SP]]/1000</f>
        <v>-100.05760879719004</v>
      </c>
      <c r="E28">
        <v>37958.1</v>
      </c>
      <c r="F28">
        <f>Table151718[[#This Row],[TWh '[2023']]]*1000</f>
        <v>-100057.60879719004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-22893.009919233078</v>
      </c>
      <c r="D29">
        <f>Table151718[[#This Row],[GWh '[2035'] SP]]/1000</f>
        <v>-22.893009919233076</v>
      </c>
      <c r="E29">
        <v>10295.9</v>
      </c>
      <c r="F29">
        <f>Table151718[[#This Row],[TWh '[2023']]]*1000</f>
        <v>-22893.009919233078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-46424.752372901683</v>
      </c>
      <c r="D30">
        <f>Table151718[[#This Row],[GWh '[2035'] SP]]/1000</f>
        <v>-46.424752372901686</v>
      </c>
      <c r="E30">
        <v>19318</v>
      </c>
      <c r="F30">
        <f>Table151718[[#This Row],[TWh '[2023']]]*1000</f>
        <v>-46424.752372901683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-18197.354037786095</v>
      </c>
      <c r="D32">
        <f>Table151718[[#This Row],[GWh '[2035'] SP]]/1000</f>
        <v>-18.197354037786095</v>
      </c>
      <c r="E32">
        <v>6926.7</v>
      </c>
      <c r="F32">
        <f>Table151718[[#This Row],[TWh '[2023']]]*1000</f>
        <v>-18197.354037786095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-21449.903040074201</v>
      </c>
      <c r="D33">
        <f>Table151718[[#This Row],[GWh '[2035'] SP]]/1000</f>
        <v>-21.449903040074201</v>
      </c>
      <c r="E33">
        <v>5457.9</v>
      </c>
      <c r="F33">
        <f>Table151718[[#This Row],[TWh '[2023']]]*1000</f>
        <v>-21449.903040074201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-3917.3048632241575</v>
      </c>
      <c r="D34">
        <f>Table151718[[#This Row],[GWh '[2035'] SP]]/1000</f>
        <v>-3.9173048632241576</v>
      </c>
      <c r="E34">
        <v>2095.9</v>
      </c>
      <c r="F34">
        <f>Table151718[[#This Row],[TWh '[2023']]]*1000</f>
        <v>-3917.3048632241575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-149699.29313207133</v>
      </c>
      <c r="D35">
        <f>Table151718[[#This Row],[GWh '[2035'] SP]]/1000</f>
        <v>-149.69929313207132</v>
      </c>
      <c r="E35">
        <v>47330</v>
      </c>
      <c r="F35">
        <f>Table151718[[#This Row],[TWh '[2023']]]*1000</f>
        <v>-149699.29313207133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-3659.4100669473373</v>
      </c>
      <c r="D36">
        <f>Table151718[[#This Row],[GWh '[2035'] SP]]/1000</f>
        <v>-3.6594100669473373</v>
      </c>
      <c r="E36">
        <v>10327.6</v>
      </c>
      <c r="F36">
        <f>Table151718[[#This Row],[TWh '[2023']]]*1000</f>
        <v>-3659.4100669473373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-20337.551462042164</v>
      </c>
      <c r="D37">
        <f>Table151718[[#This Row],[GWh '[2035'] SP]]/1000</f>
        <v>-20.337551462042164</v>
      </c>
      <c r="E37">
        <v>8606</v>
      </c>
      <c r="F37">
        <f>Table151718[[#This Row],[TWh '[2023']]]*1000</f>
        <v>-20337.551462042164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-358925.03440252703</v>
      </c>
      <c r="D38">
        <f>Table151718[[#This Row],[GWh '[2035'] SP]]/1000</f>
        <v>-358.92503440252705</v>
      </c>
      <c r="E38">
        <v>83155</v>
      </c>
      <c r="F38">
        <f>Table151718[[#This Row],[TWh '[2023']]]*1000</f>
        <v>-358925.03440252703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-470644.46439742693</v>
      </c>
      <c r="D39">
        <f>Table151718[[#This Row],[GWh '[2035'] SP]]/1000</f>
        <v>-470.64446439742693</v>
      </c>
      <c r="E39">
        <v>67025.5</v>
      </c>
      <c r="F39">
        <f>Table151718[[#This Row],[TWh '[2023']]]*1000</f>
        <v>-470644.46439742693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-138880.12501908504</v>
      </c>
      <c r="D40">
        <f>Table151718[[#This Row],[GWh '[2035'] SP]]/1000</f>
        <v>-138.88012501908503</v>
      </c>
      <c r="E40">
        <v>41733</v>
      </c>
      <c r="F40">
        <f>Table151718[[#This Row],[TWh '[2023']]]*1000</f>
        <v>-138880.12501908504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-1608.3366933790787</v>
      </c>
      <c r="D41">
        <f>Table151718[[#This Row],[GWh '[2035'] SP]]/1000</f>
        <v>-1.6083366933790788</v>
      </c>
      <c r="E41">
        <v>888</v>
      </c>
      <c r="F41">
        <f>Table151718[[#This Row],[TWh '[2023']]]*1000</f>
        <v>-1608.3366933790787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-4681.5489187253415</v>
      </c>
      <c r="D42">
        <f>Table151718[[#This Row],[GWh '[2035'] SP]]/1000</f>
        <v>-4.6815489187253414</v>
      </c>
      <c r="E42">
        <v>1782</v>
      </c>
      <c r="F42">
        <f>Table151718[[#This Row],[TWh '[2023']]]*1000</f>
        <v>-4681.5489187253415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topLeftCell="A8" workbookViewId="0">
      <selection activeCell="F5" sqref="F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topLeftCell="A26" workbookViewId="0">
      <selection activeCell="D84" sqref="D84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8" workbookViewId="0">
      <selection activeCell="O22" sqref="O22"/>
    </sheetView>
  </sheetViews>
  <sheetFormatPr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172</v>
      </c>
      <c r="B3" t="s">
        <v>46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98</v>
      </c>
    </row>
    <row r="37" spans="1:6">
      <c r="A37" t="s">
        <v>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topLeftCell="A70" workbookViewId="0">
      <selection activeCell="I73" sqref="I73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C78" sqref="C78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15"/>
  <sheetViews>
    <sheetView topLeftCell="A203" workbookViewId="0">
      <selection activeCell="B211" sqref="B211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tabSelected="1" topLeftCell="A203" workbookViewId="0">
      <selection activeCell="M212" sqref="M212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nodes_lng_europe_2020</vt:lpstr>
      <vt:lpstr>nodes_lng_europe_2024</vt:lpstr>
      <vt:lpstr>nodes_lng_europe_2035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nodes_demand_europe_2020</vt:lpstr>
      <vt:lpstr>nodes_demand_world_2020</vt:lpstr>
      <vt:lpstr>nodes_demand_europe_2024</vt:lpstr>
      <vt:lpstr>nodes_demand_europe_2035</vt:lpstr>
      <vt:lpstr>nodes_demand_europe_2035_SP</vt:lpstr>
      <vt:lpstr>nodes_demand_europe_2035_AP</vt:lpstr>
      <vt:lpstr>nodes_demand_world_2024</vt:lpstr>
      <vt:lpstr>nodes_demand_world_2035</vt:lpstr>
      <vt:lpstr>Connections_2020</vt:lpstr>
      <vt:lpstr>Import_Connections_EU</vt:lpstr>
      <vt:lpstr>Connections_2024</vt:lpstr>
      <vt:lpstr>Connections_2035</vt:lpstr>
      <vt:lpstr>Global_Connections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2025-05-06T13:47:44Z</dcterms:modified>
</cp:coreProperties>
</file>