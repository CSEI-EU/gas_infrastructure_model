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6817EC08-3183-4381-9A7B-AF9246AFDA86}" xr6:coauthVersionLast="47" xr6:coauthVersionMax="47" xr10:uidLastSave="{00000000-0000-0000-0000-000000000000}"/>
  <bookViews>
    <workbookView xWindow="-4590" yWindow="-21720" windowWidth="38640" windowHeight="21120" activeTab="8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Sheet1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8" i="8" l="1"/>
  <c r="F119" i="8"/>
  <c r="F120" i="8"/>
  <c r="F121" i="8"/>
  <c r="F122" i="8"/>
  <c r="F123" i="8"/>
  <c r="F124" i="8"/>
  <c r="F125" i="8"/>
  <c r="F126" i="8"/>
  <c r="G118" i="8"/>
  <c r="G119" i="8"/>
  <c r="G120" i="8"/>
  <c r="G121" i="8"/>
  <c r="G122" i="8"/>
  <c r="G123" i="8"/>
  <c r="G124" i="8"/>
  <c r="G125" i="8"/>
  <c r="G126" i="8"/>
  <c r="C59" i="7"/>
  <c r="C60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E67" i="7"/>
  <c r="F67" i="7"/>
  <c r="C64" i="6"/>
  <c r="C64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E76" i="6"/>
  <c r="F76" i="6"/>
  <c r="F112" i="4"/>
  <c r="G112" i="4" s="1"/>
  <c r="F113" i="4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G113" i="4"/>
  <c r="C69" i="3"/>
  <c r="C67" i="3"/>
  <c r="C62" i="3"/>
  <c r="C70" i="3"/>
  <c r="C60" i="3"/>
  <c r="C61" i="3"/>
  <c r="C59" i="3"/>
  <c r="F75" i="6"/>
  <c r="E75" i="6"/>
  <c r="F74" i="6"/>
  <c r="E74" i="6"/>
  <c r="F73" i="6"/>
  <c r="E73" i="6"/>
  <c r="F72" i="6"/>
  <c r="E72" i="6"/>
  <c r="F71" i="6"/>
  <c r="E71" i="6"/>
  <c r="E70" i="6"/>
  <c r="C70" i="6"/>
  <c r="F70" i="6" s="1"/>
  <c r="E69" i="6"/>
  <c r="F68" i="6"/>
  <c r="E68" i="6"/>
  <c r="E67" i="6"/>
  <c r="C67" i="6"/>
  <c r="F67" i="6" s="1"/>
  <c r="F66" i="6"/>
  <c r="E66" i="6"/>
  <c r="C66" i="6"/>
  <c r="C69" i="6" s="1"/>
  <c r="F69" i="6" s="1"/>
  <c r="F65" i="6"/>
  <c r="E65" i="6"/>
  <c r="E64" i="6"/>
  <c r="F64" i="6"/>
  <c r="F63" i="6"/>
  <c r="E63" i="6"/>
  <c r="F62" i="6"/>
  <c r="E62" i="6"/>
  <c r="C62" i="6"/>
  <c r="F61" i="6"/>
  <c r="E61" i="6"/>
  <c r="F60" i="6"/>
  <c r="E60" i="6"/>
  <c r="C60" i="6"/>
  <c r="F59" i="6"/>
  <c r="E59" i="6"/>
  <c r="C59" i="6"/>
  <c r="F58" i="6"/>
  <c r="E58" i="6"/>
  <c r="C64" i="7"/>
  <c r="C57" i="7"/>
  <c r="C66" i="2"/>
  <c r="E66" i="7"/>
  <c r="F66" i="7"/>
  <c r="C65" i="7"/>
  <c r="C55" i="7"/>
  <c r="C54" i="7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F54" i="7"/>
  <c r="E54" i="7"/>
  <c r="F53" i="7"/>
  <c r="E53" i="7"/>
  <c r="C65" i="2"/>
  <c r="C58" i="2"/>
  <c r="C56" i="2"/>
  <c r="C55" i="2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F117" i="8" l="1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F30" i="7"/>
  <c r="E30" i="7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F25" i="7"/>
  <c r="E25" i="7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F19" i="7"/>
  <c r="E19" i="7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F10" i="7"/>
  <c r="E10" i="7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F6" i="7"/>
  <c r="E6" i="7"/>
  <c r="M5" i="7"/>
  <c r="L5" i="7"/>
  <c r="F5" i="7"/>
  <c r="E5" i="7"/>
  <c r="M4" i="7"/>
  <c r="L4" i="7"/>
  <c r="F4" i="7"/>
  <c r="E4" i="7"/>
  <c r="M3" i="7"/>
  <c r="L3" i="7"/>
  <c r="F3" i="7"/>
  <c r="E3" i="7"/>
  <c r="M2" i="7"/>
  <c r="L2" i="7"/>
  <c r="F2" i="7"/>
  <c r="E2" i="7"/>
  <c r="E2" i="2"/>
  <c r="E40" i="2"/>
  <c r="F40" i="2" s="1"/>
  <c r="F3" i="2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4" i="3"/>
  <c r="F25" i="3"/>
  <c r="F26" i="3"/>
  <c r="F27" i="3"/>
  <c r="F28" i="3"/>
  <c r="F29" i="3"/>
  <c r="F30" i="3"/>
  <c r="F33" i="3"/>
  <c r="F34" i="3"/>
  <c r="F35" i="3"/>
  <c r="F36" i="3"/>
  <c r="F37" i="3"/>
  <c r="F38" i="3"/>
  <c r="F39" i="3"/>
  <c r="F40" i="3"/>
  <c r="E27" i="3"/>
  <c r="F31" i="3" s="1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</calcChain>
</file>

<file path=xl/sharedStrings.xml><?xml version="1.0" encoding="utf-8"?>
<sst xmlns="http://schemas.openxmlformats.org/spreadsheetml/2006/main" count="1210" uniqueCount="186">
  <si>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</si>
  <si>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</si>
  <si>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</si>
  <si>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</si>
  <si>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</si>
  <si>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</si>
  <si>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</si>
  <si>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</si>
  <si>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</si>
  <si>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</si>
  <si>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</si>
  <si>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</si>
  <si>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</si>
  <si>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</si>
  <si>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</si>
  <si>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</si>
  <si>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</si>
  <si>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</si>
  <si>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</si>
  <si>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</si>
  <si>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</si>
  <si>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</si>
  <si>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</si>
  <si>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</si>
  <si>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</si>
  <si>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</si>
  <si>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</si>
  <si>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</si>
  <si>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</si>
  <si>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</si>
  <si>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</si>
  <si>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</si>
  <si>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</si>
  <si>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</si>
  <si>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</si>
  <si>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</si>
  <si>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</si>
  <si>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</si>
  <si>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</si>
  <si>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</si>
  <si>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</si>
  <si>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</si>
  <si>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</si>
  <si>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</si>
  <si>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</si>
  <si>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</si>
  <si>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</si>
  <si>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</si>
  <si>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</si>
  <si>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</si>
  <si>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</si>
  <si>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</si>
  <si>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</si>
  <si>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</si>
  <si>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</si>
  <si>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</si>
  <si>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</si>
  <si>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</si>
  <si>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</si>
  <si>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</si>
  <si>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</si>
  <si>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</si>
  <si>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</si>
  <si>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</si>
  <si>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</si>
  <si>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</si>
  <si>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</si>
  <si>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</si>
  <si>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</si>
  <si>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</si>
  <si>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</si>
  <si>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</si>
  <si>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</si>
  <si>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</si>
  <si>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</si>
  <si>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</si>
  <si>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</si>
  <si>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</si>
  <si>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</si>
  <si>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</si>
  <si>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</si>
  <si>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</si>
  <si>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</si>
  <si>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</si>
  <si>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</si>
  <si>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</si>
  <si>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</si>
  <si>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</si>
  <si>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</si>
  <si>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</si>
  <si>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</si>
  <si>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</si>
  <si>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</si>
  <si>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</si>
  <si>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</si>
  <si>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</si>
  <si>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</si>
  <si>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</si>
  <si>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</si>
  <si>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</si>
  <si>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</si>
  <si>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</si>
  <si>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</si>
  <si>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</si>
  <si>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</si>
  <si>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</si>
  <si>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</si>
  <si>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</si>
  <si>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</si>
  <si>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</si>
  <si>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</si>
  <si>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</si>
  <si>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</si>
  <si>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</si>
  <si>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</si>
  <si>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</si>
  <si>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</si>
  <si>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</si>
  <si>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</si>
  <si>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</si>
  <si>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</si>
  <si>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</si>
  <si>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</si>
  <si>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</si>
  <si>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</si>
  <si>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</si>
  <si>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</si>
  <si>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</si>
  <si>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</si>
  <si>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</si>
  <si>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</si>
  <si>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</si>
  <si>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</si>
  <si>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</si>
  <si>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</si>
  <si>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</si>
  <si>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</si>
  <si>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</si>
  <si>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</si>
  <si>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</si>
  <si>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</si>
  <si>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</si>
  <si>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</si>
  <si>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</si>
  <si>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</si>
  <si>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</si>
  <si>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</si>
  <si>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</si>
  <si>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</si>
  <si>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</si>
  <si>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</si>
  <si>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</si>
  <si>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</si>
  <si>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</si>
  <si>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NA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</si>
  <si>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</si>
  <si>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</si>
  <si>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</si>
  <si>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</si>
  <si>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</si>
  <si>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</si>
  <si>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</si>
  <si>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</si>
  <si>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</si>
  <si>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</si>
  <si>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</si>
  <si>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</si>
  <si>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</si>
  <si>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</si>
  <si>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Quatar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</si>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</sst>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2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0" xfId="0" applyNumberFormat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36"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35"/>
    <tableColumn id="5" xr3:uid="{4278F9D8-E46F-44B9-A622-727B8E2C8EF1}" name="Mil m3 EU [2020]" dataDxfId="34"/>
    <tableColumn id="6" xr3:uid="{F2BDB73C-713D-4BC7-B762-048AA072F297}" name="Mrd m3 EU [2020]" dataDxfId="33">
      <calculatedColumnFormula>Table2[[#This Row],[Mil m3 EU '[2020']]]/1000</calculatedColumnFormula>
    </tableColumn>
    <tableColumn id="4" xr3:uid="{5BB2DA97-8C23-44BC-9268-BDBE2BCDBBC8}" name="TWh [2020]" dataDxfId="32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1" headerRowBorderDxfId="30" tableBorderDxfId="29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1">
      <calculatedColumnFormula>Table79[[#This Row],[Mil m3 '[2020']]]/1000</calculatedColumnFormula>
    </tableColumn>
    <tableColumn id="6" xr3:uid="{ECFA587C-DE79-4510-9945-328AB8DBC35F}" name="TWh [2020]" dataDxfId="0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28"/>
    <tableColumn id="5" xr3:uid="{42F1A333-D727-4655-B618-A9AB5617745F}" name="Mil m3 EU [2020]" dataDxfId="27"/>
    <tableColumn id="6" xr3:uid="{326B3A9A-70B2-4D34-8E01-54CBBD0565E6}" name="Mrd m3 EU [2020]" dataDxfId="26">
      <calculatedColumnFormula>Table26[[#This Row],[Mil m3 EU '[2020']]]/1000</calculatedColumnFormula>
    </tableColumn>
    <tableColumn id="4" xr3:uid="{DC1916A1-B3CC-4586-AE6D-12CF46A9C0F0}" name="TWh [2020]" dataDxfId="25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13" headerRowBorderDxfId="11" tableBorderDxfId="12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10">
      <calculatedColumnFormula>Table79[[#This Row],[Mil m3 '[2020']]]/1000</calculatedColumnFormula>
    </tableColumn>
    <tableColumn id="6" xr3:uid="{0CF67BB6-4E02-4893-BB83-4858F32AB909}" name="TWh [2020]" dataDxfId="9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4"/>
    <tableColumn id="4" xr3:uid="{1618AAC4-0782-47C3-91CE-2FEB95FBDD58}" name="TWh [2020]" dataDxfId="23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2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6" totalsRowShown="0" headerRowDxfId="16" headerRowBorderDxfId="14" tableBorderDxfId="15">
  <autoFilter ref="A57:F76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3">
      <calculatedColumnFormula>Table791011[[#This Row],[Mil m3 '[2020']]]/1000</calculatedColumnFormula>
    </tableColumn>
    <tableColumn id="6" xr3:uid="{44160680-3C35-4A7A-9677-B7F78304684A}" name="TWh [2020]" dataDxfId="2">
      <calculatedColumnFormula>IF(Table791011[[#This Row],[Mil m3 '[2020']]]&gt;0,Table791011[[#This Row],[Mrd m3 '[2020']2]],Table791011[[#This Row],[Mrd m3 '[2020']]])*9.77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1"/>
    <tableColumn id="4" xr3:uid="{60E83C2D-D521-4D6A-800D-160C3176DFC7}" name="TWh [2023]" dataDxfId="20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9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6" totalsRowShown="0" headerRowDxfId="8" headerRowBorderDxfId="6" tableBorderDxfId="7">
  <autoFilter ref="A57:F76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5">
      <calculatedColumnFormula>Table791011[[#This Row],[Mil m3 '[2020']]]/1000</calculatedColumnFormula>
    </tableColumn>
    <tableColumn id="6" xr3:uid="{28EBAF35-966D-44B9-8859-9AC70136DAAC}" name="TWh [2020]" dataDxfId="4">
      <calculatedColumnFormula>IF(Table791011[[#This Row],[Mil m3 '[2020']]]&gt;0,Table791011[[#This Row],[Mrd m3 '[2020']2]],Table791011[[#This Row],[Mrd m3 '[2020']]])*9.77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8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7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C1" sqref="C1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topLeftCell="A25" workbookViewId="0">
      <selection activeCell="C61" sqref="C6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176</v>
      </c>
      <c r="E53" s="9" t="s">
        <v>177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165.613+35.5252809102083</f>
        <v>201.13828091020829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f>156.619145389645-29.4652641615749</f>
        <v>127.15388122807011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v>29.4652641615749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168</v>
      </c>
      <c r="C58">
        <f>667.939379731508-174.9348378172</f>
        <v>493.00454191430799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169</v>
      </c>
      <c r="C59">
        <v>174.93483781719999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170</v>
      </c>
      <c r="C60" s="2">
        <f>231.909048813308-C21-C3-C37-C68</f>
        <v>77.419550083247572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171</v>
      </c>
      <c r="C61">
        <v>145.71638020075315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172</v>
      </c>
      <c r="C62">
        <v>194.00921828908548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173</v>
      </c>
      <c r="C63">
        <v>0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174</v>
      </c>
      <c r="C64">
        <v>23.760626555099513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2679.4711234932433</v>
      </c>
    </row>
    <row r="65" spans="1:6">
      <c r="A65" t="s">
        <v>164</v>
      </c>
      <c r="B65" t="s">
        <v>175</v>
      </c>
      <c r="C65">
        <f>656.2735508682-C64-C62-C61-C63</f>
        <v>292.78732582326188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178</v>
      </c>
      <c r="B66" t="s">
        <v>179</v>
      </c>
      <c r="C66">
        <f>808.357450256401-638.446656032448</f>
        <v>169.91079422395296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5728.9540927535336</v>
      </c>
    </row>
    <row r="67" spans="1:6">
      <c r="A67" t="s">
        <v>41</v>
      </c>
      <c r="B67" t="s">
        <v>70</v>
      </c>
      <c r="C67">
        <v>638.446656032448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557.87103573034665</v>
      </c>
    </row>
    <row r="68" spans="1:6">
      <c r="A68" t="s">
        <v>184</v>
      </c>
      <c r="B68" t="s">
        <v>185</v>
      </c>
      <c r="C68">
        <v>58.465174157714841</v>
      </c>
      <c r="E68" s="2" t="e">
        <f>Table79[[#This Row],[Mil m3 '[2020']]]/1000</f>
        <v>#VALUE!</v>
      </c>
      <c r="F68" s="3" t="e">
        <f>IF(Table79[[#This Row],[Mil m3 '[2020']]]&gt;0,Table79[[#This Row],[Mrd m3 '[2020']2]],Table79[[#This Row],[Mrd m3 '[2020']]])*9.77</f>
        <v>#VALUE!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34" workbookViewId="0">
      <selection activeCell="J63" sqref="J63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176</v>
      </c>
      <c r="E52" s="9" t="s">
        <v>177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154</v>
      </c>
      <c r="B54" t="s">
        <v>165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155</v>
      </c>
      <c r="B55" t="s">
        <v>166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156</v>
      </c>
      <c r="B56" t="s">
        <v>167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157</v>
      </c>
      <c r="B57" t="s">
        <v>168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158</v>
      </c>
      <c r="B58" t="s">
        <v>169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159</v>
      </c>
      <c r="B59" t="s">
        <v>170</v>
      </c>
      <c r="C59" s="2">
        <f>253.649617284986-C21-C3-C37-C67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160</v>
      </c>
      <c r="B60" t="s">
        <v>171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161</v>
      </c>
      <c r="B61" t="s">
        <v>172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162</v>
      </c>
      <c r="B62" t="s">
        <v>173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163</v>
      </c>
      <c r="B63" t="s">
        <v>174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164</v>
      </c>
      <c r="B64" t="s">
        <v>175</v>
      </c>
      <c r="C64">
        <f>691.83903700697-C63-C61-C60-C62</f>
        <v>274.25497681609454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2679.4711234932433</v>
      </c>
    </row>
    <row r="65" spans="1:6">
      <c r="A65" t="s">
        <v>178</v>
      </c>
      <c r="B65" t="s">
        <v>179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41</v>
      </c>
      <c r="B66" t="s">
        <v>70</v>
      </c>
      <c r="C66">
        <v>586.38219987241905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5728.9540927535336</v>
      </c>
    </row>
    <row r="67" spans="1:6">
      <c r="A67" t="s">
        <v>184</v>
      </c>
      <c r="B67" t="s">
        <v>185</v>
      </c>
      <c r="C67">
        <v>57.100413073730465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557.87103573034665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0"/>
  <sheetViews>
    <sheetView topLeftCell="A39" workbookViewId="0">
      <selection activeCell="C65" sqref="C65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176</v>
      </c>
      <c r="E57" s="9" t="s">
        <v>177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</f>
        <v>8660.7846598998185</v>
      </c>
    </row>
    <row r="59" spans="1:6">
      <c r="A59" t="s">
        <v>154</v>
      </c>
      <c r="B59" t="s">
        <v>165</v>
      </c>
      <c r="C59">
        <f>1042.08498320178-834.549627821157</f>
        <v>207.53535538062306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</f>
        <v>2132.7907642308792</v>
      </c>
    </row>
    <row r="60" spans="1:6">
      <c r="A60" t="s">
        <v>155</v>
      </c>
      <c r="B60" t="s">
        <v>166</v>
      </c>
      <c r="C60">
        <f>148.570059919613-15.1856471767803</f>
        <v>133.38441274283269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</f>
        <v>1438.139604719081</v>
      </c>
    </row>
    <row r="61" spans="1:6">
      <c r="A61" t="s">
        <v>156</v>
      </c>
      <c r="B61" t="s">
        <v>167</v>
      </c>
      <c r="C61">
        <f>15.1856471767803</f>
        <v>15.1856471767803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</f>
        <v>141.70363816030851</v>
      </c>
    </row>
    <row r="62" spans="1:6">
      <c r="A62" t="s">
        <v>157</v>
      </c>
      <c r="B62" t="s">
        <v>168</v>
      </c>
      <c r="C62" s="2">
        <f>552.897499957585-38.4132347090566</f>
        <v>514.48426524852835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</f>
        <v>5212.4455255534276</v>
      </c>
    </row>
    <row r="63" spans="1:6">
      <c r="A63" t="s">
        <v>158</v>
      </c>
      <c r="B63" t="s">
        <v>181</v>
      </c>
      <c r="C63">
        <v>38.413234709056603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</f>
        <v>431.84687643593901</v>
      </c>
    </row>
    <row r="64" spans="1:6">
      <c r="A64" t="s">
        <v>159</v>
      </c>
      <c r="B64" t="s">
        <v>170</v>
      </c>
      <c r="C64" s="2">
        <f>154.184349315883-C72-C73-C74-C75-C76</f>
        <v>40.449273476568081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</f>
        <v>458.53340662554189</v>
      </c>
    </row>
    <row r="65" spans="1:8">
      <c r="A65" t="s">
        <v>160</v>
      </c>
      <c r="B65" t="s">
        <v>171</v>
      </c>
      <c r="C65">
        <v>42.317339828787539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</f>
        <v>391.98708472127618</v>
      </c>
    </row>
    <row r="66" spans="1:8">
      <c r="A66" t="s">
        <v>161</v>
      </c>
      <c r="B66" t="s">
        <v>172</v>
      </c>
      <c r="C66">
        <v>336.61725663716805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</f>
        <v>4002.6213997252307</v>
      </c>
    </row>
    <row r="67" spans="1:8">
      <c r="A67" t="s">
        <v>162</v>
      </c>
      <c r="B67" t="s">
        <v>173</v>
      </c>
      <c r="C67">
        <f>104.1275049683+57.53730834</f>
        <v>161.66481330830001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</f>
        <v>1489.8809967005398</v>
      </c>
    </row>
    <row r="68" spans="1:8">
      <c r="A68" t="s">
        <v>163</v>
      </c>
      <c r="B68" t="s">
        <v>174</v>
      </c>
      <c r="C68">
        <v>60.360121323378813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</f>
        <v>611.70270126686103</v>
      </c>
    </row>
    <row r="69" spans="1:8">
      <c r="A69" t="s">
        <v>164</v>
      </c>
      <c r="B69" t="s">
        <v>175</v>
      </c>
      <c r="C69">
        <f>876.9412368709-C68-C66-C65-C67</f>
        <v>275.9817057732655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</f>
        <v>2642.5076198591928</v>
      </c>
    </row>
    <row r="70" spans="1:8">
      <c r="A70" t="s">
        <v>178</v>
      </c>
      <c r="B70" t="s">
        <v>179</v>
      </c>
      <c r="C70">
        <f>554.955290969357-423.483407079646</f>
        <v>131.47188388971097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</f>
        <v>1393.657265723991</v>
      </c>
    </row>
    <row r="71" spans="1:8">
      <c r="A71" t="s">
        <v>41</v>
      </c>
      <c r="B71" t="s">
        <v>70</v>
      </c>
      <c r="C71">
        <v>423.48340707964599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</f>
        <v>4429.4341224188756</v>
      </c>
    </row>
    <row r="72" spans="1:8">
      <c r="A72" t="s">
        <v>50</v>
      </c>
      <c r="B72" t="s">
        <v>79</v>
      </c>
      <c r="C72">
        <v>43.350037499999999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</f>
        <v>491.80958750000002</v>
      </c>
    </row>
    <row r="73" spans="1:8">
      <c r="A73" t="s">
        <v>52</v>
      </c>
      <c r="B73" t="s">
        <v>81</v>
      </c>
      <c r="C73">
        <v>7.7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</f>
        <v>98.676999999999992</v>
      </c>
    </row>
    <row r="74" spans="1:8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</f>
        <v>35.078727272727271</v>
      </c>
    </row>
    <row r="75" spans="1:8">
      <c r="A75" t="s">
        <v>98</v>
      </c>
      <c r="B75" t="s">
        <v>182</v>
      </c>
      <c r="C75">
        <v>0.78666131450805166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</f>
        <v>2.1757375189927228</v>
      </c>
    </row>
    <row r="76" spans="1:8">
      <c r="A76" t="s">
        <v>184</v>
      </c>
      <c r="B76" t="s">
        <v>185</v>
      </c>
      <c r="C76">
        <v>58.307923875090665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</f>
        <v>586.63367669240563</v>
      </c>
    </row>
    <row r="79" spans="1:8">
      <c r="A79" t="s">
        <v>80</v>
      </c>
      <c r="B79" t="s">
        <v>138</v>
      </c>
      <c r="H79" t="s">
        <v>139</v>
      </c>
    </row>
    <row r="80" spans="1:8">
      <c r="A80" t="s">
        <v>81</v>
      </c>
      <c r="B80" t="s">
        <v>183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0"/>
  <sheetViews>
    <sheetView topLeftCell="A34" workbookViewId="0">
      <selection activeCell="C65" sqref="C65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176</v>
      </c>
      <c r="E57" s="9" t="s">
        <v>177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</f>
        <v>8660.7846598998185</v>
      </c>
    </row>
    <row r="59" spans="1:6">
      <c r="A59" t="s">
        <v>154</v>
      </c>
      <c r="B59" t="s">
        <v>165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</f>
        <v>2132.7907642308792</v>
      </c>
    </row>
    <row r="60" spans="1:6">
      <c r="A60" t="s">
        <v>155</v>
      </c>
      <c r="B60" t="s">
        <v>166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</f>
        <v>1438.139604719081</v>
      </c>
    </row>
    <row r="61" spans="1:6">
      <c r="A61" t="s">
        <v>156</v>
      </c>
      <c r="B61" t="s">
        <v>167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</f>
        <v>141.70363816030851</v>
      </c>
    </row>
    <row r="62" spans="1:6">
      <c r="A62" t="s">
        <v>157</v>
      </c>
      <c r="B62" t="s">
        <v>168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</f>
        <v>5212.4455255534276</v>
      </c>
    </row>
    <row r="63" spans="1:6">
      <c r="A63" t="s">
        <v>158</v>
      </c>
      <c r="B63" t="s">
        <v>181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</f>
        <v>431.84687643593901</v>
      </c>
    </row>
    <row r="64" spans="1:6">
      <c r="A64" t="s">
        <v>159</v>
      </c>
      <c r="B64" t="s">
        <v>170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</f>
        <v>458.53340662554189</v>
      </c>
    </row>
    <row r="65" spans="1:6">
      <c r="A65" t="s">
        <v>160</v>
      </c>
      <c r="B65" t="s">
        <v>171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</f>
        <v>391.98708472127618</v>
      </c>
    </row>
    <row r="66" spans="1:6">
      <c r="A66" t="s">
        <v>161</v>
      </c>
      <c r="B66" t="s">
        <v>172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</f>
        <v>4002.6213997252307</v>
      </c>
    </row>
    <row r="67" spans="1:6">
      <c r="A67" t="s">
        <v>162</v>
      </c>
      <c r="B67" t="s">
        <v>173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</f>
        <v>1489.8809967005398</v>
      </c>
    </row>
    <row r="68" spans="1:6">
      <c r="A68" t="s">
        <v>163</v>
      </c>
      <c r="B68" t="s">
        <v>174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</f>
        <v>611.70270126686103</v>
      </c>
    </row>
    <row r="69" spans="1:6">
      <c r="A69" t="s">
        <v>164</v>
      </c>
      <c r="B69" t="s">
        <v>175</v>
      </c>
      <c r="C69">
        <f>935.383807806868-C68-C66-C65-C67</f>
        <v>270.47160899275258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</f>
        <v>2642.5076198591928</v>
      </c>
    </row>
    <row r="70" spans="1:6">
      <c r="A70" t="s">
        <v>178</v>
      </c>
      <c r="B70" t="s">
        <v>179</v>
      </c>
      <c r="C70">
        <f>596.017542286885-453.370943952802</f>
        <v>142.64659833408302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</f>
        <v>1393.657265723991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</f>
        <v>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</f>
        <v>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</f>
        <v>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</f>
        <v>35.078727272727271</v>
      </c>
    </row>
    <row r="75" spans="1:6">
      <c r="A75" t="s">
        <v>98</v>
      </c>
      <c r="B75" t="s">
        <v>182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</f>
        <v>2.1757375189927228</v>
      </c>
    </row>
    <row r="76" spans="1:6">
      <c r="A76" t="s">
        <v>184</v>
      </c>
      <c r="B76" t="s">
        <v>185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</f>
        <v>586.63367669240563</v>
      </c>
    </row>
    <row r="79" spans="1:6">
      <c r="A79" t="s">
        <v>80</v>
      </c>
      <c r="B79" t="s">
        <v>138</v>
      </c>
    </row>
    <row r="80" spans="1:6">
      <c r="A80" t="s">
        <v>81</v>
      </c>
      <c r="B80" t="s">
        <v>183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8"/>
  <sheetViews>
    <sheetView topLeftCell="A79" workbookViewId="0">
      <selection activeCell="A112" sqref="A112:B120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178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154</v>
      </c>
      <c r="F112" s="11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154</v>
      </c>
      <c r="B113" t="s">
        <v>153</v>
      </c>
      <c r="F113" s="11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157</v>
      </c>
      <c r="B114" t="s">
        <v>158</v>
      </c>
      <c r="F114" s="11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158</v>
      </c>
      <c r="B115" t="s">
        <v>157</v>
      </c>
      <c r="F115" s="11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161</v>
      </c>
      <c r="F116" s="11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178</v>
      </c>
      <c r="B117" t="s">
        <v>161</v>
      </c>
      <c r="F117" s="11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164</v>
      </c>
      <c r="B118" t="s">
        <v>161</v>
      </c>
      <c r="F118" s="11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178</v>
      </c>
      <c r="F119" s="11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184</v>
      </c>
      <c r="B120" t="s">
        <v>157</v>
      </c>
      <c r="F120" s="11">
        <f>MIN(Table3[[#This Row],[GWh/d '[capacity map']]:[GWh/d '[transparency map']]])*365</f>
        <v>0</v>
      </c>
      <c r="G120">
        <f t="shared" si="4"/>
        <v>0</v>
      </c>
    </row>
    <row r="121" spans="1:7">
      <c r="F121" s="11"/>
    </row>
    <row r="122" spans="1:7">
      <c r="F122" s="11"/>
    </row>
    <row r="123" spans="1:7">
      <c r="F123" s="11"/>
    </row>
    <row r="124" spans="1:7">
      <c r="F124" s="11"/>
    </row>
    <row r="125" spans="1:7">
      <c r="F125" s="11"/>
    </row>
    <row r="126" spans="1:7">
      <c r="F126" s="11"/>
    </row>
    <row r="127" spans="1:7">
      <c r="F127" s="11"/>
    </row>
    <row r="128" spans="1:7">
      <c r="F128" s="11"/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topLeftCell="A76"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178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180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154</v>
      </c>
      <c r="F118" s="11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154</v>
      </c>
      <c r="B119" t="s">
        <v>153</v>
      </c>
      <c r="F119" s="11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157</v>
      </c>
      <c r="B120" t="s">
        <v>158</v>
      </c>
      <c r="F120" s="11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158</v>
      </c>
      <c r="B121" t="s">
        <v>157</v>
      </c>
      <c r="F121" s="1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161</v>
      </c>
      <c r="F122" s="11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178</v>
      </c>
      <c r="B123" t="s">
        <v>161</v>
      </c>
      <c r="F123" s="11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164</v>
      </c>
      <c r="B124" t="s">
        <v>161</v>
      </c>
      <c r="F124" s="11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178</v>
      </c>
      <c r="F125" s="11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184</v>
      </c>
      <c r="B126" t="s">
        <v>157</v>
      </c>
      <c r="F126" s="11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178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dimension ref="A1"/>
  <sheetViews>
    <sheetView tabSelected="1" workbookViewId="0">
      <selection activeCell="A2" sqref="A2"/>
    </sheetView>
  </sheetViews>
  <sheetFormatPr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2025-03-14T10:44:09Z</dcterms:modified>
</cp:coreProperties>
</file>