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380CEC8A-544C-4AF6-8966-243C38A929FA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3" i="9" l="1"/>
  <c r="E175" i="9"/>
  <c r="E176" i="9"/>
  <c r="E179" i="9"/>
  <c r="E172" i="9"/>
  <c r="E174" i="9"/>
  <c r="E177" i="9"/>
  <c r="E178" i="9"/>
  <c r="E180" i="9"/>
  <c r="E181" i="9"/>
  <c r="E182" i="9"/>
  <c r="E183" i="9"/>
  <c r="E184" i="9"/>
  <c r="E185" i="9"/>
  <c r="E186" i="9"/>
  <c r="E187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E171" i="9"/>
  <c r="G171" i="9"/>
  <c r="E158" i="9"/>
  <c r="E162" i="9"/>
  <c r="E155" i="9"/>
  <c r="E156" i="9"/>
  <c r="E157" i="9"/>
  <c r="E159" i="9"/>
  <c r="E160" i="9"/>
  <c r="E161" i="9"/>
  <c r="E163" i="9"/>
  <c r="E164" i="9"/>
  <c r="E165" i="9"/>
  <c r="E166" i="9"/>
  <c r="E167" i="9"/>
  <c r="E168" i="9"/>
  <c r="E169" i="9"/>
  <c r="E170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E154" i="9"/>
  <c r="G154" i="9"/>
  <c r="G140" i="9"/>
  <c r="E144" i="9"/>
  <c r="E137" i="9"/>
  <c r="E138" i="9"/>
  <c r="E139" i="9"/>
  <c r="E140" i="9"/>
  <c r="E141" i="9"/>
  <c r="E142" i="9"/>
  <c r="E143" i="9"/>
  <c r="E145" i="9"/>
  <c r="E146" i="9"/>
  <c r="E147" i="9"/>
  <c r="E148" i="9"/>
  <c r="E149" i="9"/>
  <c r="E150" i="9"/>
  <c r="E151" i="9"/>
  <c r="E152" i="9"/>
  <c r="E153" i="9"/>
  <c r="G137" i="9"/>
  <c r="G138" i="9"/>
  <c r="G139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E126" i="9"/>
  <c r="E127" i="9"/>
  <c r="E128" i="9"/>
  <c r="E132" i="9"/>
  <c r="E133" i="9"/>
  <c r="E121" i="9"/>
  <c r="E122" i="9"/>
  <c r="E123" i="9"/>
  <c r="E124" i="9"/>
  <c r="E125" i="9"/>
  <c r="E129" i="9"/>
  <c r="E130" i="9"/>
  <c r="E131" i="9"/>
  <c r="E134" i="9"/>
  <c r="E135" i="9"/>
  <c r="E136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E120" i="9"/>
  <c r="G120" i="9"/>
  <c r="E105" i="9"/>
  <c r="E107" i="9"/>
  <c r="E108" i="9"/>
  <c r="E111" i="9"/>
  <c r="E104" i="9"/>
  <c r="E106" i="9"/>
  <c r="E109" i="9"/>
  <c r="E110" i="9"/>
  <c r="E112" i="9"/>
  <c r="E113" i="9"/>
  <c r="E114" i="9"/>
  <c r="E115" i="9"/>
  <c r="E116" i="9"/>
  <c r="E117" i="9"/>
  <c r="E118" i="9"/>
  <c r="E119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E103" i="9"/>
  <c r="G103" i="9"/>
  <c r="E88" i="9"/>
  <c r="E90" i="9"/>
  <c r="E91" i="9"/>
  <c r="E92" i="9"/>
  <c r="E94" i="9"/>
  <c r="E100" i="9"/>
  <c r="E87" i="9"/>
  <c r="E89" i="9"/>
  <c r="E93" i="9"/>
  <c r="E95" i="9"/>
  <c r="E96" i="9"/>
  <c r="E97" i="9"/>
  <c r="E98" i="9"/>
  <c r="E99" i="9"/>
  <c r="E101" i="9"/>
  <c r="E102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E86" i="9"/>
  <c r="G86" i="9"/>
  <c r="E82" i="9"/>
  <c r="E83" i="9"/>
  <c r="E84" i="9"/>
  <c r="E85" i="9"/>
  <c r="E81" i="9"/>
  <c r="G81" i="9"/>
  <c r="G82" i="9"/>
  <c r="G83" i="9"/>
  <c r="G84" i="9"/>
  <c r="G85" i="9"/>
  <c r="E72" i="9"/>
  <c r="E76" i="9"/>
  <c r="E77" i="9"/>
  <c r="E70" i="9"/>
  <c r="E71" i="9"/>
  <c r="E73" i="9"/>
  <c r="E74" i="9"/>
  <c r="E75" i="9"/>
  <c r="E78" i="9"/>
  <c r="E79" i="9"/>
  <c r="E80" i="9"/>
  <c r="G70" i="9"/>
  <c r="G71" i="9"/>
  <c r="G72" i="9"/>
  <c r="G73" i="9"/>
  <c r="G74" i="9"/>
  <c r="G75" i="9"/>
  <c r="G76" i="9"/>
  <c r="G77" i="9"/>
  <c r="G78" i="9"/>
  <c r="G79" i="9"/>
  <c r="G80" i="9"/>
  <c r="E69" i="9"/>
  <c r="G69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3" i="9"/>
  <c r="E66" i="9"/>
  <c r="E67" i="9"/>
  <c r="E68" i="9"/>
  <c r="E64" i="9"/>
  <c r="E65" i="9"/>
  <c r="E57" i="9"/>
  <c r="E58" i="9"/>
  <c r="E59" i="9"/>
  <c r="E62" i="9"/>
  <c r="E60" i="9"/>
  <c r="E61" i="9"/>
  <c r="E56" i="9"/>
  <c r="E50" i="9"/>
  <c r="E52" i="9"/>
  <c r="E51" i="9"/>
  <c r="E53" i="9"/>
  <c r="E54" i="9"/>
  <c r="E55" i="9"/>
  <c r="E49" i="9"/>
  <c r="E47" i="9"/>
  <c r="E43" i="9"/>
  <c r="E44" i="9"/>
  <c r="E45" i="9"/>
  <c r="E46" i="9"/>
  <c r="E48" i="9"/>
  <c r="E42" i="9"/>
  <c r="E37" i="9"/>
  <c r="E41" i="9"/>
  <c r="E38" i="9"/>
  <c r="E39" i="9"/>
  <c r="E40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<sst xmlns="http://schemas.openxmlformats.org/spreadsheetml/2006/main" count="1832" uniqueCount="261">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</sst>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3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2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1"/>
    <tableColumn id="5" xr3:uid="{4278F9D8-E46F-44B9-A622-727B8E2C8EF1}" name="Mil m3 EU [2020]" dataDxfId="40"/>
    <tableColumn id="6" xr3:uid="{F2BDB73C-713D-4BC7-B762-048AA072F297}" name="Mrd m3 EU [2020]" dataDxfId="39">
      <calculatedColumnFormula>Table2[[#This Row],[Mil m3 EU '[2020']]]/1000</calculatedColumnFormula>
    </tableColumn>
    <tableColumn id="4" xr3:uid="{5BB2DA97-8C23-44BC-9268-BDBE2BCDBBC8}" name="TWh [2020]" dataDxfId="3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7" headerRowBorderDxfId="36" tableBorderDxfId="35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4">
      <calculatedColumnFormula>Table7[[#This Row],[Mil m3 '[2020']]]/1000</calculatedColumnFormula>
    </tableColumn>
    <tableColumn id="6" xr3:uid="{ECFA587C-DE79-4510-9945-328AB8DBC35F}" name="TWh [2020]" dataDxfId="3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8" headerRowBorderDxfId="27" tableBorderDxfId="26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0" headerRowBorderDxfId="19" tableBorderDxfId="18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Table7910[[#This Row],[Mil m3 '[2020']]]/1000</calculatedColumnFormula>
    </tableColumn>
    <tableColumn id="6" xr3:uid="{44160680-3C35-4A7A-9677-B7F78304684A}" name="TWh [2020]" dataDxfId="1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87" totalsRowShown="0" headerRowDxfId="5" headerRowBorderDxfId="4" tableBorderDxfId="3" totalsRowBorderDxfId="2">
  <autoFilter ref="A1:I187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LNG_global[[#This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87"/>
  <sheetViews>
    <sheetView tabSelected="1" workbookViewId="0">
      <selection activeCell="M8" sqref="M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LNG_global[[#This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LNG_global[[#This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LNG_global[[#This Row],[Distance '[miles']]]*1.60934449789256</f>
        <v>0</v>
      </c>
      <c r="H4" s="12"/>
      <c r="I4" s="12"/>
      <c r="M4" t="s">
        <v>253</v>
      </c>
    </row>
    <row r="5" spans="1:13">
      <c r="A5" t="s">
        <v>189</v>
      </c>
      <c r="B5" t="s">
        <v>185</v>
      </c>
      <c r="E5" s="11">
        <f t="shared" si="0"/>
        <v>0</v>
      </c>
      <c r="G5">
        <f>LNG_global[[#This Row],[Distance '[miles']]]*1.60934449789256</f>
        <v>0</v>
      </c>
      <c r="M5" t="s">
        <v>254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LNG_global[[#This Row],[Distance '[miles']]]*1.60934449789256</f>
        <v>0</v>
      </c>
      <c r="M6" t="s">
        <v>255</v>
      </c>
    </row>
    <row r="7" spans="1:13">
      <c r="A7" t="s">
        <v>191</v>
      </c>
      <c r="B7" t="s">
        <v>185</v>
      </c>
      <c r="E7">
        <f t="shared" si="1"/>
        <v>0</v>
      </c>
      <c r="G7">
        <f>LNG_global[[#This Row],[Distance '[miles']]]*1.60934449789256</f>
        <v>0</v>
      </c>
      <c r="M7" t="s">
        <v>258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LNG_global[[#This Row],[Distance '[miles']]]*1.60934449789256</f>
        <v>8566.5407622820967</v>
      </c>
      <c r="I8" t="s">
        <v>245</v>
      </c>
      <c r="M8" t="s">
        <v>260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LNG_global[[#This Row],[Distance '[miles']]]*1.60934449789256</f>
        <v>9968.279819946516</v>
      </c>
      <c r="I9" t="s">
        <v>246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LNG_global[[#This Row],[Distance '[miles']]]*1.60934449789256</f>
        <v>16405.657811516758</v>
      </c>
      <c r="H10" t="s">
        <v>247</v>
      </c>
      <c r="I10" t="s">
        <v>248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LNG_global[[#This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9568</v>
      </c>
      <c r="G12">
        <f>LNG_global[[#This Row],[Distance '[miles']]]*1.60934449789256</f>
        <v>15398.208155836013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LNG_global[[#This Row],[Distance '[miles']]]*1.60934449789256</f>
        <v>19555.144993892496</v>
      </c>
      <c r="H13" t="s">
        <v>247</v>
      </c>
      <c r="I13" t="s">
        <v>251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LNG_global[[#This Row],[Distance '[miles']]]*1.60934449789256</f>
        <v>10752.030590420192</v>
      </c>
      <c r="I14" t="s">
        <v>252</v>
      </c>
    </row>
    <row r="15" spans="1:13">
      <c r="A15" t="s">
        <v>187</v>
      </c>
      <c r="B15" t="s">
        <v>192</v>
      </c>
      <c r="E15">
        <f t="shared" si="1"/>
        <v>0</v>
      </c>
      <c r="F15">
        <v>3136</v>
      </c>
      <c r="G15">
        <f>LNG_global[[#This Row],[Distance '[miles']]]*1.60934449789256</f>
        <v>5046.9043453910681</v>
      </c>
      <c r="I15" t="s">
        <v>245</v>
      </c>
    </row>
    <row r="16" spans="1:13">
      <c r="A16" t="s">
        <v>187</v>
      </c>
      <c r="B16" t="s">
        <v>190</v>
      </c>
      <c r="E16">
        <f t="shared" si="1"/>
        <v>0</v>
      </c>
      <c r="F16">
        <v>4174</v>
      </c>
      <c r="G16">
        <f>LNG_global[[#This Row],[Distance '[miles']]]*1.60934449789256</f>
        <v>6717.4039342035448</v>
      </c>
      <c r="I16" t="s">
        <v>246</v>
      </c>
    </row>
    <row r="17" spans="1:9">
      <c r="A17" t="s">
        <v>187</v>
      </c>
      <c r="B17" t="s">
        <v>193</v>
      </c>
      <c r="E17">
        <f t="shared" si="1"/>
        <v>0</v>
      </c>
      <c r="F17">
        <v>9806</v>
      </c>
      <c r="G17">
        <f>LNG_global[[#This Row],[Distance '[miles']]]*1.60934449789256</f>
        <v>15781.232146334443</v>
      </c>
      <c r="H17" t="s">
        <v>247</v>
      </c>
      <c r="I17" t="s">
        <v>248</v>
      </c>
    </row>
    <row r="18" spans="1:9">
      <c r="A18" t="s">
        <v>187</v>
      </c>
      <c r="B18" t="s">
        <v>194</v>
      </c>
      <c r="E18">
        <f t="shared" si="1"/>
        <v>0</v>
      </c>
      <c r="F18">
        <v>8878</v>
      </c>
      <c r="G18">
        <f>LNG_global[[#This Row],[Distance '[miles']]]*1.60934449789256</f>
        <v>14287.760452290147</v>
      </c>
      <c r="H18" t="s">
        <v>247</v>
      </c>
      <c r="I18" t="s">
        <v>249</v>
      </c>
    </row>
    <row r="19" spans="1:9">
      <c r="A19" t="s">
        <v>187</v>
      </c>
      <c r="B19" t="s">
        <v>195</v>
      </c>
      <c r="E19">
        <f t="shared" si="1"/>
        <v>0</v>
      </c>
      <c r="F19">
        <v>8211</v>
      </c>
      <c r="G19">
        <f>LNG_global[[#This Row],[Distance '[miles']]]*1.60934449789256</f>
        <v>13214.32767219581</v>
      </c>
      <c r="H19" t="s">
        <v>219</v>
      </c>
      <c r="I19" t="s">
        <v>250</v>
      </c>
    </row>
    <row r="20" spans="1:9">
      <c r="A20" t="s">
        <v>187</v>
      </c>
      <c r="B20" t="s">
        <v>196</v>
      </c>
      <c r="E20">
        <f t="shared" si="1"/>
        <v>0</v>
      </c>
      <c r="F20">
        <v>11169</v>
      </c>
      <c r="G20">
        <f>LNG_global[[#This Row],[Distance '[miles']]]*1.60934449789256</f>
        <v>17974.768696962001</v>
      </c>
      <c r="H20" t="s">
        <v>219</v>
      </c>
      <c r="I20" t="s">
        <v>251</v>
      </c>
    </row>
    <row r="21" spans="1:9">
      <c r="A21" t="s">
        <v>187</v>
      </c>
      <c r="B21" t="s">
        <v>197</v>
      </c>
      <c r="E21">
        <f t="shared" si="1"/>
        <v>0</v>
      </c>
      <c r="F21">
        <v>5324</v>
      </c>
      <c r="G21">
        <f>LNG_global[[#This Row],[Distance '[miles']]]*1.60934449789256</f>
        <v>8568.1501067799891</v>
      </c>
      <c r="I21" t="s">
        <v>252</v>
      </c>
    </row>
    <row r="22" spans="1:9">
      <c r="A22" t="s">
        <v>188</v>
      </c>
      <c r="B22" t="s">
        <v>192</v>
      </c>
      <c r="E22">
        <f t="shared" si="1"/>
        <v>0</v>
      </c>
      <c r="F22">
        <v>8091</v>
      </c>
      <c r="G22">
        <f>LNG_global[[#This Row],[Distance '[miles']]]*1.60934449789256</f>
        <v>13021.206332448703</v>
      </c>
      <c r="I22" t="s">
        <v>245</v>
      </c>
    </row>
    <row r="23" spans="1:9">
      <c r="A23" t="s">
        <v>188</v>
      </c>
      <c r="B23" t="s">
        <v>190</v>
      </c>
      <c r="E23">
        <f t="shared" si="1"/>
        <v>0</v>
      </c>
      <c r="F23">
        <v>7282</v>
      </c>
      <c r="G23">
        <f>LNG_global[[#This Row],[Distance '[miles']]]*1.60934449789256</f>
        <v>11719.246633653622</v>
      </c>
      <c r="I23" t="s">
        <v>246</v>
      </c>
    </row>
    <row r="24" spans="1:9">
      <c r="A24" t="s">
        <v>188</v>
      </c>
      <c r="B24" t="s">
        <v>193</v>
      </c>
      <c r="E24">
        <f t="shared" si="1"/>
        <v>0</v>
      </c>
      <c r="F24">
        <v>6160</v>
      </c>
      <c r="G24">
        <f>LNG_global[[#This Row],[Distance '[miles']]]*1.60934449789256</f>
        <v>9913.5621070181696</v>
      </c>
      <c r="I24" t="s">
        <v>248</v>
      </c>
    </row>
    <row r="25" spans="1:9">
      <c r="A25" t="s">
        <v>188</v>
      </c>
      <c r="B25" t="s">
        <v>194</v>
      </c>
      <c r="E25">
        <f t="shared" si="1"/>
        <v>0</v>
      </c>
      <c r="F25">
        <v>6445</v>
      </c>
      <c r="G25">
        <f>LNG_global[[#This Row],[Distance '[miles']]]*1.60934449789256</f>
        <v>10372.225288917549</v>
      </c>
      <c r="I25" t="s">
        <v>249</v>
      </c>
    </row>
    <row r="26" spans="1:9">
      <c r="A26" t="s">
        <v>188</v>
      </c>
      <c r="B26" t="s">
        <v>195</v>
      </c>
      <c r="E26">
        <f t="shared" si="1"/>
        <v>0</v>
      </c>
      <c r="F26">
        <v>951</v>
      </c>
      <c r="G26">
        <f>LNG_global[[#This Row],[Distance '[miles']]]*1.60934449789256</f>
        <v>1530.4866174958245</v>
      </c>
      <c r="I26" t="s">
        <v>250</v>
      </c>
    </row>
    <row r="27" spans="1:9">
      <c r="A27" t="s">
        <v>188</v>
      </c>
      <c r="B27" t="s">
        <v>196</v>
      </c>
      <c r="E27">
        <f t="shared" si="1"/>
        <v>0</v>
      </c>
      <c r="F27">
        <v>4372</v>
      </c>
      <c r="G27">
        <f>LNG_global[[#This Row],[Distance '[miles']]]*1.60934449789256</f>
        <v>7036.0541447862724</v>
      </c>
      <c r="I27" t="s">
        <v>251</v>
      </c>
    </row>
    <row r="28" spans="1:9">
      <c r="A28" t="s">
        <v>188</v>
      </c>
      <c r="B28" t="s">
        <v>197</v>
      </c>
      <c r="E28">
        <f t="shared" si="1"/>
        <v>0</v>
      </c>
      <c r="F28">
        <v>2915</v>
      </c>
      <c r="G28">
        <f>LNG_global[[#This Row],[Distance '[miles']]]*1.60934449789256</f>
        <v>4691.2392113568121</v>
      </c>
      <c r="I28" t="s">
        <v>219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LNG_global[[#This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LNG_global[[#This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LNG_global[[#This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LNG_global[[#This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LNG_global[[#This Row],[Distance '[miles']]]*1.60934449789256</f>
        <v>1638.312698854626</v>
      </c>
      <c r="I33" t="s">
        <v>250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LNG_global[[#This Row],[Distance '[miles']]]*1.60934449789256</f>
        <v>7143.8802261450737</v>
      </c>
      <c r="I34" t="s">
        <v>251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LNG_global[[#This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F36">
        <v>3420</v>
      </c>
      <c r="G36">
        <f>LNG_global[[#This Row],[Distance '[miles']]]*1.60934449789256</f>
        <v>5503.9581827925549</v>
      </c>
      <c r="I36" t="s">
        <v>245</v>
      </c>
    </row>
    <row r="37" spans="1:9">
      <c r="A37" t="s">
        <v>190</v>
      </c>
      <c r="B37" t="s">
        <v>193</v>
      </c>
      <c r="E37">
        <f t="shared" ref="E37:E41" si="3">D37/1000</f>
        <v>0</v>
      </c>
      <c r="F37">
        <v>10496</v>
      </c>
      <c r="G37">
        <f>LNG_global[[#This Row],[Distance '[miles']]]*1.60934449789256</f>
        <v>16891.679849880311</v>
      </c>
      <c r="I37" t="s">
        <v>248</v>
      </c>
    </row>
    <row r="38" spans="1:9">
      <c r="A38" t="s">
        <v>190</v>
      </c>
      <c r="B38" t="s">
        <v>194</v>
      </c>
      <c r="E38">
        <f t="shared" si="3"/>
        <v>0</v>
      </c>
      <c r="F38">
        <v>10780</v>
      </c>
      <c r="G38">
        <f>LNG_global[[#This Row],[Distance '[miles']]]*1.60934449789256</f>
        <v>17348.733687281798</v>
      </c>
      <c r="I38" t="s">
        <v>249</v>
      </c>
    </row>
    <row r="39" spans="1:9">
      <c r="A39" t="s">
        <v>190</v>
      </c>
      <c r="B39" t="s">
        <v>195</v>
      </c>
      <c r="E39">
        <f t="shared" si="3"/>
        <v>0</v>
      </c>
      <c r="F39">
        <v>7016</v>
      </c>
      <c r="G39">
        <f>LNG_global[[#This Row],[Distance '[miles']]]*1.60934449789256</f>
        <v>11291.160997214201</v>
      </c>
      <c r="I39" t="s">
        <v>257</v>
      </c>
    </row>
    <row r="40" spans="1:9">
      <c r="A40" t="s">
        <v>190</v>
      </c>
      <c r="B40" t="s">
        <v>196</v>
      </c>
      <c r="E40">
        <f t="shared" si="3"/>
        <v>0</v>
      </c>
      <c r="F40">
        <v>8836</v>
      </c>
      <c r="G40">
        <f>LNG_global[[#This Row],[Distance '[miles']]]*1.60934449789256</f>
        <v>14220.16798337866</v>
      </c>
      <c r="I40" t="s">
        <v>251</v>
      </c>
    </row>
    <row r="41" spans="1:9">
      <c r="A41" t="s">
        <v>190</v>
      </c>
      <c r="B41" t="s">
        <v>197</v>
      </c>
      <c r="E41">
        <f t="shared" si="3"/>
        <v>0</v>
      </c>
      <c r="F41">
        <v>5250</v>
      </c>
      <c r="G41">
        <f>LNG_global[[#This Row],[Distance '[miles']]]*1.60934449789256</f>
        <v>8449.0586139359402</v>
      </c>
      <c r="I41" t="s">
        <v>252</v>
      </c>
    </row>
    <row r="42" spans="1:9">
      <c r="A42" t="s">
        <v>191</v>
      </c>
      <c r="B42" t="s">
        <v>192</v>
      </c>
      <c r="E42">
        <f>D42/1000</f>
        <v>0</v>
      </c>
      <c r="F42">
        <v>8575</v>
      </c>
      <c r="G42">
        <f>LNG_global[[#This Row],[Distance '[miles']]]*1.60934449789256</f>
        <v>13800.129069428702</v>
      </c>
      <c r="I42" t="s">
        <v>259</v>
      </c>
    </row>
    <row r="43" spans="1:9">
      <c r="A43" t="s">
        <v>191</v>
      </c>
      <c r="B43" t="s">
        <v>190</v>
      </c>
      <c r="E43">
        <f t="shared" ref="E43:E48" si="4">D43/1000</f>
        <v>0</v>
      </c>
      <c r="F43">
        <v>8554</v>
      </c>
      <c r="G43">
        <f>LNG_global[[#This Row],[Distance '[miles']]]*1.60934449789256</f>
        <v>13766.332834972958</v>
      </c>
      <c r="I43" t="s">
        <v>246</v>
      </c>
    </row>
    <row r="44" spans="1:9">
      <c r="A44" t="s">
        <v>191</v>
      </c>
      <c r="B44" t="s">
        <v>193</v>
      </c>
      <c r="E44">
        <f t="shared" si="4"/>
        <v>0</v>
      </c>
      <c r="F44">
        <v>3175</v>
      </c>
      <c r="G44">
        <f>LNG_global[[#This Row],[Distance '[miles']]]*1.60934449789256</f>
        <v>5109.6687808088782</v>
      </c>
      <c r="I44" t="s">
        <v>248</v>
      </c>
    </row>
    <row r="45" spans="1:9">
      <c r="A45" t="s">
        <v>191</v>
      </c>
      <c r="B45" t="s">
        <v>194</v>
      </c>
      <c r="E45">
        <f t="shared" si="4"/>
        <v>0</v>
      </c>
      <c r="F45">
        <v>3033</v>
      </c>
      <c r="G45">
        <f>LNG_global[[#This Row],[Distance '[miles']]]*1.60934449789256</f>
        <v>4881.1418621081348</v>
      </c>
      <c r="I45" t="s">
        <v>249</v>
      </c>
    </row>
    <row r="46" spans="1:9">
      <c r="A46" t="s">
        <v>191</v>
      </c>
      <c r="B46" t="s">
        <v>195</v>
      </c>
      <c r="E46">
        <f t="shared" si="4"/>
        <v>0</v>
      </c>
      <c r="F46">
        <v>4180</v>
      </c>
      <c r="G46">
        <f>LNG_global[[#This Row],[Distance '[miles']]]*1.60934449789256</f>
        <v>6727.0600011909009</v>
      </c>
      <c r="I46" t="s">
        <v>257</v>
      </c>
    </row>
    <row r="47" spans="1:9">
      <c r="A47" t="s">
        <v>191</v>
      </c>
      <c r="B47" t="s">
        <v>196</v>
      </c>
      <c r="E47">
        <f t="shared" si="4"/>
        <v>0</v>
      </c>
      <c r="F47">
        <v>2612</v>
      </c>
      <c r="G47">
        <f>LNG_global[[#This Row],[Distance '[miles']]]*1.60934449789256</f>
        <v>4203.6078284953664</v>
      </c>
      <c r="I47" t="s">
        <v>251</v>
      </c>
    </row>
    <row r="48" spans="1:9">
      <c r="A48" t="s">
        <v>191</v>
      </c>
      <c r="B48" t="s">
        <v>197</v>
      </c>
      <c r="E48">
        <f t="shared" si="4"/>
        <v>0</v>
      </c>
      <c r="F48">
        <v>6655</v>
      </c>
      <c r="G48">
        <f>LNG_global[[#This Row],[Distance '[miles']]]*1.60934449789256</f>
        <v>10710.187633474987</v>
      </c>
      <c r="I48" t="s">
        <v>219</v>
      </c>
    </row>
    <row r="49" spans="1:9">
      <c r="A49" t="s">
        <v>199</v>
      </c>
      <c r="B49" t="s">
        <v>192</v>
      </c>
      <c r="E49">
        <f>D49/1000</f>
        <v>0</v>
      </c>
      <c r="G49">
        <f>LNG_global[[#This Row],[Distance '[miles']]]*1.60934449789256</f>
        <v>0</v>
      </c>
    </row>
    <row r="50" spans="1:9">
      <c r="A50" t="s">
        <v>199</v>
      </c>
      <c r="B50" t="s">
        <v>190</v>
      </c>
      <c r="E50">
        <f t="shared" ref="E50:E55" si="5">D50/1000</f>
        <v>0</v>
      </c>
      <c r="G50">
        <f>LNG_global[[#This Row],[Distance '[miles']]]*1.60934449789256</f>
        <v>0</v>
      </c>
    </row>
    <row r="51" spans="1:9">
      <c r="A51" t="s">
        <v>199</v>
      </c>
      <c r="B51" t="s">
        <v>193</v>
      </c>
      <c r="E51">
        <f t="shared" si="5"/>
        <v>0</v>
      </c>
      <c r="G51">
        <f>LNG_global[[#This Row],[Distance '[miles']]]*1.60934449789256</f>
        <v>0</v>
      </c>
    </row>
    <row r="52" spans="1:9">
      <c r="A52" t="s">
        <v>199</v>
      </c>
      <c r="B52" t="s">
        <v>194</v>
      </c>
      <c r="E52">
        <f t="shared" si="5"/>
        <v>0</v>
      </c>
      <c r="G52">
        <f>LNG_global[[#This Row],[Distance '[miles']]]*1.60934449789256</f>
        <v>0</v>
      </c>
    </row>
    <row r="53" spans="1:9">
      <c r="A53" t="s">
        <v>199</v>
      </c>
      <c r="B53" t="s">
        <v>195</v>
      </c>
      <c r="E53">
        <f t="shared" si="5"/>
        <v>0</v>
      </c>
      <c r="G53">
        <f>LNG_global[[#This Row],[Distance '[miles']]]*1.60934449789256</f>
        <v>0</v>
      </c>
    </row>
    <row r="54" spans="1:9">
      <c r="A54" t="s">
        <v>199</v>
      </c>
      <c r="B54" t="s">
        <v>196</v>
      </c>
      <c r="E54">
        <f t="shared" si="5"/>
        <v>0</v>
      </c>
      <c r="G54">
        <f>LNG_global[[#This Row],[Distance '[miles']]]*1.60934449789256</f>
        <v>0</v>
      </c>
    </row>
    <row r="55" spans="1:9">
      <c r="A55" t="s">
        <v>199</v>
      </c>
      <c r="B55" t="s">
        <v>197</v>
      </c>
      <c r="E55">
        <f t="shared" si="5"/>
        <v>0</v>
      </c>
      <c r="G55">
        <f>LNG_global[[#This Row],[Distance '[miles']]]*1.60934449789256</f>
        <v>0</v>
      </c>
    </row>
    <row r="56" spans="1:9">
      <c r="A56" t="s">
        <v>197</v>
      </c>
      <c r="B56" t="s">
        <v>192</v>
      </c>
      <c r="E56">
        <f>D56/1000</f>
        <v>0</v>
      </c>
      <c r="F56">
        <v>6103</v>
      </c>
      <c r="G56">
        <f>LNG_global[[#This Row],[Distance '[miles']]]*1.60934449789256</f>
        <v>9821.8294706382931</v>
      </c>
      <c r="I56" t="s">
        <v>245</v>
      </c>
    </row>
    <row r="57" spans="1:9">
      <c r="A57" t="s">
        <v>197</v>
      </c>
      <c r="B57" t="s">
        <v>190</v>
      </c>
      <c r="E57">
        <f t="shared" ref="E57:E62" si="6">D57/1000</f>
        <v>0</v>
      </c>
      <c r="F57">
        <v>5250</v>
      </c>
      <c r="G57">
        <f>LNG_global[[#This Row],[Distance '[miles']]]*1.60934449789256</f>
        <v>8449.0586139359402</v>
      </c>
      <c r="I57" t="s">
        <v>246</v>
      </c>
    </row>
    <row r="58" spans="1:9">
      <c r="A58" t="s">
        <v>197</v>
      </c>
      <c r="B58" t="s">
        <v>193</v>
      </c>
      <c r="E58">
        <f t="shared" si="6"/>
        <v>0</v>
      </c>
      <c r="F58">
        <v>7546</v>
      </c>
      <c r="G58">
        <f>LNG_global[[#This Row],[Distance '[miles']]]*1.60934449789256</f>
        <v>12144.113581097257</v>
      </c>
      <c r="I58" t="s">
        <v>248</v>
      </c>
    </row>
    <row r="59" spans="1:9">
      <c r="A59" t="s">
        <v>197</v>
      </c>
      <c r="B59" t="s">
        <v>194</v>
      </c>
      <c r="E59">
        <f t="shared" si="6"/>
        <v>0</v>
      </c>
      <c r="F59">
        <v>7831</v>
      </c>
      <c r="G59">
        <f>LNG_global[[#This Row],[Distance '[miles']]]*1.60934449789256</f>
        <v>12602.776762996637</v>
      </c>
      <c r="I59" t="s">
        <v>249</v>
      </c>
    </row>
    <row r="60" spans="1:9">
      <c r="A60" t="s">
        <v>197</v>
      </c>
      <c r="B60" t="s">
        <v>195</v>
      </c>
      <c r="E60">
        <f t="shared" si="6"/>
        <v>0</v>
      </c>
      <c r="F60">
        <v>2800</v>
      </c>
      <c r="G60">
        <f>LNG_global[[#This Row],[Distance '[miles']]]*1.60934449789256</f>
        <v>4506.1645940991675</v>
      </c>
      <c r="I60" t="s">
        <v>250</v>
      </c>
    </row>
    <row r="61" spans="1:9">
      <c r="A61" t="s">
        <v>197</v>
      </c>
      <c r="B61" t="s">
        <v>196</v>
      </c>
      <c r="E61">
        <f t="shared" si="6"/>
        <v>0</v>
      </c>
      <c r="F61">
        <v>5758</v>
      </c>
      <c r="G61">
        <f>LNG_global[[#This Row],[Distance '[miles']]]*1.60934449789256</f>
        <v>9266.6056188653602</v>
      </c>
      <c r="I61" t="s">
        <v>251</v>
      </c>
    </row>
    <row r="62" spans="1:9">
      <c r="A62" t="s">
        <v>200</v>
      </c>
      <c r="B62" t="s">
        <v>192</v>
      </c>
      <c r="E62">
        <f t="shared" si="6"/>
        <v>0</v>
      </c>
      <c r="G62">
        <f>LNG_global[[#This Row],[Distance '[miles']]]*1.60934449789256</f>
        <v>0</v>
      </c>
    </row>
    <row r="63" spans="1:9">
      <c r="A63" t="s">
        <v>200</v>
      </c>
      <c r="B63" t="s">
        <v>190</v>
      </c>
      <c r="E63">
        <f t="shared" ref="E63:E68" si="7">D63/1000</f>
        <v>0</v>
      </c>
      <c r="G63">
        <f>LNG_global[[#This Row],[Distance '[miles']]]*1.60934449789256</f>
        <v>0</v>
      </c>
    </row>
    <row r="64" spans="1:9">
      <c r="A64" t="s">
        <v>200</v>
      </c>
      <c r="B64" t="s">
        <v>193</v>
      </c>
      <c r="E64">
        <f t="shared" si="7"/>
        <v>0</v>
      </c>
      <c r="G64">
        <f>LNG_global[[#This Row],[Distance '[miles']]]*1.60934449789256</f>
        <v>0</v>
      </c>
    </row>
    <row r="65" spans="1:9">
      <c r="A65" t="s">
        <v>200</v>
      </c>
      <c r="B65" t="s">
        <v>194</v>
      </c>
      <c r="E65">
        <f t="shared" si="7"/>
        <v>0</v>
      </c>
      <c r="G65">
        <f>LNG_global[[#This Row],[Distance '[miles']]]*1.60934449789256</f>
        <v>0</v>
      </c>
    </row>
    <row r="66" spans="1:9">
      <c r="A66" t="s">
        <v>200</v>
      </c>
      <c r="B66" t="s">
        <v>195</v>
      </c>
      <c r="E66">
        <f t="shared" si="7"/>
        <v>0</v>
      </c>
      <c r="G66">
        <f>LNG_global[[#This Row],[Distance '[miles']]]*1.60934449789256</f>
        <v>0</v>
      </c>
    </row>
    <row r="67" spans="1:9">
      <c r="A67" t="s">
        <v>200</v>
      </c>
      <c r="B67" t="s">
        <v>196</v>
      </c>
      <c r="E67">
        <f t="shared" si="7"/>
        <v>0</v>
      </c>
      <c r="G67">
        <f>LNG_global[[#This Row],[Distance '[miles']]]*1.60934449789256</f>
        <v>0</v>
      </c>
    </row>
    <row r="68" spans="1:9">
      <c r="A68" t="s">
        <v>200</v>
      </c>
      <c r="B68" t="s">
        <v>197</v>
      </c>
      <c r="E68">
        <f t="shared" si="7"/>
        <v>0</v>
      </c>
      <c r="G68">
        <f>LNG_global[[#This Row],[Distance '[miles']]]*1.60934449789256</f>
        <v>0</v>
      </c>
    </row>
    <row r="69" spans="1:9">
      <c r="A69" t="s">
        <v>189</v>
      </c>
      <c r="B69" t="s">
        <v>206</v>
      </c>
      <c r="E69">
        <f>D69/1000</f>
        <v>0</v>
      </c>
      <c r="F69">
        <v>6277</v>
      </c>
      <c r="G69">
        <f>LNG_global[[#This Row],[Distance '[miles']]]*1.60934449789256</f>
        <v>10101.855413271598</v>
      </c>
      <c r="H69" t="s">
        <v>219</v>
      </c>
      <c r="I69" t="s">
        <v>240</v>
      </c>
    </row>
    <row r="70" spans="1:9">
      <c r="A70" t="s">
        <v>189</v>
      </c>
      <c r="B70" t="s">
        <v>207</v>
      </c>
      <c r="E70">
        <f t="shared" ref="E70:E80" si="8">D70/1000</f>
        <v>0</v>
      </c>
      <c r="F70">
        <v>4581</v>
      </c>
      <c r="G70">
        <f>LNG_global[[#This Row],[Distance '[miles']]]*1.60934449789256</f>
        <v>7372.4071448458171</v>
      </c>
      <c r="H70" t="s">
        <v>219</v>
      </c>
      <c r="I70" t="s">
        <v>220</v>
      </c>
    </row>
    <row r="71" spans="1:9">
      <c r="A71" t="s">
        <v>189</v>
      </c>
      <c r="B71" t="s">
        <v>208</v>
      </c>
      <c r="E71">
        <f t="shared" si="8"/>
        <v>0</v>
      </c>
      <c r="F71">
        <v>3668</v>
      </c>
      <c r="G71">
        <f>LNG_global[[#This Row],[Distance '[miles']]]*1.60934449789256</f>
        <v>5903.0756182699097</v>
      </c>
      <c r="H71" t="s">
        <v>219</v>
      </c>
      <c r="I71" t="s">
        <v>221</v>
      </c>
    </row>
    <row r="72" spans="1:9">
      <c r="A72" t="s">
        <v>189</v>
      </c>
      <c r="B72" t="s">
        <v>209</v>
      </c>
      <c r="E72">
        <f t="shared" si="8"/>
        <v>0</v>
      </c>
      <c r="F72">
        <v>4452</v>
      </c>
      <c r="G72">
        <f>LNG_global[[#This Row],[Distance '[miles']]]*1.60934449789256</f>
        <v>7164.8017046176765</v>
      </c>
      <c r="H72" t="s">
        <v>219</v>
      </c>
      <c r="I72" t="s">
        <v>222</v>
      </c>
    </row>
    <row r="73" spans="1:9">
      <c r="A73" t="s">
        <v>189</v>
      </c>
      <c r="B73" t="s">
        <v>210</v>
      </c>
      <c r="E73">
        <f t="shared" si="8"/>
        <v>0</v>
      </c>
      <c r="F73">
        <v>4327</v>
      </c>
      <c r="G73">
        <f>LNG_global[[#This Row],[Distance '[miles']]]*1.60934449789256</f>
        <v>6963.6336423811072</v>
      </c>
      <c r="H73" t="s">
        <v>219</v>
      </c>
      <c r="I73" t="s">
        <v>223</v>
      </c>
    </row>
    <row r="74" spans="1:9">
      <c r="A74" t="s">
        <v>189</v>
      </c>
      <c r="B74" t="s">
        <v>211</v>
      </c>
      <c r="E74">
        <f t="shared" si="8"/>
        <v>0</v>
      </c>
      <c r="F74">
        <v>7211</v>
      </c>
      <c r="G74">
        <f>LNG_global[[#This Row],[Distance '[miles']]]*1.60934449789256</f>
        <v>11604.98317430325</v>
      </c>
      <c r="H74" t="s">
        <v>219</v>
      </c>
      <c r="I74" t="s">
        <v>224</v>
      </c>
    </row>
    <row r="75" spans="1:9">
      <c r="A75" t="s">
        <v>189</v>
      </c>
      <c r="B75" t="s">
        <v>212</v>
      </c>
      <c r="E75">
        <f t="shared" si="8"/>
        <v>0</v>
      </c>
      <c r="F75">
        <v>6346</v>
      </c>
      <c r="G75">
        <f>LNG_global[[#This Row],[Distance '[miles']]]*1.60934449789256</f>
        <v>10212.900183626185</v>
      </c>
      <c r="H75" t="s">
        <v>219</v>
      </c>
      <c r="I75" t="s">
        <v>225</v>
      </c>
    </row>
    <row r="76" spans="1:9">
      <c r="A76" t="s">
        <v>189</v>
      </c>
      <c r="B76" t="s">
        <v>213</v>
      </c>
      <c r="E76">
        <f t="shared" si="8"/>
        <v>0</v>
      </c>
      <c r="F76">
        <v>7020</v>
      </c>
      <c r="G76">
        <f>LNG_global[[#This Row],[Distance '[miles']]]*1.60934449789256</f>
        <v>11297.598375205771</v>
      </c>
      <c r="H76" t="s">
        <v>219</v>
      </c>
      <c r="I76" t="s">
        <v>226</v>
      </c>
    </row>
    <row r="77" spans="1:9">
      <c r="A77" t="s">
        <v>189</v>
      </c>
      <c r="B77" t="s">
        <v>214</v>
      </c>
      <c r="E77">
        <f t="shared" si="8"/>
        <v>0</v>
      </c>
      <c r="F77">
        <v>5266</v>
      </c>
      <c r="G77">
        <f>LNG_global[[#This Row],[Distance '[miles']]]*1.60934449789256</f>
        <v>8474.8081259022201</v>
      </c>
      <c r="H77" t="s">
        <v>219</v>
      </c>
      <c r="I77" t="s">
        <v>227</v>
      </c>
    </row>
    <row r="78" spans="1:9">
      <c r="A78" t="s">
        <v>189</v>
      </c>
      <c r="B78" t="s">
        <v>215</v>
      </c>
      <c r="E78">
        <f t="shared" si="8"/>
        <v>0</v>
      </c>
      <c r="F78">
        <v>4657</v>
      </c>
      <c r="G78">
        <f>LNG_global[[#This Row],[Distance '[miles']]]*1.60934449789256</f>
        <v>7494.7173266856516</v>
      </c>
      <c r="H78" t="s">
        <v>219</v>
      </c>
      <c r="I78" t="s">
        <v>228</v>
      </c>
    </row>
    <row r="79" spans="1:9">
      <c r="A79" t="s">
        <v>189</v>
      </c>
      <c r="B79" t="s">
        <v>216</v>
      </c>
      <c r="E79">
        <f t="shared" si="8"/>
        <v>0</v>
      </c>
      <c r="F79">
        <v>3667</v>
      </c>
      <c r="G79">
        <f>LNG_global[[#This Row],[Distance '[miles']]]*1.60934449789256</f>
        <v>5901.4662737720173</v>
      </c>
      <c r="H79" t="s">
        <v>219</v>
      </c>
      <c r="I79" t="s">
        <v>229</v>
      </c>
    </row>
    <row r="80" spans="1:9">
      <c r="A80" t="s">
        <v>189</v>
      </c>
      <c r="B80" t="s">
        <v>217</v>
      </c>
      <c r="E80">
        <f t="shared" si="8"/>
        <v>0</v>
      </c>
      <c r="F80">
        <v>6091</v>
      </c>
      <c r="G80">
        <f>LNG_global[[#This Row],[Distance '[miles']]]*1.60934449789256</f>
        <v>9802.5173366635827</v>
      </c>
      <c r="H80" t="s">
        <v>219</v>
      </c>
      <c r="I80" t="s">
        <v>244</v>
      </c>
    </row>
    <row r="81" spans="1:9">
      <c r="A81" t="s">
        <v>189</v>
      </c>
      <c r="B81" t="s">
        <v>230</v>
      </c>
      <c r="E81">
        <f t="shared" ref="E81:E85" si="9">D81/1000</f>
        <v>0</v>
      </c>
      <c r="F81">
        <v>7423</v>
      </c>
      <c r="G81">
        <f>LNG_global[[#This Row],[Distance '[miles']]]*1.60934449789256</f>
        <v>11946.164207856473</v>
      </c>
      <c r="H81" t="s">
        <v>219</v>
      </c>
      <c r="I81" t="s">
        <v>235</v>
      </c>
    </row>
    <row r="82" spans="1:9">
      <c r="A82" t="s">
        <v>189</v>
      </c>
      <c r="B82" t="s">
        <v>231</v>
      </c>
      <c r="E82">
        <f t="shared" si="9"/>
        <v>0</v>
      </c>
      <c r="F82">
        <v>7423</v>
      </c>
      <c r="G82">
        <f>LNG_global[[#This Row],[Distance '[miles']]]*1.60934449789256</f>
        <v>11946.164207856473</v>
      </c>
      <c r="H82" t="s">
        <v>219</v>
      </c>
      <c r="I82" t="s">
        <v>236</v>
      </c>
    </row>
    <row r="83" spans="1:9">
      <c r="A83" t="s">
        <v>189</v>
      </c>
      <c r="B83" t="s">
        <v>232</v>
      </c>
      <c r="E83">
        <f t="shared" si="9"/>
        <v>0</v>
      </c>
      <c r="F83">
        <v>6540</v>
      </c>
      <c r="G83">
        <f>LNG_global[[#This Row],[Distance '[miles']]]*1.60934449789256</f>
        <v>10525.113016217341</v>
      </c>
      <c r="H83" t="s">
        <v>219</v>
      </c>
      <c r="I83" t="s">
        <v>237</v>
      </c>
    </row>
    <row r="84" spans="1:9">
      <c r="A84" t="s">
        <v>189</v>
      </c>
      <c r="B84" t="s">
        <v>233</v>
      </c>
      <c r="E84">
        <f t="shared" si="9"/>
        <v>0</v>
      </c>
      <c r="F84">
        <v>6078</v>
      </c>
      <c r="G84">
        <f>LNG_global[[#This Row],[Distance '[miles']]]*1.60934449789256</f>
        <v>9781.5958581909799</v>
      </c>
      <c r="H84" t="s">
        <v>219</v>
      </c>
      <c r="I84" t="s">
        <v>238</v>
      </c>
    </row>
    <row r="85" spans="1:9">
      <c r="A85" t="s">
        <v>189</v>
      </c>
      <c r="B85" t="s">
        <v>234</v>
      </c>
      <c r="E85">
        <f t="shared" si="9"/>
        <v>0</v>
      </c>
      <c r="F85">
        <v>7363</v>
      </c>
      <c r="G85">
        <f>LNG_global[[#This Row],[Distance '[miles']]]*1.60934449789256</f>
        <v>11849.603537982919</v>
      </c>
      <c r="H85" t="s">
        <v>219</v>
      </c>
      <c r="I85" t="s">
        <v>239</v>
      </c>
    </row>
    <row r="86" spans="1:9">
      <c r="A86" t="s">
        <v>184</v>
      </c>
      <c r="B86" t="s">
        <v>206</v>
      </c>
      <c r="E86">
        <f>D86/1000</f>
        <v>0</v>
      </c>
      <c r="F86">
        <v>4986</v>
      </c>
      <c r="G86">
        <f>LNG_global[[#This Row],[Distance '[miles']]]*1.60934449789256</f>
        <v>8024.1916664923037</v>
      </c>
      <c r="I86" t="s">
        <v>240</v>
      </c>
    </row>
    <row r="87" spans="1:9">
      <c r="A87" t="s">
        <v>184</v>
      </c>
      <c r="B87" t="s">
        <v>207</v>
      </c>
      <c r="E87">
        <f t="shared" ref="E87:E102" si="10">D87/1000</f>
        <v>0</v>
      </c>
      <c r="F87">
        <v>4815</v>
      </c>
      <c r="G87">
        <f>LNG_global[[#This Row],[Distance '[miles']]]*1.60934449789256</f>
        <v>7748.9937573526759</v>
      </c>
      <c r="I87" t="s">
        <v>220</v>
      </c>
    </row>
    <row r="88" spans="1:9">
      <c r="A88" t="s">
        <v>184</v>
      </c>
      <c r="B88" t="s">
        <v>208</v>
      </c>
      <c r="E88">
        <f t="shared" si="10"/>
        <v>0</v>
      </c>
      <c r="F88">
        <v>6255</v>
      </c>
      <c r="G88">
        <f>LNG_global[[#This Row],[Distance '[miles']]]*1.60934449789256</f>
        <v>10066.449834317962</v>
      </c>
      <c r="I88" t="s">
        <v>221</v>
      </c>
    </row>
    <row r="89" spans="1:9">
      <c r="A89" t="s">
        <v>184</v>
      </c>
      <c r="B89" t="s">
        <v>209</v>
      </c>
      <c r="E89">
        <f t="shared" si="10"/>
        <v>0</v>
      </c>
      <c r="F89">
        <v>5637</v>
      </c>
      <c r="G89">
        <f>LNG_global[[#This Row],[Distance '[miles']]]*1.60934449789256</f>
        <v>9071.8749346203604</v>
      </c>
      <c r="I89" t="s">
        <v>222</v>
      </c>
    </row>
    <row r="90" spans="1:9">
      <c r="A90" t="s">
        <v>184</v>
      </c>
      <c r="B90" t="s">
        <v>210</v>
      </c>
      <c r="E90">
        <f t="shared" si="10"/>
        <v>0</v>
      </c>
      <c r="F90">
        <v>6380</v>
      </c>
      <c r="G90">
        <f>LNG_global[[#This Row],[Distance '[miles']]]*1.60934449789256</f>
        <v>10267.617896554533</v>
      </c>
      <c r="I90" t="s">
        <v>223</v>
      </c>
    </row>
    <row r="91" spans="1:9">
      <c r="A91" t="s">
        <v>184</v>
      </c>
      <c r="B91" t="s">
        <v>211</v>
      </c>
      <c r="E91">
        <f t="shared" si="10"/>
        <v>0</v>
      </c>
      <c r="F91">
        <v>5634</v>
      </c>
      <c r="G91">
        <f>LNG_global[[#This Row],[Distance '[miles']]]*1.60934449789256</f>
        <v>9067.0469011266832</v>
      </c>
      <c r="I91" t="s">
        <v>224</v>
      </c>
    </row>
    <row r="92" spans="1:9">
      <c r="A92" t="s">
        <v>184</v>
      </c>
      <c r="B92" t="s">
        <v>212</v>
      </c>
      <c r="E92">
        <f t="shared" si="10"/>
        <v>0</v>
      </c>
      <c r="F92">
        <v>5052</v>
      </c>
      <c r="G92">
        <f>LNG_global[[#This Row],[Distance '[miles']]]*1.60934449789256</f>
        <v>8130.4084033532126</v>
      </c>
      <c r="I92" t="s">
        <v>225</v>
      </c>
    </row>
    <row r="93" spans="1:9">
      <c r="A93" t="s">
        <v>184</v>
      </c>
      <c r="B93" t="s">
        <v>213</v>
      </c>
      <c r="E93">
        <f t="shared" si="10"/>
        <v>0</v>
      </c>
      <c r="F93">
        <v>5443</v>
      </c>
      <c r="G93">
        <f>LNG_global[[#This Row],[Distance '[miles']]]*1.60934449789256</f>
        <v>8759.6621020292041</v>
      </c>
      <c r="I93" t="s">
        <v>226</v>
      </c>
    </row>
    <row r="94" spans="1:9">
      <c r="A94" t="s">
        <v>184</v>
      </c>
      <c r="B94" t="s">
        <v>214</v>
      </c>
      <c r="E94">
        <f t="shared" si="10"/>
        <v>0</v>
      </c>
      <c r="F94">
        <v>4565</v>
      </c>
      <c r="G94">
        <f>LNG_global[[#This Row],[Distance '[miles']]]*1.60934449789256</f>
        <v>7346.6576328795363</v>
      </c>
      <c r="I94" t="s">
        <v>227</v>
      </c>
    </row>
    <row r="95" spans="1:9">
      <c r="A95" t="s">
        <v>184</v>
      </c>
      <c r="B95" t="s">
        <v>215</v>
      </c>
      <c r="E95">
        <f t="shared" si="10"/>
        <v>0</v>
      </c>
      <c r="F95">
        <v>4786</v>
      </c>
      <c r="G95">
        <f>LNG_global[[#This Row],[Distance '[miles']]]*1.60934449789256</f>
        <v>7702.3227669137923</v>
      </c>
      <c r="I95" t="s">
        <v>243</v>
      </c>
    </row>
    <row r="96" spans="1:9">
      <c r="A96" t="s">
        <v>184</v>
      </c>
      <c r="B96" t="s">
        <v>216</v>
      </c>
      <c r="E96">
        <f t="shared" si="10"/>
        <v>0</v>
      </c>
      <c r="F96">
        <v>6409</v>
      </c>
      <c r="G96">
        <f>LNG_global[[#This Row],[Distance '[miles']]]*1.60934449789256</f>
        <v>10314.288886993416</v>
      </c>
      <c r="I96" t="s">
        <v>229</v>
      </c>
    </row>
    <row r="97" spans="1:9">
      <c r="A97" t="s">
        <v>184</v>
      </c>
      <c r="B97" t="s">
        <v>217</v>
      </c>
      <c r="E97">
        <f t="shared" si="10"/>
        <v>0</v>
      </c>
      <c r="F97">
        <v>4666</v>
      </c>
      <c r="G97">
        <f>LNG_global[[#This Row],[Distance '[miles']]]*1.60934449789256</f>
        <v>7509.2014271666849</v>
      </c>
      <c r="I97" t="s">
        <v>244</v>
      </c>
    </row>
    <row r="98" spans="1:9">
      <c r="A98" t="s">
        <v>184</v>
      </c>
      <c r="B98" t="s">
        <v>230</v>
      </c>
      <c r="E98">
        <f t="shared" si="10"/>
        <v>0</v>
      </c>
      <c r="F98">
        <v>5846</v>
      </c>
      <c r="G98">
        <f>LNG_global[[#This Row],[Distance '[miles']]]*1.60934449789256</f>
        <v>9408.227934679906</v>
      </c>
      <c r="I98" t="s">
        <v>235</v>
      </c>
    </row>
    <row r="99" spans="1:9">
      <c r="A99" t="s">
        <v>184</v>
      </c>
      <c r="B99" t="s">
        <v>231</v>
      </c>
      <c r="E99">
        <f t="shared" si="10"/>
        <v>0</v>
      </c>
      <c r="F99">
        <v>5846</v>
      </c>
      <c r="G99">
        <f>LNG_global[[#This Row],[Distance '[miles']]]*1.60934449789256</f>
        <v>9408.227934679906</v>
      </c>
      <c r="I99" t="s">
        <v>236</v>
      </c>
    </row>
    <row r="100" spans="1:9">
      <c r="A100" t="s">
        <v>184</v>
      </c>
      <c r="B100" t="s">
        <v>232</v>
      </c>
      <c r="E100">
        <f t="shared" si="10"/>
        <v>0</v>
      </c>
      <c r="F100">
        <v>5215</v>
      </c>
      <c r="G100">
        <f>LNG_global[[#This Row],[Distance '[miles']]]*1.60934449789256</f>
        <v>8392.7315565096997</v>
      </c>
      <c r="I100" t="s">
        <v>237</v>
      </c>
    </row>
    <row r="101" spans="1:9">
      <c r="A101" t="s">
        <v>184</v>
      </c>
      <c r="B101" t="s">
        <v>233</v>
      </c>
      <c r="E101">
        <f t="shared" si="10"/>
        <v>0</v>
      </c>
      <c r="F101">
        <v>4564</v>
      </c>
      <c r="G101">
        <f>LNG_global[[#This Row],[Distance '[miles']]]*1.60934449789256</f>
        <v>7345.0482883816439</v>
      </c>
      <c r="I101" t="s">
        <v>238</v>
      </c>
    </row>
    <row r="102" spans="1:9">
      <c r="A102" t="s">
        <v>184</v>
      </c>
      <c r="B102" t="s">
        <v>234</v>
      </c>
      <c r="E102">
        <f t="shared" si="10"/>
        <v>0</v>
      </c>
      <c r="F102">
        <v>5786</v>
      </c>
      <c r="G102">
        <f>LNG_global[[#This Row],[Distance '[miles']]]*1.60934449789256</f>
        <v>9311.6672648063523</v>
      </c>
      <c r="I102" t="s">
        <v>239</v>
      </c>
    </row>
    <row r="103" spans="1:9">
      <c r="A103" t="s">
        <v>187</v>
      </c>
      <c r="B103" t="s">
        <v>206</v>
      </c>
      <c r="E103">
        <f>D103/1000</f>
        <v>0</v>
      </c>
      <c r="F103">
        <v>3985</v>
      </c>
      <c r="G103">
        <f>LNG_global[[#This Row],[Distance '[miles']]]*1.60934449789256</f>
        <v>6413.2378241018514</v>
      </c>
      <c r="I103" t="s">
        <v>240</v>
      </c>
    </row>
    <row r="104" spans="1:9">
      <c r="A104" t="s">
        <v>187</v>
      </c>
      <c r="B104" t="s">
        <v>207</v>
      </c>
      <c r="E104">
        <f t="shared" ref="E104:E119" si="11">D104/1000</f>
        <v>0</v>
      </c>
      <c r="F104">
        <v>4101</v>
      </c>
      <c r="G104">
        <f>LNG_global[[#This Row],[Distance '[miles']]]*1.60934449789256</f>
        <v>6599.9217858573884</v>
      </c>
      <c r="I104" t="s">
        <v>220</v>
      </c>
    </row>
    <row r="105" spans="1:9">
      <c r="A105" t="s">
        <v>187</v>
      </c>
      <c r="B105" t="s">
        <v>208</v>
      </c>
      <c r="E105">
        <f t="shared" si="11"/>
        <v>0</v>
      </c>
      <c r="F105">
        <v>4898</v>
      </c>
      <c r="G105">
        <f>LNG_global[[#This Row],[Distance '[miles']]]*1.60934449789256</f>
        <v>7882.5693506777588</v>
      </c>
      <c r="I105" t="s">
        <v>221</v>
      </c>
    </row>
    <row r="106" spans="1:9">
      <c r="A106" t="s">
        <v>187</v>
      </c>
      <c r="B106" t="s">
        <v>209</v>
      </c>
      <c r="E106">
        <f t="shared" si="11"/>
        <v>0</v>
      </c>
      <c r="F106">
        <v>4280</v>
      </c>
      <c r="G106">
        <f>LNG_global[[#This Row],[Distance '[miles']]]*1.60934449789256</f>
        <v>6887.9944509801562</v>
      </c>
      <c r="I106" t="s">
        <v>222</v>
      </c>
    </row>
    <row r="107" spans="1:9">
      <c r="A107" t="s">
        <v>187</v>
      </c>
      <c r="B107" t="s">
        <v>210</v>
      </c>
      <c r="E107">
        <f t="shared" si="11"/>
        <v>0</v>
      </c>
      <c r="F107">
        <v>5023</v>
      </c>
      <c r="G107">
        <f>LNG_global[[#This Row],[Distance '[miles']]]*1.60934449789256</f>
        <v>8083.7374129143291</v>
      </c>
      <c r="I107" t="s">
        <v>223</v>
      </c>
    </row>
    <row r="108" spans="1:9">
      <c r="A108" t="s">
        <v>187</v>
      </c>
      <c r="B108" t="s">
        <v>211</v>
      </c>
      <c r="E108">
        <f t="shared" si="11"/>
        <v>0</v>
      </c>
      <c r="F108">
        <v>4823</v>
      </c>
      <c r="G108">
        <f>LNG_global[[#This Row],[Distance '[miles']]]*1.60934449789256</f>
        <v>7761.8685133358167</v>
      </c>
      <c r="I108" t="s">
        <v>224</v>
      </c>
    </row>
    <row r="109" spans="1:9">
      <c r="A109" t="s">
        <v>187</v>
      </c>
      <c r="B109" t="s">
        <v>212</v>
      </c>
      <c r="E109">
        <f t="shared" si="11"/>
        <v>0</v>
      </c>
      <c r="F109">
        <v>4051</v>
      </c>
      <c r="G109">
        <f>LNG_global[[#This Row],[Distance '[miles']]]*1.60934449789256</f>
        <v>6519.4545609627603</v>
      </c>
      <c r="I109" t="s">
        <v>225</v>
      </c>
    </row>
    <row r="110" spans="1:9">
      <c r="A110" t="s">
        <v>187</v>
      </c>
      <c r="B110" t="s">
        <v>213</v>
      </c>
      <c r="E110">
        <f t="shared" si="11"/>
        <v>0</v>
      </c>
      <c r="F110">
        <v>4632</v>
      </c>
      <c r="G110">
        <f>LNG_global[[#This Row],[Distance '[miles']]]*1.60934449789256</f>
        <v>7454.4837142383376</v>
      </c>
      <c r="I110" t="s">
        <v>226</v>
      </c>
    </row>
    <row r="111" spans="1:9">
      <c r="A111" t="s">
        <v>187</v>
      </c>
      <c r="B111" t="s">
        <v>214</v>
      </c>
      <c r="E111">
        <f t="shared" si="11"/>
        <v>0</v>
      </c>
      <c r="F111">
        <v>3299</v>
      </c>
      <c r="G111">
        <f>LNG_global[[#This Row],[Distance '[miles']]]*1.60934449789256</f>
        <v>5309.2274985475551</v>
      </c>
      <c r="I111" t="s">
        <v>227</v>
      </c>
    </row>
    <row r="112" spans="1:9">
      <c r="A112" t="s">
        <v>187</v>
      </c>
      <c r="B112" t="s">
        <v>215</v>
      </c>
      <c r="E112">
        <f t="shared" si="11"/>
        <v>0</v>
      </c>
      <c r="F112">
        <v>3366</v>
      </c>
      <c r="G112">
        <f>LNG_global[[#This Row],[Distance '[miles']]]*1.60934449789256</f>
        <v>5417.0535799063564</v>
      </c>
      <c r="I112" t="s">
        <v>256</v>
      </c>
    </row>
    <row r="113" spans="1:9">
      <c r="A113" t="s">
        <v>187</v>
      </c>
      <c r="B113" t="s">
        <v>216</v>
      </c>
      <c r="E113">
        <f t="shared" si="11"/>
        <v>0</v>
      </c>
      <c r="F113">
        <v>5052</v>
      </c>
      <c r="G113">
        <f>LNG_global[[#This Row],[Distance '[miles']]]*1.60934449789256</f>
        <v>8130.4084033532126</v>
      </c>
      <c r="I113" t="s">
        <v>229</v>
      </c>
    </row>
    <row r="114" spans="1:9">
      <c r="A114" t="s">
        <v>187</v>
      </c>
      <c r="B114" t="s">
        <v>217</v>
      </c>
      <c r="E114">
        <f t="shared" si="11"/>
        <v>0</v>
      </c>
      <c r="F114">
        <v>3733</v>
      </c>
      <c r="G114">
        <f>LNG_global[[#This Row],[Distance '[miles']]]*1.60934449789256</f>
        <v>6007.6830106329262</v>
      </c>
      <c r="I114" t="s">
        <v>244</v>
      </c>
    </row>
    <row r="115" spans="1:9">
      <c r="A115" t="s">
        <v>187</v>
      </c>
      <c r="B115" t="s">
        <v>230</v>
      </c>
      <c r="E115">
        <f t="shared" si="11"/>
        <v>0</v>
      </c>
      <c r="F115">
        <v>5035</v>
      </c>
      <c r="G115">
        <f>LNG_global[[#This Row],[Distance '[miles']]]*1.60934449789256</f>
        <v>8103.0495468890394</v>
      </c>
      <c r="I115" t="s">
        <v>235</v>
      </c>
    </row>
    <row r="116" spans="1:9">
      <c r="A116" t="s">
        <v>187</v>
      </c>
      <c r="B116" t="s">
        <v>231</v>
      </c>
      <c r="E116">
        <f t="shared" si="11"/>
        <v>0</v>
      </c>
      <c r="F116">
        <v>5035</v>
      </c>
      <c r="G116">
        <f>LNG_global[[#This Row],[Distance '[miles']]]*1.60934449789256</f>
        <v>8103.0495468890394</v>
      </c>
      <c r="I116" t="s">
        <v>236</v>
      </c>
    </row>
    <row r="117" spans="1:9">
      <c r="A117" t="s">
        <v>187</v>
      </c>
      <c r="B117" t="s">
        <v>232</v>
      </c>
      <c r="E117">
        <f t="shared" si="11"/>
        <v>0</v>
      </c>
      <c r="F117">
        <v>4248</v>
      </c>
      <c r="G117">
        <f>LNG_global[[#This Row],[Distance '[miles']]]*1.60934449789256</f>
        <v>6836.4954270475946</v>
      </c>
      <c r="I117" t="s">
        <v>237</v>
      </c>
    </row>
    <row r="118" spans="1:9">
      <c r="A118" t="s">
        <v>187</v>
      </c>
      <c r="B118" t="s">
        <v>233</v>
      </c>
      <c r="E118">
        <f t="shared" si="11"/>
        <v>0</v>
      </c>
      <c r="F118">
        <v>3599</v>
      </c>
      <c r="G118">
        <f>LNG_global[[#This Row],[Distance '[miles']]]*1.60934449789256</f>
        <v>5792.0308479153236</v>
      </c>
      <c r="I118" t="s">
        <v>238</v>
      </c>
    </row>
    <row r="119" spans="1:9">
      <c r="A119" t="s">
        <v>187</v>
      </c>
      <c r="B119" t="s">
        <v>234</v>
      </c>
      <c r="E119">
        <f t="shared" si="11"/>
        <v>0</v>
      </c>
      <c r="F119">
        <v>4975</v>
      </c>
      <c r="G119">
        <f>LNG_global[[#This Row],[Distance '[miles']]]*1.60934449789256</f>
        <v>8006.4888770154857</v>
      </c>
      <c r="I119" t="s">
        <v>239</v>
      </c>
    </row>
    <row r="120" spans="1:9">
      <c r="A120" t="s">
        <v>188</v>
      </c>
      <c r="B120" t="s">
        <v>206</v>
      </c>
      <c r="E120">
        <f>D120/1000</f>
        <v>0</v>
      </c>
      <c r="F120">
        <v>6210</v>
      </c>
      <c r="G120">
        <f>LNG_global[[#This Row],[Distance '[miles']]]*1.60934449789256</f>
        <v>9994.0293319127977</v>
      </c>
      <c r="H120" t="s">
        <v>219</v>
      </c>
      <c r="I120" t="s">
        <v>240</v>
      </c>
    </row>
    <row r="121" spans="1:9">
      <c r="A121" t="s">
        <v>188</v>
      </c>
      <c r="B121" t="s">
        <v>207</v>
      </c>
      <c r="E121">
        <f t="shared" ref="E121:E136" si="12">D121/1000</f>
        <v>0</v>
      </c>
      <c r="F121">
        <v>4514</v>
      </c>
      <c r="G121">
        <f>LNG_global[[#This Row],[Distance '[miles']]]*1.60934449789256</f>
        <v>7264.5810634870159</v>
      </c>
      <c r="H121" t="s">
        <v>219</v>
      </c>
      <c r="I121" t="s">
        <v>220</v>
      </c>
    </row>
    <row r="122" spans="1:9">
      <c r="A122" t="s">
        <v>188</v>
      </c>
      <c r="B122" t="s">
        <v>208</v>
      </c>
      <c r="E122">
        <f t="shared" si="12"/>
        <v>0</v>
      </c>
      <c r="F122">
        <v>3601</v>
      </c>
      <c r="G122">
        <f>LNG_global[[#This Row],[Distance '[miles']]]*1.60934449789256</f>
        <v>5795.2495369111084</v>
      </c>
      <c r="H122" t="s">
        <v>219</v>
      </c>
      <c r="I122" t="s">
        <v>221</v>
      </c>
    </row>
    <row r="123" spans="1:9">
      <c r="A123" t="s">
        <v>188</v>
      </c>
      <c r="B123" t="s">
        <v>209</v>
      </c>
      <c r="E123">
        <f t="shared" si="12"/>
        <v>0</v>
      </c>
      <c r="F123">
        <v>4385</v>
      </c>
      <c r="G123">
        <f>LNG_global[[#This Row],[Distance '[miles']]]*1.60934449789256</f>
        <v>7056.9756232588752</v>
      </c>
      <c r="H123" t="s">
        <v>219</v>
      </c>
      <c r="I123" t="s">
        <v>222</v>
      </c>
    </row>
    <row r="124" spans="1:9">
      <c r="A124" t="s">
        <v>188</v>
      </c>
      <c r="B124" t="s">
        <v>210</v>
      </c>
      <c r="E124">
        <f t="shared" si="12"/>
        <v>0</v>
      </c>
      <c r="F124">
        <v>4260</v>
      </c>
      <c r="G124">
        <f>LNG_global[[#This Row],[Distance '[miles']]]*1.60934449789256</f>
        <v>6855.807561022305</v>
      </c>
      <c r="H124" t="s">
        <v>219</v>
      </c>
      <c r="I124" t="s">
        <v>223</v>
      </c>
    </row>
    <row r="125" spans="1:9">
      <c r="A125" t="s">
        <v>188</v>
      </c>
      <c r="B125" t="s">
        <v>211</v>
      </c>
      <c r="E125">
        <f t="shared" si="12"/>
        <v>0</v>
      </c>
      <c r="F125">
        <v>7144</v>
      </c>
      <c r="G125">
        <f>LNG_global[[#This Row],[Distance '[miles']]]*1.60934449789256</f>
        <v>11497.157092944448</v>
      </c>
      <c r="H125" t="s">
        <v>219</v>
      </c>
      <c r="I125" t="s">
        <v>224</v>
      </c>
    </row>
    <row r="126" spans="1:9">
      <c r="A126" t="s">
        <v>188</v>
      </c>
      <c r="B126" t="s">
        <v>212</v>
      </c>
      <c r="E126">
        <f t="shared" si="12"/>
        <v>0</v>
      </c>
      <c r="F126">
        <v>6276</v>
      </c>
      <c r="G126">
        <f>LNG_global[[#This Row],[Distance '[miles']]]*1.60934449789256</f>
        <v>10100.246068773706</v>
      </c>
      <c r="H126" t="s">
        <v>219</v>
      </c>
      <c r="I126" t="s">
        <v>225</v>
      </c>
    </row>
    <row r="127" spans="1:9">
      <c r="A127" t="s">
        <v>188</v>
      </c>
      <c r="B127" t="s">
        <v>213</v>
      </c>
      <c r="E127">
        <f t="shared" si="12"/>
        <v>0</v>
      </c>
      <c r="F127">
        <v>6953</v>
      </c>
      <c r="G127">
        <f>LNG_global[[#This Row],[Distance '[miles']]]*1.60934449789256</f>
        <v>11189.772293846969</v>
      </c>
      <c r="H127" t="s">
        <v>219</v>
      </c>
      <c r="I127" t="s">
        <v>226</v>
      </c>
    </row>
    <row r="128" spans="1:9">
      <c r="A128" t="s">
        <v>188</v>
      </c>
      <c r="B128" t="s">
        <v>214</v>
      </c>
      <c r="E128">
        <f t="shared" si="12"/>
        <v>0</v>
      </c>
      <c r="F128">
        <v>5199</v>
      </c>
      <c r="G128">
        <f>LNG_global[[#This Row],[Distance '[miles']]]*1.60934449789256</f>
        <v>8366.9820445434198</v>
      </c>
      <c r="H128" t="s">
        <v>219</v>
      </c>
      <c r="I128" t="s">
        <v>227</v>
      </c>
    </row>
    <row r="129" spans="1:9">
      <c r="A129" t="s">
        <v>188</v>
      </c>
      <c r="B129" t="s">
        <v>215</v>
      </c>
      <c r="E129">
        <f t="shared" si="12"/>
        <v>0</v>
      </c>
      <c r="F129">
        <v>4590</v>
      </c>
      <c r="G129">
        <f>LNG_global[[#This Row],[Distance '[miles']]]*1.60934449789256</f>
        <v>7386.8912453268504</v>
      </c>
      <c r="H129" t="s">
        <v>219</v>
      </c>
      <c r="I129" t="s">
        <v>228</v>
      </c>
    </row>
    <row r="130" spans="1:9">
      <c r="A130" t="s">
        <v>188</v>
      </c>
      <c r="B130" t="s">
        <v>216</v>
      </c>
      <c r="E130">
        <f t="shared" si="12"/>
        <v>0</v>
      </c>
      <c r="F130">
        <v>3600</v>
      </c>
      <c r="G130">
        <f>LNG_global[[#This Row],[Distance '[miles']]]*1.60934449789256</f>
        <v>5793.640192413216</v>
      </c>
      <c r="H130" t="s">
        <v>219</v>
      </c>
      <c r="I130" t="s">
        <v>229</v>
      </c>
    </row>
    <row r="131" spans="1:9">
      <c r="A131" t="s">
        <v>188</v>
      </c>
      <c r="B131" t="s">
        <v>217</v>
      </c>
      <c r="E131">
        <f t="shared" si="12"/>
        <v>0</v>
      </c>
      <c r="F131">
        <v>6024</v>
      </c>
      <c r="G131">
        <f>LNG_global[[#This Row],[Distance '[miles']]]*1.60934449789256</f>
        <v>9694.6912553047805</v>
      </c>
      <c r="H131" t="s">
        <v>219</v>
      </c>
      <c r="I131" t="s">
        <v>244</v>
      </c>
    </row>
    <row r="132" spans="1:9">
      <c r="A132" t="s">
        <v>188</v>
      </c>
      <c r="B132" t="s">
        <v>230</v>
      </c>
      <c r="E132">
        <f t="shared" si="12"/>
        <v>0</v>
      </c>
      <c r="F132">
        <v>7356</v>
      </c>
      <c r="G132">
        <f>LNG_global[[#This Row],[Distance '[miles']]]*1.60934449789256</f>
        <v>11838.338126497671</v>
      </c>
      <c r="H132" t="s">
        <v>219</v>
      </c>
      <c r="I132" t="s">
        <v>235</v>
      </c>
    </row>
    <row r="133" spans="1:9">
      <c r="A133" t="s">
        <v>188</v>
      </c>
      <c r="B133" t="s">
        <v>231</v>
      </c>
      <c r="E133">
        <f t="shared" si="12"/>
        <v>0</v>
      </c>
      <c r="F133">
        <v>7356</v>
      </c>
      <c r="G133">
        <f>LNG_global[[#This Row],[Distance '[miles']]]*1.60934449789256</f>
        <v>11838.338126497671</v>
      </c>
      <c r="H133" t="s">
        <v>219</v>
      </c>
      <c r="I133" t="s">
        <v>236</v>
      </c>
    </row>
    <row r="134" spans="1:9">
      <c r="A134" t="s">
        <v>188</v>
      </c>
      <c r="B134" t="s">
        <v>232</v>
      </c>
      <c r="E134">
        <f t="shared" si="12"/>
        <v>0</v>
      </c>
      <c r="F134">
        <v>6473</v>
      </c>
      <c r="G134">
        <f>LNG_global[[#This Row],[Distance '[miles']]]*1.60934449789256</f>
        <v>10417.286934858541</v>
      </c>
      <c r="H134" t="s">
        <v>219</v>
      </c>
      <c r="I134" t="s">
        <v>237</v>
      </c>
    </row>
    <row r="135" spans="1:9">
      <c r="A135" t="s">
        <v>188</v>
      </c>
      <c r="B135" t="s">
        <v>233</v>
      </c>
      <c r="E135">
        <f t="shared" si="12"/>
        <v>0</v>
      </c>
      <c r="F135">
        <v>6011</v>
      </c>
      <c r="G135">
        <f>LNG_global[[#This Row],[Distance '[miles']]]*1.60934449789256</f>
        <v>9673.7697768321777</v>
      </c>
      <c r="H135" t="s">
        <v>219</v>
      </c>
      <c r="I135" t="s">
        <v>238</v>
      </c>
    </row>
    <row r="136" spans="1:9">
      <c r="A136" t="s">
        <v>188</v>
      </c>
      <c r="B136" t="s">
        <v>234</v>
      </c>
      <c r="E136">
        <f t="shared" si="12"/>
        <v>0</v>
      </c>
      <c r="F136">
        <v>7296</v>
      </c>
      <c r="G136">
        <f>LNG_global[[#This Row],[Distance '[miles']]]*1.60934449789256</f>
        <v>11741.777456624117</v>
      </c>
      <c r="H136" t="s">
        <v>219</v>
      </c>
      <c r="I136" t="s">
        <v>239</v>
      </c>
    </row>
    <row r="137" spans="1:9">
      <c r="A137" t="s">
        <v>190</v>
      </c>
      <c r="B137" t="s">
        <v>206</v>
      </c>
      <c r="E137">
        <f t="shared" ref="E137:E153" si="13">D137/1000</f>
        <v>0</v>
      </c>
      <c r="F137">
        <v>4348</v>
      </c>
      <c r="G137">
        <f>LNG_global[[#This Row],[Distance '[miles']]]*1.60934449789256</f>
        <v>6997.4298768368508</v>
      </c>
      <c r="I137" t="s">
        <v>240</v>
      </c>
    </row>
    <row r="138" spans="1:9">
      <c r="A138" t="s">
        <v>190</v>
      </c>
      <c r="B138" t="s">
        <v>207</v>
      </c>
      <c r="E138">
        <f t="shared" si="13"/>
        <v>0</v>
      </c>
      <c r="F138">
        <v>4027</v>
      </c>
      <c r="G138">
        <f>LNG_global[[#This Row],[Distance '[miles']]]*1.60934449789256</f>
        <v>6480.8302930133386</v>
      </c>
      <c r="I138" t="s">
        <v>220</v>
      </c>
    </row>
    <row r="139" spans="1:9">
      <c r="A139" t="s">
        <v>190</v>
      </c>
      <c r="B139" t="s">
        <v>208</v>
      </c>
      <c r="E139">
        <f t="shared" si="13"/>
        <v>0</v>
      </c>
      <c r="F139">
        <v>4824</v>
      </c>
      <c r="G139">
        <f>LNG_global[[#This Row],[Distance '[miles']]]*1.60934449789256</f>
        <v>7763.4778578337091</v>
      </c>
      <c r="I139" t="s">
        <v>221</v>
      </c>
    </row>
    <row r="140" spans="1:9">
      <c r="A140" t="s">
        <v>190</v>
      </c>
      <c r="B140" t="s">
        <v>209</v>
      </c>
      <c r="E140">
        <f t="shared" si="13"/>
        <v>0</v>
      </c>
      <c r="F140">
        <v>4206</v>
      </c>
      <c r="G140">
        <f>LNG_global[[#This Row],[Distance '[miles']]]*1.60934449789256</f>
        <v>6768.9029581361074</v>
      </c>
      <c r="I140" t="s">
        <v>222</v>
      </c>
    </row>
    <row r="141" spans="1:9">
      <c r="A141" t="s">
        <v>190</v>
      </c>
      <c r="B141" t="s">
        <v>210</v>
      </c>
      <c r="E141">
        <f t="shared" si="13"/>
        <v>0</v>
      </c>
      <c r="F141">
        <v>4949</v>
      </c>
      <c r="G141">
        <f>LNG_global[[#This Row],[Distance '[miles']]]*1.60934449789256</f>
        <v>7964.6459200702793</v>
      </c>
      <c r="I141" t="s">
        <v>223</v>
      </c>
    </row>
    <row r="142" spans="1:9">
      <c r="A142" t="s">
        <v>190</v>
      </c>
      <c r="B142" t="s">
        <v>211</v>
      </c>
      <c r="E142">
        <f t="shared" si="13"/>
        <v>0</v>
      </c>
      <c r="F142">
        <v>5282</v>
      </c>
      <c r="G142">
        <f>LNG_global[[#This Row],[Distance '[miles']]]*1.60934449789256</f>
        <v>8500.5576378685018</v>
      </c>
      <c r="I142" t="s">
        <v>224</v>
      </c>
    </row>
    <row r="143" spans="1:9">
      <c r="A143" t="s">
        <v>190</v>
      </c>
      <c r="B143" t="s">
        <v>212</v>
      </c>
      <c r="E143">
        <f t="shared" si="13"/>
        <v>0</v>
      </c>
      <c r="F143">
        <v>4414</v>
      </c>
      <c r="G143">
        <f>LNG_global[[#This Row],[Distance '[miles']]]*1.60934449789256</f>
        <v>7103.6466136977597</v>
      </c>
      <c r="I143" t="s">
        <v>225</v>
      </c>
    </row>
    <row r="144" spans="1:9">
      <c r="A144" t="s">
        <v>190</v>
      </c>
      <c r="B144" t="s">
        <v>213</v>
      </c>
      <c r="E144">
        <f t="shared" si="13"/>
        <v>0</v>
      </c>
      <c r="F144">
        <v>5091</v>
      </c>
      <c r="G144">
        <f>LNG_global[[#This Row],[Distance '[miles']]]*1.60934449789256</f>
        <v>8193.1728387710227</v>
      </c>
      <c r="I144" t="s">
        <v>226</v>
      </c>
    </row>
    <row r="145" spans="1:9">
      <c r="A145" t="s">
        <v>190</v>
      </c>
      <c r="B145" t="s">
        <v>214</v>
      </c>
      <c r="E145">
        <f t="shared" si="13"/>
        <v>0</v>
      </c>
      <c r="F145">
        <v>3389</v>
      </c>
      <c r="G145">
        <f>LNG_global[[#This Row],[Distance '[miles']]]*1.60934449789256</f>
        <v>5454.0685033578857</v>
      </c>
      <c r="I145" t="s">
        <v>227</v>
      </c>
    </row>
    <row r="146" spans="1:9">
      <c r="A146" t="s">
        <v>190</v>
      </c>
      <c r="B146" t="s">
        <v>215</v>
      </c>
      <c r="E146">
        <f t="shared" si="13"/>
        <v>0</v>
      </c>
      <c r="F146">
        <v>3359</v>
      </c>
      <c r="G146">
        <f>LNG_global[[#This Row],[Distance '[miles']]]*1.60934449789256</f>
        <v>5405.7881684211088</v>
      </c>
      <c r="I146" t="s">
        <v>256</v>
      </c>
    </row>
    <row r="147" spans="1:9">
      <c r="A147" t="s">
        <v>190</v>
      </c>
      <c r="B147" t="s">
        <v>216</v>
      </c>
      <c r="E147">
        <f t="shared" si="13"/>
        <v>0</v>
      </c>
      <c r="F147">
        <v>4978</v>
      </c>
      <c r="G147">
        <f>LNG_global[[#This Row],[Distance '[miles']]]*1.60934449789256</f>
        <v>8011.3169105091638</v>
      </c>
      <c r="I147" t="s">
        <v>229</v>
      </c>
    </row>
    <row r="148" spans="1:9">
      <c r="A148" t="s">
        <v>190</v>
      </c>
      <c r="B148" t="s">
        <v>217</v>
      </c>
      <c r="E148">
        <f t="shared" si="13"/>
        <v>0</v>
      </c>
      <c r="F148">
        <v>4162</v>
      </c>
      <c r="G148">
        <f>LNG_global[[#This Row],[Distance '[miles']]]*1.60934449789256</f>
        <v>6698.0918002288345</v>
      </c>
      <c r="I148" t="s">
        <v>244</v>
      </c>
    </row>
    <row r="149" spans="1:9">
      <c r="A149" t="s">
        <v>190</v>
      </c>
      <c r="B149" t="s">
        <v>230</v>
      </c>
      <c r="E149">
        <f t="shared" si="13"/>
        <v>0</v>
      </c>
      <c r="F149">
        <v>5494</v>
      </c>
      <c r="G149">
        <f>LNG_global[[#This Row],[Distance '[miles']]]*1.60934449789256</f>
        <v>8841.7386714217246</v>
      </c>
      <c r="I149" t="s">
        <v>235</v>
      </c>
    </row>
    <row r="150" spans="1:9">
      <c r="A150" t="s">
        <v>190</v>
      </c>
      <c r="B150" t="s">
        <v>231</v>
      </c>
      <c r="E150">
        <f t="shared" si="13"/>
        <v>0</v>
      </c>
      <c r="F150">
        <v>5494</v>
      </c>
      <c r="G150">
        <f>LNG_global[[#This Row],[Distance '[miles']]]*1.60934449789256</f>
        <v>8841.7386714217246</v>
      </c>
      <c r="I150" t="s">
        <v>236</v>
      </c>
    </row>
    <row r="151" spans="1:9">
      <c r="A151" t="s">
        <v>190</v>
      </c>
      <c r="B151" t="s">
        <v>232</v>
      </c>
      <c r="E151">
        <f t="shared" si="13"/>
        <v>0</v>
      </c>
      <c r="F151">
        <v>4611</v>
      </c>
      <c r="G151">
        <f>LNG_global[[#This Row],[Distance '[miles']]]*1.60934449789256</f>
        <v>7420.687479782594</v>
      </c>
      <c r="I151" t="s">
        <v>237</v>
      </c>
    </row>
    <row r="152" spans="1:9">
      <c r="A152" t="s">
        <v>190</v>
      </c>
      <c r="B152" t="s">
        <v>233</v>
      </c>
      <c r="E152">
        <f t="shared" si="13"/>
        <v>0</v>
      </c>
      <c r="F152">
        <v>4149</v>
      </c>
      <c r="G152">
        <f>LNG_global[[#This Row],[Distance '[miles']]]*1.60934449789256</f>
        <v>6677.1703217562308</v>
      </c>
      <c r="I152" t="s">
        <v>238</v>
      </c>
    </row>
    <row r="153" spans="1:9">
      <c r="A153" t="s">
        <v>190</v>
      </c>
      <c r="B153" t="s">
        <v>234</v>
      </c>
      <c r="E153">
        <f t="shared" si="13"/>
        <v>0</v>
      </c>
      <c r="F153">
        <v>5434</v>
      </c>
      <c r="G153">
        <f>LNG_global[[#This Row],[Distance '[miles']]]*1.60934449789256</f>
        <v>8745.1780015481709</v>
      </c>
      <c r="I153" t="s">
        <v>239</v>
      </c>
    </row>
    <row r="154" spans="1:9">
      <c r="A154" t="s">
        <v>191</v>
      </c>
      <c r="B154" t="s">
        <v>206</v>
      </c>
      <c r="E154">
        <f>D154/1000</f>
        <v>0</v>
      </c>
      <c r="F154">
        <v>9950</v>
      </c>
      <c r="G154">
        <f>LNG_global[[#This Row],[Distance '[miles']]]*1.60934449789256</f>
        <v>16012.977754030971</v>
      </c>
      <c r="H154" t="s">
        <v>219</v>
      </c>
      <c r="I154" t="s">
        <v>240</v>
      </c>
    </row>
    <row r="155" spans="1:9">
      <c r="A155" t="s">
        <v>191</v>
      </c>
      <c r="B155" t="s">
        <v>207</v>
      </c>
      <c r="E155">
        <f t="shared" ref="E155:E170" si="14">D155/1000</f>
        <v>0</v>
      </c>
      <c r="F155">
        <v>8254</v>
      </c>
      <c r="G155">
        <f>LNG_global[[#This Row],[Distance '[miles']]]*1.60934449789256</f>
        <v>13283.52948560519</v>
      </c>
      <c r="H155" t="s">
        <v>219</v>
      </c>
      <c r="I155" t="s">
        <v>220</v>
      </c>
    </row>
    <row r="156" spans="1:9">
      <c r="A156" t="s">
        <v>191</v>
      </c>
      <c r="B156" t="s">
        <v>208</v>
      </c>
      <c r="E156">
        <f t="shared" si="14"/>
        <v>0</v>
      </c>
      <c r="F156">
        <v>7341</v>
      </c>
      <c r="G156">
        <f>LNG_global[[#This Row],[Distance '[miles']]]*1.60934449789256</f>
        <v>11814.197959029283</v>
      </c>
      <c r="H156" t="s">
        <v>219</v>
      </c>
      <c r="I156" t="s">
        <v>221</v>
      </c>
    </row>
    <row r="157" spans="1:9">
      <c r="A157" t="s">
        <v>191</v>
      </c>
      <c r="B157" t="s">
        <v>209</v>
      </c>
      <c r="E157">
        <f t="shared" si="14"/>
        <v>0</v>
      </c>
      <c r="F157">
        <v>8125</v>
      </c>
      <c r="G157">
        <f>LNG_global[[#This Row],[Distance '[miles']]]*1.60934449789256</f>
        <v>13075.924045377049</v>
      </c>
      <c r="H157" t="s">
        <v>219</v>
      </c>
      <c r="I157" t="s">
        <v>222</v>
      </c>
    </row>
    <row r="158" spans="1:9">
      <c r="A158" t="s">
        <v>191</v>
      </c>
      <c r="B158" t="s">
        <v>210</v>
      </c>
      <c r="E158">
        <f t="shared" si="14"/>
        <v>0</v>
      </c>
      <c r="F158">
        <v>8000</v>
      </c>
      <c r="G158">
        <f>LNG_global[[#This Row],[Distance '[miles']]]*1.60934449789256</f>
        <v>12874.75598314048</v>
      </c>
      <c r="H158" t="s">
        <v>219</v>
      </c>
      <c r="I158" t="s">
        <v>223</v>
      </c>
    </row>
    <row r="159" spans="1:9">
      <c r="A159" t="s">
        <v>191</v>
      </c>
      <c r="B159" t="s">
        <v>211</v>
      </c>
      <c r="E159">
        <f t="shared" si="14"/>
        <v>0</v>
      </c>
      <c r="F159">
        <v>10884</v>
      </c>
      <c r="G159">
        <f>LNG_global[[#This Row],[Distance '[miles']]]*1.60934449789256</f>
        <v>17516.105515062623</v>
      </c>
      <c r="H159" t="s">
        <v>219</v>
      </c>
      <c r="I159" t="s">
        <v>224</v>
      </c>
    </row>
    <row r="160" spans="1:9">
      <c r="A160" t="s">
        <v>191</v>
      </c>
      <c r="B160" t="s">
        <v>212</v>
      </c>
      <c r="E160">
        <f t="shared" si="14"/>
        <v>0</v>
      </c>
      <c r="F160">
        <v>10016</v>
      </c>
      <c r="G160">
        <f>LNG_global[[#This Row],[Distance '[miles']]]*1.60934449789256</f>
        <v>16119.194490891881</v>
      </c>
      <c r="H160" t="s">
        <v>219</v>
      </c>
      <c r="I160" t="s">
        <v>225</v>
      </c>
    </row>
    <row r="161" spans="1:9">
      <c r="A161" t="s">
        <v>191</v>
      </c>
      <c r="B161" t="s">
        <v>213</v>
      </c>
      <c r="E161">
        <f t="shared" si="14"/>
        <v>0</v>
      </c>
      <c r="F161">
        <v>10693</v>
      </c>
      <c r="G161">
        <f>LNG_global[[#This Row],[Distance '[miles']]]*1.60934449789256</f>
        <v>17208.720715965144</v>
      </c>
      <c r="H161" t="s">
        <v>219</v>
      </c>
      <c r="I161" t="s">
        <v>226</v>
      </c>
    </row>
    <row r="162" spans="1:9">
      <c r="A162" t="s">
        <v>191</v>
      </c>
      <c r="B162" t="s">
        <v>214</v>
      </c>
      <c r="E162">
        <f t="shared" si="14"/>
        <v>0</v>
      </c>
      <c r="F162">
        <v>8939</v>
      </c>
      <c r="G162">
        <f>LNG_global[[#This Row],[Distance '[miles']]]*1.60934449789256</f>
        <v>14385.930466661594</v>
      </c>
      <c r="H162" t="s">
        <v>219</v>
      </c>
      <c r="I162" t="s">
        <v>227</v>
      </c>
    </row>
    <row r="163" spans="1:9">
      <c r="A163" t="s">
        <v>191</v>
      </c>
      <c r="B163" t="s">
        <v>215</v>
      </c>
      <c r="E163">
        <f t="shared" si="14"/>
        <v>0</v>
      </c>
      <c r="F163">
        <v>8330</v>
      </c>
      <c r="G163">
        <f>LNG_global[[#This Row],[Distance '[miles']]]*1.60934449789256</f>
        <v>13405.839667445025</v>
      </c>
      <c r="H163" t="s">
        <v>219</v>
      </c>
      <c r="I163" t="s">
        <v>228</v>
      </c>
    </row>
    <row r="164" spans="1:9">
      <c r="A164" t="s">
        <v>191</v>
      </c>
      <c r="B164" t="s">
        <v>216</v>
      </c>
      <c r="E164">
        <f t="shared" si="14"/>
        <v>0</v>
      </c>
      <c r="F164">
        <v>7340</v>
      </c>
      <c r="G164">
        <f>LNG_global[[#This Row],[Distance '[miles']]]*1.60934449789256</f>
        <v>11812.588614531391</v>
      </c>
      <c r="H164" t="s">
        <v>219</v>
      </c>
      <c r="I164" t="s">
        <v>229</v>
      </c>
    </row>
    <row r="165" spans="1:9">
      <c r="A165" t="s">
        <v>191</v>
      </c>
      <c r="B165" t="s">
        <v>217</v>
      </c>
      <c r="E165">
        <f t="shared" si="14"/>
        <v>0</v>
      </c>
      <c r="F165">
        <v>9764</v>
      </c>
      <c r="G165">
        <f>LNG_global[[#This Row],[Distance '[miles']]]*1.60934449789256</f>
        <v>15713.639677422956</v>
      </c>
      <c r="H165" t="s">
        <v>219</v>
      </c>
      <c r="I165" t="s">
        <v>244</v>
      </c>
    </row>
    <row r="166" spans="1:9">
      <c r="A166" t="s">
        <v>191</v>
      </c>
      <c r="B166" t="s">
        <v>230</v>
      </c>
      <c r="E166">
        <f t="shared" si="14"/>
        <v>0</v>
      </c>
      <c r="F166">
        <v>11096</v>
      </c>
      <c r="G166">
        <f>LNG_global[[#This Row],[Distance '[miles']]]*1.60934449789256</f>
        <v>17857.286548615844</v>
      </c>
      <c r="H166" t="s">
        <v>219</v>
      </c>
      <c r="I166" t="s">
        <v>235</v>
      </c>
    </row>
    <row r="167" spans="1:9">
      <c r="A167" t="s">
        <v>191</v>
      </c>
      <c r="B167" t="s">
        <v>231</v>
      </c>
      <c r="E167">
        <f t="shared" si="14"/>
        <v>0</v>
      </c>
      <c r="F167">
        <v>11096</v>
      </c>
      <c r="G167">
        <f>LNG_global[[#This Row],[Distance '[miles']]]*1.60934449789256</f>
        <v>17857.286548615844</v>
      </c>
      <c r="H167" t="s">
        <v>219</v>
      </c>
      <c r="I167" t="s">
        <v>236</v>
      </c>
    </row>
    <row r="168" spans="1:9">
      <c r="A168" t="s">
        <v>191</v>
      </c>
      <c r="B168" t="s">
        <v>232</v>
      </c>
      <c r="E168">
        <f t="shared" si="14"/>
        <v>0</v>
      </c>
      <c r="F168">
        <v>10213</v>
      </c>
      <c r="G168">
        <f>LNG_global[[#This Row],[Distance '[miles']]]*1.60934449789256</f>
        <v>16436.235356976715</v>
      </c>
      <c r="H168" t="s">
        <v>219</v>
      </c>
      <c r="I168" t="s">
        <v>237</v>
      </c>
    </row>
    <row r="169" spans="1:9">
      <c r="A169" t="s">
        <v>191</v>
      </c>
      <c r="B169" t="s">
        <v>233</v>
      </c>
      <c r="E169">
        <f t="shared" si="14"/>
        <v>0</v>
      </c>
      <c r="F169">
        <v>9751</v>
      </c>
      <c r="G169">
        <f>LNG_global[[#This Row],[Distance '[miles']]]*1.60934449789256</f>
        <v>15692.718198950352</v>
      </c>
      <c r="H169" t="s">
        <v>219</v>
      </c>
      <c r="I169" t="s">
        <v>238</v>
      </c>
    </row>
    <row r="170" spans="1:9">
      <c r="A170" t="s">
        <v>191</v>
      </c>
      <c r="B170" t="s">
        <v>234</v>
      </c>
      <c r="E170">
        <f t="shared" si="14"/>
        <v>0</v>
      </c>
      <c r="F170">
        <v>11036</v>
      </c>
      <c r="G170">
        <f>LNG_global[[#This Row],[Distance '[miles']]]*1.60934449789256</f>
        <v>17760.725878742291</v>
      </c>
      <c r="H170" t="s">
        <v>219</v>
      </c>
      <c r="I170" t="s">
        <v>239</v>
      </c>
    </row>
    <row r="171" spans="1:9">
      <c r="A171" t="s">
        <v>197</v>
      </c>
      <c r="B171" t="s">
        <v>206</v>
      </c>
      <c r="E171">
        <f>D171/1000</f>
        <v>0</v>
      </c>
      <c r="F171">
        <v>3208</v>
      </c>
      <c r="G171">
        <f>LNG_global[[#This Row],[Distance '[miles']]]*1.60934449789256</f>
        <v>5162.7771492393322</v>
      </c>
      <c r="I171" t="s">
        <v>240</v>
      </c>
    </row>
    <row r="172" spans="1:9">
      <c r="A172" t="s">
        <v>197</v>
      </c>
      <c r="B172" t="s">
        <v>207</v>
      </c>
      <c r="E172">
        <f t="shared" ref="E172:E187" si="15">D172/1000</f>
        <v>0</v>
      </c>
      <c r="F172">
        <v>1512</v>
      </c>
      <c r="G172">
        <f>LNG_global[[#This Row],[Distance '[miles']]]*1.60934449789256</f>
        <v>2433.3288808135508</v>
      </c>
      <c r="I172" t="s">
        <v>220</v>
      </c>
    </row>
    <row r="173" spans="1:9">
      <c r="A173" t="s">
        <v>197</v>
      </c>
      <c r="B173" t="s">
        <v>208</v>
      </c>
      <c r="E173">
        <f t="shared" si="15"/>
        <v>0</v>
      </c>
      <c r="F173">
        <v>599</v>
      </c>
      <c r="G173">
        <f>LNG_global[[#This Row],[Distance '[miles']]]*1.60934449789256</f>
        <v>963.99735423764344</v>
      </c>
      <c r="I173" t="s">
        <v>221</v>
      </c>
    </row>
    <row r="174" spans="1:9">
      <c r="A174" t="s">
        <v>197</v>
      </c>
      <c r="B174" t="s">
        <v>209</v>
      </c>
      <c r="E174">
        <f t="shared" si="15"/>
        <v>0</v>
      </c>
      <c r="F174">
        <v>1383</v>
      </c>
      <c r="G174">
        <f>LNG_global[[#This Row],[Distance '[miles']]]*1.60934449789256</f>
        <v>2225.7234405854106</v>
      </c>
      <c r="I174" t="s">
        <v>222</v>
      </c>
    </row>
    <row r="175" spans="1:9">
      <c r="A175" t="s">
        <v>197</v>
      </c>
      <c r="B175" t="s">
        <v>210</v>
      </c>
      <c r="E175">
        <f t="shared" si="15"/>
        <v>0</v>
      </c>
      <c r="F175">
        <v>1258</v>
      </c>
      <c r="G175">
        <f>LNG_global[[#This Row],[Distance '[miles']]]*1.60934449789256</f>
        <v>2024.5553783488403</v>
      </c>
      <c r="I175" t="s">
        <v>223</v>
      </c>
    </row>
    <row r="176" spans="1:9">
      <c r="A176" t="s">
        <v>197</v>
      </c>
      <c r="B176" t="s">
        <v>211</v>
      </c>
      <c r="E176">
        <f t="shared" si="15"/>
        <v>0</v>
      </c>
      <c r="F176">
        <v>4142</v>
      </c>
      <c r="G176">
        <f>LNG_global[[#This Row],[Distance '[miles']]]*1.60934449789256</f>
        <v>6665.9049102709832</v>
      </c>
      <c r="I176" t="s">
        <v>224</v>
      </c>
    </row>
    <row r="177" spans="1:9">
      <c r="A177" t="s">
        <v>197</v>
      </c>
      <c r="B177" t="s">
        <v>212</v>
      </c>
      <c r="E177">
        <f t="shared" si="15"/>
        <v>0</v>
      </c>
      <c r="F177">
        <v>3274</v>
      </c>
      <c r="G177">
        <f>LNG_global[[#This Row],[Distance '[miles']]]*1.60934449789256</f>
        <v>5268.9938861002411</v>
      </c>
      <c r="I177" t="s">
        <v>225</v>
      </c>
    </row>
    <row r="178" spans="1:9">
      <c r="A178" t="s">
        <v>197</v>
      </c>
      <c r="B178" t="s">
        <v>213</v>
      </c>
      <c r="E178">
        <f t="shared" si="15"/>
        <v>0</v>
      </c>
      <c r="F178">
        <v>3951</v>
      </c>
      <c r="G178">
        <f>LNG_global[[#This Row],[Distance '[miles']]]*1.60934449789256</f>
        <v>6358.5201111735041</v>
      </c>
      <c r="I178" t="s">
        <v>226</v>
      </c>
    </row>
    <row r="179" spans="1:9">
      <c r="A179" t="s">
        <v>197</v>
      </c>
      <c r="B179" t="s">
        <v>214</v>
      </c>
      <c r="E179">
        <f t="shared" si="15"/>
        <v>0</v>
      </c>
      <c r="F179">
        <v>2197</v>
      </c>
      <c r="G179">
        <f>LNG_global[[#This Row],[Distance '[miles']]]*1.60934449789256</f>
        <v>3535.7298618699542</v>
      </c>
      <c r="I179" t="s">
        <v>227</v>
      </c>
    </row>
    <row r="180" spans="1:9">
      <c r="A180" t="s">
        <v>197</v>
      </c>
      <c r="B180" t="s">
        <v>215</v>
      </c>
      <c r="E180">
        <f t="shared" si="15"/>
        <v>0</v>
      </c>
      <c r="F180">
        <v>1588</v>
      </c>
      <c r="G180">
        <f>LNG_global[[#This Row],[Distance '[miles']]]*1.60934449789256</f>
        <v>2555.6390626533853</v>
      </c>
      <c r="I180" t="s">
        <v>228</v>
      </c>
    </row>
    <row r="181" spans="1:9">
      <c r="A181" t="s">
        <v>197</v>
      </c>
      <c r="B181" t="s">
        <v>216</v>
      </c>
      <c r="E181">
        <f t="shared" si="15"/>
        <v>0</v>
      </c>
      <c r="F181">
        <v>598</v>
      </c>
      <c r="G181">
        <f>LNG_global[[#This Row],[Distance '[miles']]]*1.60934449789256</f>
        <v>962.38800973975083</v>
      </c>
      <c r="I181" t="s">
        <v>229</v>
      </c>
    </row>
    <row r="182" spans="1:9">
      <c r="A182" t="s">
        <v>197</v>
      </c>
      <c r="B182" t="s">
        <v>217</v>
      </c>
      <c r="E182">
        <f t="shared" si="15"/>
        <v>0</v>
      </c>
      <c r="F182">
        <v>3022</v>
      </c>
      <c r="G182">
        <f>LNG_global[[#This Row],[Distance '[miles']]]*1.60934449789256</f>
        <v>4863.4390726313159</v>
      </c>
      <c r="I182" t="s">
        <v>244</v>
      </c>
    </row>
    <row r="183" spans="1:9">
      <c r="A183" t="s">
        <v>197</v>
      </c>
      <c r="B183" t="s">
        <v>230</v>
      </c>
      <c r="E183">
        <f t="shared" si="15"/>
        <v>0</v>
      </c>
      <c r="F183">
        <v>4354</v>
      </c>
      <c r="G183">
        <f>LNG_global[[#This Row],[Distance '[miles']]]*1.60934449789256</f>
        <v>7007.085943824206</v>
      </c>
      <c r="I183" t="s">
        <v>235</v>
      </c>
    </row>
    <row r="184" spans="1:9">
      <c r="A184" t="s">
        <v>197</v>
      </c>
      <c r="B184" t="s">
        <v>231</v>
      </c>
      <c r="E184">
        <f t="shared" si="15"/>
        <v>0</v>
      </c>
      <c r="F184">
        <v>4354</v>
      </c>
      <c r="G184">
        <f>LNG_global[[#This Row],[Distance '[miles']]]*1.60934449789256</f>
        <v>7007.085943824206</v>
      </c>
      <c r="I184" t="s">
        <v>236</v>
      </c>
    </row>
    <row r="185" spans="1:9">
      <c r="A185" t="s">
        <v>197</v>
      </c>
      <c r="B185" t="s">
        <v>232</v>
      </c>
      <c r="E185">
        <f t="shared" si="15"/>
        <v>0</v>
      </c>
      <c r="F185">
        <v>3471</v>
      </c>
      <c r="G185">
        <f>LNG_global[[#This Row],[Distance '[miles']]]*1.60934449789256</f>
        <v>5586.0347521850754</v>
      </c>
      <c r="I185" t="s">
        <v>237</v>
      </c>
    </row>
    <row r="186" spans="1:9">
      <c r="A186" t="s">
        <v>197</v>
      </c>
      <c r="B186" t="s">
        <v>233</v>
      </c>
      <c r="E186">
        <f t="shared" si="15"/>
        <v>0</v>
      </c>
      <c r="F186">
        <v>3009</v>
      </c>
      <c r="G186">
        <f>LNG_global[[#This Row],[Distance '[miles']]]*1.60934449789256</f>
        <v>4842.5175941587131</v>
      </c>
      <c r="I186" t="s">
        <v>238</v>
      </c>
    </row>
    <row r="187" spans="1:9">
      <c r="A187" t="s">
        <v>197</v>
      </c>
      <c r="B187" t="s">
        <v>234</v>
      </c>
      <c r="E187">
        <f t="shared" si="15"/>
        <v>0</v>
      </c>
      <c r="F187">
        <v>4294</v>
      </c>
      <c r="G187">
        <f>LNG_global[[#This Row],[Distance '[miles']]]*1.60934449789256</f>
        <v>6910.5252739506523</v>
      </c>
      <c r="I187" t="s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2025-03-18T16:51:36Z</dcterms:modified>
</cp:coreProperties>
</file>