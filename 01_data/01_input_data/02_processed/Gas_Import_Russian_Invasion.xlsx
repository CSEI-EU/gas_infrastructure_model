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678E5D9E-05E8-4229-A41D-B29216D894B4}" xr6:coauthVersionLast="47" xr6:coauthVersionMax="47" xr10:uidLastSave="{00000000-0000-0000-0000-000000000000}"/>
  <bookViews>
    <workbookView xWindow="10" yWindow="10" windowWidth="19180" windowHeight="10060" firstSheet="1" activeTab="4" xr2:uid="{00000000-000D-0000-FFFF-FFFF00000000}"/>
  </bookViews>
  <sheets>
    <sheet name="nodes_lng" sheetId="1" r:id="rId1"/>
    <sheet name="nodes_gas_prod" sheetId="2" r:id="rId2"/>
    <sheet name="nodes_demand" sheetId="3" r:id="rId3"/>
    <sheet name="Connections" sheetId="4" r:id="rId4"/>
    <sheet name="Import_Connection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2" i="2"/>
  <c r="K3" i="1"/>
  <c r="K4" i="1"/>
  <c r="K5" i="1"/>
  <c r="K6" i="1"/>
  <c r="K7" i="1"/>
  <c r="K8" i="1"/>
  <c r="K9" i="1"/>
  <c r="K10" i="1"/>
  <c r="K11" i="1"/>
  <c r="K12" i="1"/>
  <c r="K13" i="1"/>
  <c r="K2" i="1"/>
  <c r="J3" i="1"/>
  <c r="J4" i="1"/>
  <c r="J5" i="1"/>
  <c r="J6" i="1"/>
  <c r="J7" i="1"/>
  <c r="J8" i="1"/>
  <c r="J9" i="1"/>
  <c r="J10" i="1"/>
  <c r="J11" i="1"/>
  <c r="J12" i="1"/>
  <c r="J13" i="1"/>
  <c r="J2" i="1"/>
  <c r="C5" i="5"/>
  <c r="D3" i="1"/>
  <c r="D4" i="1"/>
  <c r="D5" i="1"/>
  <c r="D6" i="1"/>
  <c r="D7" i="1"/>
  <c r="D8" i="1"/>
  <c r="D9" i="1"/>
  <c r="D10" i="1"/>
  <c r="D11" i="1"/>
  <c r="D12" i="1"/>
  <c r="D13" i="1"/>
  <c r="D14" i="1"/>
  <c r="D2" i="1"/>
</calcChain>
</file>

<file path=xl/sharedStrings.xml><?xml version="1.0" encoding="utf-8"?>
<sst xmlns="http://schemas.openxmlformats.org/spreadsheetml/2006/main" count="453" uniqueCount="107">
  <si>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</si>
  <si>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</si>
  <si>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</si>
  <si>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</si>
  <si>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</si>
  <si>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</si>
  <si>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</si>
  <si>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</si>
  <si>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</si>
  <si>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</si>
  <si>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</si>
  <si>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</si>
  <si>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</si>
  <si>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</si>
  <si>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</si>
  <si>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</si>
  <si>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</si>
  <si>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</si>
  <si>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</si>
  <si>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</si>
  <si>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</si>
  <si>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</si>
  <si>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</si>
  <si>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</si>
  <si>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</si>
  <si>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</si>
  <si>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</si>
  <si>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</si>
  <si>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</si>
  <si>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</si>
  <si>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</si>
  <si>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</si>
  <si>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</si>
  <si>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</si>
  <si>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</si>
  <si>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</si>
  <si>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</si>
  <si>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</si>
  <si>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</si>
  <si>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</si>
  <si>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</si>
  <si>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</si>
  <si>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</si>
  <si>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</si>
  <si>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</si>
  <si>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</si>
  <si>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</si>
  <si>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</si>
  <si>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</si>
  <si>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</si>
  <si>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</si>
  <si>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</si>
  <si>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</si>
  <si>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</si>
  <si>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</si>
  <si>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</si>
  <si>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</si>
  <si>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</si>
  <si>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</si>
  <si>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</si>
  <si>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</si>
  <si>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</si>
  <si>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</si>
  <si>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</si>
  <si>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</si>
  <si>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</si>
  <si>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</si>
  <si>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</si>
  <si>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</si>
  <si>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</si>
  <si>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</si>
  <si>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</si>
  <si>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</si>
  <si>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</si>
  <si>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</si>
  <si>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</si>
  <si>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</si>
  <si>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</si>
  <si>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</si>
  <si>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</si>
  <si>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</si>
  <si>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</si>
  <si>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</si>
  <si>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</si>
  <si>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</si>
  <si>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https://www.bp.com/content/dam/bp/business-sites/en/global/corporate/pdfs/energy-economics/statistical-review/bp-stats-review-2021-full-report.pdf</t>
  </si>
  <si>
    <t>Mrd m3 [2020]</t>
  </si>
  <si>
    <t>Finland</t>
  </si>
  <si>
    <t>Romania</t>
  </si>
  <si>
    <t>SP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</si>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</sst>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2"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C42" totalsRowShown="0">
  <autoFilter ref="A1:C42" xr:uid="{D12A1D17-871E-4E66-A144-F2ADD46C5E00}"/>
  <sortState xmlns:xlrd2="http://schemas.microsoft.com/office/spreadsheetml/2017/richdata2" ref="A2:C41">
    <sortCondition ref="B1:B41"/>
  </sortState>
  <tableColumns count="3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C39" totalsRowShown="0">
  <autoFilter ref="A1:C39" xr:uid="{B73A1919-17A7-42D3-8518-97DC2C923D0A}"/>
  <sortState xmlns:xlrd2="http://schemas.microsoft.com/office/spreadsheetml/2017/richdata2" ref="A2:C39">
    <sortCondition ref="B1:B39"/>
  </sortState>
  <tableColumns count="3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"/>
  <sheetViews>
    <sheetView workbookViewId="0">
      <selection activeCell="J2" sqref="J2:K13"/>
    </sheetView>
  </sheetViews>
  <sheetFormatPr defaultRowHeight="14.5" x14ac:dyDescent="0.35"/>
  <sheetData>
    <row r="1" spans="1:11" x14ac:dyDescent="0.35">
      <c r="A1" t="s">
        <v>12</v>
      </c>
      <c r="B1" t="s">
        <v>15</v>
      </c>
      <c r="C1" t="s">
        <v>93</v>
      </c>
      <c r="D1" t="s">
        <v>13</v>
      </c>
      <c r="E1" t="s">
        <v>14</v>
      </c>
      <c r="J1" t="s">
        <v>95</v>
      </c>
      <c r="K1" t="s">
        <v>96</v>
      </c>
    </row>
    <row r="2" spans="1:11" x14ac:dyDescent="0.35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G2" t="s">
        <v>17</v>
      </c>
      <c r="H2" t="s">
        <v>105</v>
      </c>
      <c r="J2" t="str">
        <f>_xlfn.CONCAT(G2,H2)</f>
        <v>BE_LNG</v>
      </c>
      <c r="K2" t="str">
        <f>G2</f>
        <v>BE</v>
      </c>
    </row>
    <row r="3" spans="1:11" x14ac:dyDescent="0.35">
      <c r="A3" t="s">
        <v>2</v>
      </c>
      <c r="B3">
        <v>33</v>
      </c>
      <c r="C3">
        <v>19.600000000000001</v>
      </c>
      <c r="D3" s="1">
        <f t="shared" ref="D3:D14" si="0">C3/B3</f>
        <v>0.59393939393939399</v>
      </c>
      <c r="E3">
        <v>33</v>
      </c>
      <c r="G3" t="s">
        <v>25</v>
      </c>
      <c r="H3" t="s">
        <v>105</v>
      </c>
      <c r="J3" t="str">
        <f t="shared" ref="J3:J13" si="1">_xlfn.CONCAT(G3,H3)</f>
        <v>FR_LNG</v>
      </c>
      <c r="K3" t="str">
        <f t="shared" ref="K3:K13" si="2">G3</f>
        <v>FR</v>
      </c>
    </row>
    <row r="4" spans="1:11" x14ac:dyDescent="0.35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G4" t="s">
        <v>33</v>
      </c>
      <c r="H4" t="s">
        <v>105</v>
      </c>
      <c r="J4" t="str">
        <f t="shared" si="1"/>
        <v>GR_LNG</v>
      </c>
      <c r="K4" t="str">
        <f t="shared" si="2"/>
        <v>GR</v>
      </c>
    </row>
    <row r="5" spans="1:11" x14ac:dyDescent="0.35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G5" t="s">
        <v>21</v>
      </c>
      <c r="H5" t="s">
        <v>105</v>
      </c>
      <c r="J5" t="str">
        <f t="shared" si="1"/>
        <v>IT_LNG</v>
      </c>
      <c r="K5" t="str">
        <f t="shared" si="2"/>
        <v>IT</v>
      </c>
    </row>
    <row r="6" spans="1:11" x14ac:dyDescent="0.35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G6" t="s">
        <v>24</v>
      </c>
      <c r="H6" t="s">
        <v>105</v>
      </c>
      <c r="J6" t="str">
        <f t="shared" si="1"/>
        <v>HR_LNG</v>
      </c>
      <c r="K6" t="str">
        <f t="shared" si="2"/>
        <v>HR</v>
      </c>
    </row>
    <row r="7" spans="1:11" x14ac:dyDescent="0.35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G7" t="s">
        <v>35</v>
      </c>
      <c r="H7" t="s">
        <v>105</v>
      </c>
      <c r="J7" t="str">
        <f t="shared" si="1"/>
        <v>LT_LNG</v>
      </c>
      <c r="K7" t="str">
        <f t="shared" si="2"/>
        <v>LT</v>
      </c>
    </row>
    <row r="8" spans="1:11" x14ac:dyDescent="0.35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G8" t="s">
        <v>18</v>
      </c>
      <c r="H8" t="s">
        <v>105</v>
      </c>
      <c r="J8" t="str">
        <f t="shared" si="1"/>
        <v>NL_LNG</v>
      </c>
      <c r="K8" t="str">
        <f t="shared" si="2"/>
        <v>NL</v>
      </c>
    </row>
    <row r="9" spans="1:11" x14ac:dyDescent="0.35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G9" t="s">
        <v>27</v>
      </c>
      <c r="H9" t="s">
        <v>105</v>
      </c>
      <c r="J9" t="str">
        <f t="shared" si="1"/>
        <v>PL_LNG</v>
      </c>
      <c r="K9" t="str">
        <f t="shared" si="2"/>
        <v>PL</v>
      </c>
    </row>
    <row r="10" spans="1:11" x14ac:dyDescent="0.35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G10" t="s">
        <v>38</v>
      </c>
      <c r="H10" t="s">
        <v>105</v>
      </c>
      <c r="J10" t="str">
        <f t="shared" si="1"/>
        <v>PT_LNG</v>
      </c>
      <c r="K10" t="str">
        <f t="shared" si="2"/>
        <v>PT</v>
      </c>
    </row>
    <row r="11" spans="1:11" x14ac:dyDescent="0.35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G11" t="s">
        <v>37</v>
      </c>
      <c r="H11" t="s">
        <v>105</v>
      </c>
      <c r="J11" t="str">
        <f t="shared" si="1"/>
        <v>ES_LNG</v>
      </c>
      <c r="K11" t="str">
        <f t="shared" si="2"/>
        <v>ES</v>
      </c>
    </row>
    <row r="12" spans="1:11" x14ac:dyDescent="0.35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G12" t="s">
        <v>47</v>
      </c>
      <c r="H12" t="s">
        <v>105</v>
      </c>
      <c r="J12" t="str">
        <f t="shared" si="1"/>
        <v>TR_LNG</v>
      </c>
      <c r="K12" t="str">
        <f t="shared" si="2"/>
        <v>TR</v>
      </c>
    </row>
    <row r="13" spans="1:11" x14ac:dyDescent="0.35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G13" t="s">
        <v>11</v>
      </c>
      <c r="H13" t="s">
        <v>105</v>
      </c>
      <c r="J13" t="str">
        <f t="shared" si="1"/>
        <v>UK_LNG</v>
      </c>
      <c r="K13" t="str">
        <f t="shared" si="2"/>
        <v>UK</v>
      </c>
    </row>
    <row r="14" spans="1:11" x14ac:dyDescent="0.35">
      <c r="A14" t="s">
        <v>94</v>
      </c>
      <c r="B14">
        <v>0.7</v>
      </c>
      <c r="D14" s="1">
        <f t="shared" si="0"/>
        <v>0</v>
      </c>
      <c r="G14" t="s">
        <v>104</v>
      </c>
    </row>
    <row r="15" spans="1:11" x14ac:dyDescent="0.35">
      <c r="D1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I49"/>
  <sheetViews>
    <sheetView topLeftCell="A31" workbookViewId="0">
      <selection activeCell="H40" sqref="H40:I41"/>
    </sheetView>
  </sheetViews>
  <sheetFormatPr defaultRowHeight="14.5" x14ac:dyDescent="0.35"/>
  <cols>
    <col min="1" max="1" width="9.54296875" customWidth="1"/>
    <col min="2" max="2" width="12.54296875" customWidth="1"/>
    <col min="3" max="3" width="15" customWidth="1"/>
  </cols>
  <sheetData>
    <row r="1" spans="1:9" x14ac:dyDescent="0.35">
      <c r="A1" t="s">
        <v>16</v>
      </c>
      <c r="B1" t="s">
        <v>56</v>
      </c>
      <c r="C1" t="s">
        <v>86</v>
      </c>
      <c r="H1" t="s">
        <v>95</v>
      </c>
      <c r="I1" t="s">
        <v>96</v>
      </c>
    </row>
    <row r="2" spans="1:9" x14ac:dyDescent="0.35">
      <c r="A2" t="s">
        <v>42</v>
      </c>
      <c r="B2" t="s">
        <v>74</v>
      </c>
      <c r="C2" s="2"/>
      <c r="E2" t="s">
        <v>106</v>
      </c>
      <c r="H2" t="str">
        <f>_xlfn.CONCAT(A2,$E$2)</f>
        <v>AL_Prod</v>
      </c>
      <c r="I2" t="str">
        <f>Table2[[#This Row],[Country]]</f>
        <v>AL</v>
      </c>
    </row>
    <row r="3" spans="1:9" x14ac:dyDescent="0.35">
      <c r="A3" t="s">
        <v>50</v>
      </c>
      <c r="B3" t="s">
        <v>79</v>
      </c>
      <c r="C3" s="2">
        <v>81.5</v>
      </c>
      <c r="H3" t="str">
        <f t="shared" ref="H3:H42" si="0">_xlfn.CONCAT(A3,$E$2)</f>
        <v>DZ_Prod</v>
      </c>
      <c r="I3" t="str">
        <f>Table2[[#This Row],[Country]]</f>
        <v>DZ</v>
      </c>
    </row>
    <row r="4" spans="1:9" x14ac:dyDescent="0.35">
      <c r="A4" t="s">
        <v>20</v>
      </c>
      <c r="B4" t="s">
        <v>58</v>
      </c>
      <c r="C4" s="2"/>
      <c r="H4" t="str">
        <f t="shared" si="0"/>
        <v>AT_Prod</v>
      </c>
      <c r="I4" t="str">
        <f>Table2[[#This Row],[Country]]</f>
        <v>AT</v>
      </c>
    </row>
    <row r="5" spans="1:9" x14ac:dyDescent="0.35">
      <c r="A5" t="s">
        <v>53</v>
      </c>
      <c r="B5" t="s">
        <v>82</v>
      </c>
      <c r="C5" s="2"/>
      <c r="H5" t="str">
        <f t="shared" si="0"/>
        <v>BY_Prod</v>
      </c>
      <c r="I5" t="str">
        <f>Table2[[#This Row],[Country]]</f>
        <v>BY</v>
      </c>
    </row>
    <row r="6" spans="1:9" x14ac:dyDescent="0.35">
      <c r="A6" t="s">
        <v>17</v>
      </c>
      <c r="B6" t="s">
        <v>0</v>
      </c>
      <c r="C6" s="2"/>
      <c r="H6" t="str">
        <f t="shared" si="0"/>
        <v>BE_Prod</v>
      </c>
      <c r="I6" t="str">
        <f>Table2[[#This Row],[Country]]</f>
        <v>BE</v>
      </c>
    </row>
    <row r="7" spans="1:9" x14ac:dyDescent="0.35">
      <c r="A7" t="s">
        <v>45</v>
      </c>
      <c r="B7" t="s">
        <v>76</v>
      </c>
      <c r="C7" s="2"/>
      <c r="H7" t="str">
        <f t="shared" si="0"/>
        <v>BA_Prod</v>
      </c>
      <c r="I7" t="str">
        <f>Table2[[#This Row],[Country]]</f>
        <v>BA</v>
      </c>
    </row>
    <row r="8" spans="1:9" x14ac:dyDescent="0.35">
      <c r="A8" t="s">
        <v>32</v>
      </c>
      <c r="B8" t="s">
        <v>65</v>
      </c>
      <c r="C8" s="2"/>
      <c r="H8" t="str">
        <f t="shared" si="0"/>
        <v>BG_Prod</v>
      </c>
      <c r="I8" t="str">
        <f>Table2[[#This Row],[Country]]</f>
        <v>BG</v>
      </c>
    </row>
    <row r="9" spans="1:9" x14ac:dyDescent="0.35">
      <c r="A9" t="s">
        <v>24</v>
      </c>
      <c r="B9" t="s">
        <v>5</v>
      </c>
      <c r="C9" s="2"/>
      <c r="H9" t="str">
        <f t="shared" si="0"/>
        <v>HR_Prod</v>
      </c>
      <c r="I9" t="str">
        <f>Table2[[#This Row],[Country]]</f>
        <v>HR</v>
      </c>
    </row>
    <row r="10" spans="1:9" x14ac:dyDescent="0.35">
      <c r="A10" t="s">
        <v>28</v>
      </c>
      <c r="B10" t="s">
        <v>62</v>
      </c>
      <c r="C10" s="2"/>
      <c r="H10" t="str">
        <f t="shared" si="0"/>
        <v>CZ_Prod</v>
      </c>
      <c r="I10" t="str">
        <f>Table2[[#This Row],[Country]]</f>
        <v>CZ</v>
      </c>
    </row>
    <row r="11" spans="1:9" x14ac:dyDescent="0.35">
      <c r="A11" t="s">
        <v>26</v>
      </c>
      <c r="B11" t="s">
        <v>61</v>
      </c>
      <c r="C11" s="2">
        <v>1.4</v>
      </c>
      <c r="H11" t="str">
        <f t="shared" si="0"/>
        <v>DK_Prod</v>
      </c>
      <c r="I11" t="str">
        <f>Table2[[#This Row],[Country]]</f>
        <v>DK</v>
      </c>
    </row>
    <row r="12" spans="1:9" x14ac:dyDescent="0.35">
      <c r="A12" t="s">
        <v>37</v>
      </c>
      <c r="B12" t="s">
        <v>67</v>
      </c>
      <c r="C12" s="2"/>
      <c r="H12" t="str">
        <f t="shared" si="0"/>
        <v>ES_Prod</v>
      </c>
      <c r="I12" t="str">
        <f>Table2[[#This Row],[Country]]</f>
        <v>ES</v>
      </c>
    </row>
    <row r="13" spans="1:9" x14ac:dyDescent="0.35">
      <c r="A13" t="s">
        <v>54</v>
      </c>
      <c r="B13" t="s">
        <v>67</v>
      </c>
      <c r="C13" s="2"/>
      <c r="H13" t="str">
        <f t="shared" si="0"/>
        <v>EE_Prod</v>
      </c>
      <c r="I13" t="str">
        <f>Table2[[#This Row],[Country]]</f>
        <v>EE</v>
      </c>
    </row>
    <row r="14" spans="1:9" x14ac:dyDescent="0.35">
      <c r="A14" t="s">
        <v>55</v>
      </c>
      <c r="B14" t="s">
        <v>87</v>
      </c>
      <c r="C14" s="2"/>
      <c r="H14" t="str">
        <f t="shared" si="0"/>
        <v>FI_Prod</v>
      </c>
      <c r="I14" t="str">
        <f>Table2[[#This Row],[Country]]</f>
        <v>FI</v>
      </c>
    </row>
    <row r="15" spans="1:9" x14ac:dyDescent="0.35">
      <c r="A15" t="s">
        <v>25</v>
      </c>
      <c r="B15" t="s">
        <v>2</v>
      </c>
      <c r="C15" s="2"/>
      <c r="H15" t="str">
        <f t="shared" si="0"/>
        <v>FR_Prod</v>
      </c>
      <c r="I15" t="str">
        <f>Table2[[#This Row],[Country]]</f>
        <v>FR</v>
      </c>
    </row>
    <row r="16" spans="1:9" x14ac:dyDescent="0.35">
      <c r="A16" t="s">
        <v>19</v>
      </c>
      <c r="B16" t="s">
        <v>57</v>
      </c>
      <c r="C16" s="2">
        <v>4.5</v>
      </c>
      <c r="H16" t="str">
        <f t="shared" si="0"/>
        <v>DE_Prod</v>
      </c>
      <c r="I16" t="str">
        <f>Table2[[#This Row],[Country]]</f>
        <v>DE</v>
      </c>
    </row>
    <row r="17" spans="1:9" x14ac:dyDescent="0.35">
      <c r="A17" t="s">
        <v>33</v>
      </c>
      <c r="B17" t="s">
        <v>3</v>
      </c>
      <c r="C17" s="2"/>
      <c r="H17" t="str">
        <f t="shared" si="0"/>
        <v>GR_Prod</v>
      </c>
      <c r="I17" t="str">
        <f>Table2[[#This Row],[Country]]</f>
        <v>GR</v>
      </c>
    </row>
    <row r="18" spans="1:9" x14ac:dyDescent="0.35">
      <c r="A18" t="s">
        <v>30</v>
      </c>
      <c r="B18" t="s">
        <v>64</v>
      </c>
      <c r="C18" s="2"/>
      <c r="H18" t="str">
        <f t="shared" si="0"/>
        <v>HU_Prod</v>
      </c>
      <c r="I18" t="str">
        <f>Table2[[#This Row],[Country]]</f>
        <v>HU</v>
      </c>
    </row>
    <row r="19" spans="1:9" x14ac:dyDescent="0.35">
      <c r="A19" t="s">
        <v>44</v>
      </c>
      <c r="B19" t="s">
        <v>75</v>
      </c>
      <c r="C19" s="2"/>
      <c r="H19" t="str">
        <f t="shared" si="0"/>
        <v>IE_Prod</v>
      </c>
      <c r="I19" t="str">
        <f>Table2[[#This Row],[Country]]</f>
        <v>IE</v>
      </c>
    </row>
    <row r="20" spans="1:9" x14ac:dyDescent="0.35">
      <c r="A20" t="s">
        <v>21</v>
      </c>
      <c r="B20" t="s">
        <v>4</v>
      </c>
      <c r="C20" s="2">
        <v>3.9</v>
      </c>
      <c r="H20" t="str">
        <f t="shared" si="0"/>
        <v>IT_Prod</v>
      </c>
      <c r="I20" t="str">
        <f>Table2[[#This Row],[Country]]</f>
        <v>IT</v>
      </c>
    </row>
    <row r="21" spans="1:9" x14ac:dyDescent="0.35">
      <c r="A21" t="s">
        <v>36</v>
      </c>
      <c r="B21" t="s">
        <v>66</v>
      </c>
      <c r="C21" s="2"/>
      <c r="H21" t="str">
        <f t="shared" si="0"/>
        <v>LV_Prod</v>
      </c>
      <c r="I21" t="str">
        <f>Table2[[#This Row],[Country]]</f>
        <v>LV</v>
      </c>
    </row>
    <row r="22" spans="1:9" x14ac:dyDescent="0.35">
      <c r="A22" t="s">
        <v>52</v>
      </c>
      <c r="B22" t="s">
        <v>81</v>
      </c>
      <c r="C22" s="2">
        <v>13.3</v>
      </c>
      <c r="H22" t="str">
        <f t="shared" si="0"/>
        <v>LY_Prod</v>
      </c>
      <c r="I22" t="str">
        <f>Table2[[#This Row],[Country]]</f>
        <v>LY</v>
      </c>
    </row>
    <row r="23" spans="1:9" x14ac:dyDescent="0.35">
      <c r="A23" t="s">
        <v>35</v>
      </c>
      <c r="B23" t="s">
        <v>6</v>
      </c>
      <c r="C23" s="2"/>
      <c r="H23" t="str">
        <f t="shared" si="0"/>
        <v>LT_Prod</v>
      </c>
      <c r="I23" t="str">
        <f>Table2[[#This Row],[Country]]</f>
        <v>LT</v>
      </c>
    </row>
    <row r="24" spans="1:9" x14ac:dyDescent="0.35">
      <c r="A24" t="s">
        <v>43</v>
      </c>
      <c r="B24" t="s">
        <v>71</v>
      </c>
      <c r="C24" s="2"/>
      <c r="H24" t="str">
        <f t="shared" si="0"/>
        <v>LU_Prod</v>
      </c>
      <c r="I24" t="str">
        <f>Table2[[#This Row],[Country]]</f>
        <v>LU</v>
      </c>
    </row>
    <row r="25" spans="1:9" x14ac:dyDescent="0.35">
      <c r="A25" t="s">
        <v>40</v>
      </c>
      <c r="B25" t="s">
        <v>69</v>
      </c>
      <c r="C25" s="2"/>
      <c r="H25" t="str">
        <f t="shared" si="0"/>
        <v>MD_Prod</v>
      </c>
      <c r="I25" t="str">
        <f>Table2[[#This Row],[Country]]</f>
        <v>MD</v>
      </c>
    </row>
    <row r="26" spans="1:9" x14ac:dyDescent="0.35">
      <c r="A26" t="s">
        <v>18</v>
      </c>
      <c r="B26" t="s">
        <v>7</v>
      </c>
      <c r="C26" s="2">
        <v>20</v>
      </c>
      <c r="H26" t="str">
        <f t="shared" si="0"/>
        <v>NL_Prod</v>
      </c>
      <c r="I26" t="str">
        <f>Table2[[#This Row],[Country]]</f>
        <v>NL</v>
      </c>
    </row>
    <row r="27" spans="1:9" x14ac:dyDescent="0.35">
      <c r="A27" t="s">
        <v>46</v>
      </c>
      <c r="B27" t="s">
        <v>77</v>
      </c>
      <c r="C27" s="2"/>
      <c r="H27" t="str">
        <f t="shared" si="0"/>
        <v>MK_Prod</v>
      </c>
      <c r="I27" t="str">
        <f>Table2[[#This Row],[Country]]</f>
        <v>MK</v>
      </c>
    </row>
    <row r="28" spans="1:9" x14ac:dyDescent="0.35">
      <c r="A28" t="s">
        <v>49</v>
      </c>
      <c r="B28" t="s">
        <v>72</v>
      </c>
      <c r="C28" s="2">
        <v>111.5</v>
      </c>
      <c r="H28" t="str">
        <f t="shared" si="0"/>
        <v>NO_Prod</v>
      </c>
      <c r="I28" t="str">
        <f>Table2[[#This Row],[Country]]</f>
        <v>NO</v>
      </c>
    </row>
    <row r="29" spans="1:9" x14ac:dyDescent="0.35">
      <c r="A29" t="s">
        <v>27</v>
      </c>
      <c r="B29" t="s">
        <v>8</v>
      </c>
      <c r="C29" s="2">
        <v>3.9</v>
      </c>
      <c r="H29" t="str">
        <f t="shared" si="0"/>
        <v>PL_Prod</v>
      </c>
      <c r="I29" t="str">
        <f>Table2[[#This Row],[Country]]</f>
        <v>PL</v>
      </c>
    </row>
    <row r="30" spans="1:9" x14ac:dyDescent="0.35">
      <c r="A30" t="s">
        <v>38</v>
      </c>
      <c r="B30" t="s">
        <v>1</v>
      </c>
      <c r="C30" s="2"/>
      <c r="H30" t="str">
        <f t="shared" si="0"/>
        <v>PT_Prod</v>
      </c>
      <c r="I30" t="str">
        <f>Table2[[#This Row],[Country]]</f>
        <v>PT</v>
      </c>
    </row>
    <row r="31" spans="1:9" x14ac:dyDescent="0.35">
      <c r="A31" t="s">
        <v>34</v>
      </c>
      <c r="B31" t="s">
        <v>88</v>
      </c>
      <c r="C31" s="2">
        <v>8.6999999999999993</v>
      </c>
      <c r="H31" t="str">
        <f t="shared" si="0"/>
        <v>RO_Prod</v>
      </c>
      <c r="I31" t="str">
        <f>Table2[[#This Row],[Country]]</f>
        <v>RO</v>
      </c>
    </row>
    <row r="32" spans="1:9" x14ac:dyDescent="0.35">
      <c r="A32" t="s">
        <v>41</v>
      </c>
      <c r="B32" t="s">
        <v>70</v>
      </c>
      <c r="C32" s="2">
        <v>638.5</v>
      </c>
      <c r="H32" t="str">
        <f t="shared" si="0"/>
        <v>RU_Prod</v>
      </c>
      <c r="I32" t="str">
        <f>Table2[[#This Row],[Country]]</f>
        <v>RU</v>
      </c>
    </row>
    <row r="33" spans="1:9" x14ac:dyDescent="0.35">
      <c r="A33" t="s">
        <v>48</v>
      </c>
      <c r="B33" t="s">
        <v>78</v>
      </c>
      <c r="C33" s="2"/>
      <c r="H33" t="str">
        <f t="shared" si="0"/>
        <v>SM_Prod</v>
      </c>
      <c r="I33" t="str">
        <f>Table2[[#This Row],[Country]]</f>
        <v>SM</v>
      </c>
    </row>
    <row r="34" spans="1:9" x14ac:dyDescent="0.35">
      <c r="A34" t="s">
        <v>31</v>
      </c>
      <c r="B34" t="s">
        <v>73</v>
      </c>
      <c r="C34" s="2"/>
      <c r="H34" t="str">
        <f t="shared" si="0"/>
        <v>RS_Prod</v>
      </c>
      <c r="I34" t="str">
        <f>Table2[[#This Row],[Country]]</f>
        <v>RS</v>
      </c>
    </row>
    <row r="35" spans="1:9" x14ac:dyDescent="0.35">
      <c r="A35" t="s">
        <v>29</v>
      </c>
      <c r="B35" t="s">
        <v>63</v>
      </c>
      <c r="C35" s="2"/>
      <c r="H35" t="str">
        <f t="shared" si="0"/>
        <v>SK_Prod</v>
      </c>
      <c r="I35" t="str">
        <f>Table2[[#This Row],[Country]]</f>
        <v>SK</v>
      </c>
    </row>
    <row r="36" spans="1:9" x14ac:dyDescent="0.35">
      <c r="A36" t="s">
        <v>23</v>
      </c>
      <c r="B36" t="s">
        <v>60</v>
      </c>
      <c r="C36" s="2"/>
      <c r="H36" t="str">
        <f t="shared" si="0"/>
        <v>SI_Prod</v>
      </c>
      <c r="I36" t="str">
        <f>Table2[[#This Row],[Country]]</f>
        <v>SI</v>
      </c>
    </row>
    <row r="37" spans="1:9" x14ac:dyDescent="0.35">
      <c r="A37" t="s">
        <v>22</v>
      </c>
      <c r="B37" t="s">
        <v>59</v>
      </c>
      <c r="C37" s="2"/>
      <c r="H37" t="str">
        <f t="shared" si="0"/>
        <v>CH_Prod</v>
      </c>
      <c r="I37" t="str">
        <f>Table2[[#This Row],[Country]]</f>
        <v>CH</v>
      </c>
    </row>
    <row r="38" spans="1:9" x14ac:dyDescent="0.35">
      <c r="A38" t="s">
        <v>51</v>
      </c>
      <c r="B38" t="s">
        <v>80</v>
      </c>
      <c r="C38" s="2">
        <v>1.9</v>
      </c>
      <c r="H38" t="str">
        <f t="shared" si="0"/>
        <v>TN_Prod</v>
      </c>
      <c r="I38" t="str">
        <f>Table2[[#This Row],[Country]]</f>
        <v>TN</v>
      </c>
    </row>
    <row r="39" spans="1:9" x14ac:dyDescent="0.35">
      <c r="A39" t="s">
        <v>47</v>
      </c>
      <c r="B39" t="s">
        <v>10</v>
      </c>
      <c r="C39" s="2"/>
      <c r="H39" t="str">
        <f t="shared" si="0"/>
        <v>TR_Prod</v>
      </c>
      <c r="I39" t="str">
        <f>Table2[[#This Row],[Country]]</f>
        <v>TR</v>
      </c>
    </row>
    <row r="40" spans="1:9" x14ac:dyDescent="0.35">
      <c r="A40" t="s">
        <v>11</v>
      </c>
      <c r="B40" t="s">
        <v>11</v>
      </c>
      <c r="C40" s="2">
        <v>39.5</v>
      </c>
      <c r="H40" t="str">
        <f t="shared" si="0"/>
        <v>UK_Prod</v>
      </c>
      <c r="I40" t="str">
        <f>Table2[[#This Row],[Country]]</f>
        <v>UK</v>
      </c>
    </row>
    <row r="41" spans="1:9" x14ac:dyDescent="0.35">
      <c r="A41" t="s">
        <v>39</v>
      </c>
      <c r="B41" t="s">
        <v>68</v>
      </c>
      <c r="C41" s="2">
        <v>19</v>
      </c>
      <c r="H41" t="str">
        <f t="shared" si="0"/>
        <v>UA_Prod</v>
      </c>
      <c r="I41" t="str">
        <f>Table2[[#This Row],[Country]]</f>
        <v>UA</v>
      </c>
    </row>
    <row r="42" spans="1:9" x14ac:dyDescent="0.35">
      <c r="A42" t="s">
        <v>90</v>
      </c>
      <c r="B42" t="s">
        <v>91</v>
      </c>
      <c r="C42" s="2">
        <v>6.3</v>
      </c>
    </row>
    <row r="48" spans="1:9" x14ac:dyDescent="0.35">
      <c r="A48" t="s">
        <v>85</v>
      </c>
    </row>
    <row r="49" spans="1:2" x14ac:dyDescent="0.35">
      <c r="A49" t="s">
        <v>80</v>
      </c>
      <c r="B49" t="s">
        <v>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C51"/>
  <sheetViews>
    <sheetView workbookViewId="0">
      <selection activeCell="A2" sqref="A2"/>
    </sheetView>
  </sheetViews>
  <sheetFormatPr defaultRowHeight="14.5" x14ac:dyDescent="0.35"/>
  <cols>
    <col min="1" max="1" width="9.54296875" customWidth="1"/>
    <col min="2" max="2" width="12.54296875" customWidth="1"/>
    <col min="3" max="3" width="15" customWidth="1"/>
  </cols>
  <sheetData>
    <row r="1" spans="1:3" x14ac:dyDescent="0.35">
      <c r="A1" t="s">
        <v>16</v>
      </c>
      <c r="B1" t="s">
        <v>56</v>
      </c>
      <c r="C1" t="s">
        <v>86</v>
      </c>
    </row>
    <row r="2" spans="1:3" x14ac:dyDescent="0.35">
      <c r="A2" t="s">
        <v>42</v>
      </c>
      <c r="B2" t="s">
        <v>74</v>
      </c>
      <c r="C2" s="2"/>
    </row>
    <row r="3" spans="1:3" x14ac:dyDescent="0.35">
      <c r="A3" t="s">
        <v>20</v>
      </c>
      <c r="B3" t="s">
        <v>58</v>
      </c>
      <c r="C3" s="2">
        <v>8.5</v>
      </c>
    </row>
    <row r="4" spans="1:3" x14ac:dyDescent="0.35">
      <c r="A4" t="s">
        <v>17</v>
      </c>
      <c r="B4" t="s">
        <v>0</v>
      </c>
      <c r="C4" s="2">
        <v>17</v>
      </c>
    </row>
    <row r="5" spans="1:3" x14ac:dyDescent="0.35">
      <c r="A5" t="s">
        <v>45</v>
      </c>
      <c r="B5" t="s">
        <v>76</v>
      </c>
      <c r="C5" s="2"/>
    </row>
    <row r="6" spans="1:3" x14ac:dyDescent="0.35">
      <c r="A6" t="s">
        <v>32</v>
      </c>
      <c r="B6" t="s">
        <v>65</v>
      </c>
      <c r="C6" s="2"/>
    </row>
    <row r="7" spans="1:3" x14ac:dyDescent="0.35">
      <c r="A7" t="s">
        <v>24</v>
      </c>
      <c r="B7" t="s">
        <v>5</v>
      </c>
      <c r="C7" s="2"/>
    </row>
    <row r="8" spans="1:3" x14ac:dyDescent="0.35">
      <c r="A8" t="s">
        <v>28</v>
      </c>
      <c r="B8" t="s">
        <v>62</v>
      </c>
      <c r="C8" s="2">
        <v>8.5</v>
      </c>
    </row>
    <row r="9" spans="1:3" x14ac:dyDescent="0.35">
      <c r="A9" t="s">
        <v>26</v>
      </c>
      <c r="B9" t="s">
        <v>61</v>
      </c>
      <c r="C9" s="2"/>
    </row>
    <row r="10" spans="1:3" x14ac:dyDescent="0.35">
      <c r="A10" t="s">
        <v>54</v>
      </c>
      <c r="B10" t="s">
        <v>67</v>
      </c>
      <c r="C10" s="2"/>
    </row>
    <row r="11" spans="1:3" x14ac:dyDescent="0.35">
      <c r="A11" t="s">
        <v>37</v>
      </c>
      <c r="B11" t="s">
        <v>67</v>
      </c>
      <c r="C11" s="2"/>
    </row>
    <row r="12" spans="1:3" x14ac:dyDescent="0.35">
      <c r="A12" t="s">
        <v>55</v>
      </c>
      <c r="B12" t="s">
        <v>87</v>
      </c>
      <c r="C12" s="2">
        <v>2</v>
      </c>
    </row>
    <row r="13" spans="1:3" x14ac:dyDescent="0.35">
      <c r="A13" t="s">
        <v>25</v>
      </c>
      <c r="B13" t="s">
        <v>2</v>
      </c>
      <c r="C13" s="2">
        <v>40.700000000000003</v>
      </c>
    </row>
    <row r="14" spans="1:3" x14ac:dyDescent="0.35">
      <c r="A14" t="s">
        <v>19</v>
      </c>
      <c r="B14" t="s">
        <v>57</v>
      </c>
      <c r="C14" s="2">
        <v>86.5</v>
      </c>
    </row>
    <row r="15" spans="1:3" x14ac:dyDescent="0.35">
      <c r="A15" t="s">
        <v>33</v>
      </c>
      <c r="B15" t="s">
        <v>3</v>
      </c>
      <c r="C15" s="2">
        <v>5.7</v>
      </c>
    </row>
    <row r="16" spans="1:3" x14ac:dyDescent="0.35">
      <c r="A16" t="s">
        <v>30</v>
      </c>
      <c r="B16" t="s">
        <v>64</v>
      </c>
      <c r="C16" s="2">
        <v>10.199999999999999</v>
      </c>
    </row>
    <row r="17" spans="1:3" x14ac:dyDescent="0.35">
      <c r="A17" t="s">
        <v>44</v>
      </c>
      <c r="B17" t="s">
        <v>75</v>
      </c>
      <c r="C17" s="2"/>
    </row>
    <row r="18" spans="1:3" x14ac:dyDescent="0.35">
      <c r="A18" t="s">
        <v>21</v>
      </c>
      <c r="B18" t="s">
        <v>4</v>
      </c>
      <c r="C18" s="2">
        <v>67.7</v>
      </c>
    </row>
    <row r="19" spans="1:3" x14ac:dyDescent="0.35">
      <c r="A19" t="s">
        <v>36</v>
      </c>
      <c r="B19" t="s">
        <v>66</v>
      </c>
      <c r="C19" s="2"/>
    </row>
    <row r="20" spans="1:3" x14ac:dyDescent="0.35">
      <c r="A20" t="s">
        <v>35</v>
      </c>
      <c r="B20" t="s">
        <v>6</v>
      </c>
      <c r="C20" s="2"/>
    </row>
    <row r="21" spans="1:3" x14ac:dyDescent="0.35">
      <c r="A21" t="s">
        <v>43</v>
      </c>
      <c r="B21" t="s">
        <v>71</v>
      </c>
      <c r="C21" s="2"/>
    </row>
    <row r="22" spans="1:3" x14ac:dyDescent="0.35">
      <c r="A22" t="s">
        <v>40</v>
      </c>
      <c r="B22" t="s">
        <v>69</v>
      </c>
      <c r="C22" s="2"/>
    </row>
    <row r="23" spans="1:3" x14ac:dyDescent="0.35">
      <c r="A23" t="s">
        <v>18</v>
      </c>
      <c r="B23" t="s">
        <v>7</v>
      </c>
      <c r="C23" s="2">
        <v>36.6</v>
      </c>
    </row>
    <row r="24" spans="1:3" x14ac:dyDescent="0.35">
      <c r="A24" t="s">
        <v>46</v>
      </c>
      <c r="B24" t="s">
        <v>77</v>
      </c>
      <c r="C24" s="2"/>
    </row>
    <row r="25" spans="1:3" x14ac:dyDescent="0.35">
      <c r="A25" t="s">
        <v>49</v>
      </c>
      <c r="B25" t="s">
        <v>72</v>
      </c>
      <c r="C25" s="2">
        <v>4.4000000000000004</v>
      </c>
    </row>
    <row r="26" spans="1:3" x14ac:dyDescent="0.35">
      <c r="A26" t="s">
        <v>90</v>
      </c>
      <c r="B26" t="s">
        <v>91</v>
      </c>
      <c r="C26" s="2">
        <v>29.6</v>
      </c>
    </row>
    <row r="27" spans="1:3" x14ac:dyDescent="0.35">
      <c r="A27" t="s">
        <v>27</v>
      </c>
      <c r="B27" t="s">
        <v>8</v>
      </c>
      <c r="C27" s="2">
        <v>21.6</v>
      </c>
    </row>
    <row r="28" spans="1:3" x14ac:dyDescent="0.35">
      <c r="A28" t="s">
        <v>38</v>
      </c>
      <c r="B28" t="s">
        <v>1</v>
      </c>
      <c r="C28" s="2">
        <v>6</v>
      </c>
    </row>
    <row r="29" spans="1:3" x14ac:dyDescent="0.35">
      <c r="A29" t="s">
        <v>34</v>
      </c>
      <c r="B29" t="s">
        <v>88</v>
      </c>
      <c r="C29" s="2">
        <v>11.3</v>
      </c>
    </row>
    <row r="30" spans="1:3" x14ac:dyDescent="0.35">
      <c r="A30" t="s">
        <v>48</v>
      </c>
      <c r="B30" t="s">
        <v>78</v>
      </c>
      <c r="C30" s="2"/>
    </row>
    <row r="31" spans="1:3" x14ac:dyDescent="0.35">
      <c r="A31" t="s">
        <v>31</v>
      </c>
      <c r="B31" t="s">
        <v>73</v>
      </c>
      <c r="C31" s="2"/>
    </row>
    <row r="32" spans="1:3" x14ac:dyDescent="0.35">
      <c r="A32" t="s">
        <v>29</v>
      </c>
      <c r="B32" t="s">
        <v>63</v>
      </c>
      <c r="C32" s="2"/>
    </row>
    <row r="33" spans="1:3" x14ac:dyDescent="0.35">
      <c r="A33" t="s">
        <v>23</v>
      </c>
      <c r="B33" t="s">
        <v>60</v>
      </c>
      <c r="C33" s="2"/>
    </row>
    <row r="34" spans="1:3" x14ac:dyDescent="0.35">
      <c r="A34" t="s">
        <v>89</v>
      </c>
      <c r="B34" t="s">
        <v>9</v>
      </c>
      <c r="C34" s="2">
        <v>32.4</v>
      </c>
    </row>
    <row r="35" spans="1:3" x14ac:dyDescent="0.35">
      <c r="A35" t="s">
        <v>83</v>
      </c>
      <c r="B35" t="s">
        <v>84</v>
      </c>
      <c r="C35" s="2">
        <v>1.1000000000000001</v>
      </c>
    </row>
    <row r="36" spans="1:3" x14ac:dyDescent="0.35">
      <c r="A36" t="s">
        <v>22</v>
      </c>
      <c r="B36" t="s">
        <v>59</v>
      </c>
      <c r="C36" s="2">
        <v>3.2</v>
      </c>
    </row>
    <row r="37" spans="1:3" x14ac:dyDescent="0.35">
      <c r="A37" t="s">
        <v>47</v>
      </c>
      <c r="B37" t="s">
        <v>10</v>
      </c>
      <c r="C37" s="2">
        <v>46.4</v>
      </c>
    </row>
    <row r="38" spans="1:3" x14ac:dyDescent="0.35">
      <c r="A38" t="s">
        <v>11</v>
      </c>
      <c r="B38" t="s">
        <v>11</v>
      </c>
      <c r="C38" s="2">
        <v>72.5</v>
      </c>
    </row>
    <row r="39" spans="1:3" x14ac:dyDescent="0.35">
      <c r="A39" t="s">
        <v>39</v>
      </c>
      <c r="B39" t="s">
        <v>68</v>
      </c>
      <c r="C39" s="2">
        <v>29.3</v>
      </c>
    </row>
    <row r="51" spans="1:1" x14ac:dyDescent="0.35">
      <c r="A51" t="s">
        <v>85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C90"/>
  <sheetViews>
    <sheetView topLeftCell="A74" workbookViewId="0">
      <selection activeCell="A2" sqref="A2:B90"/>
    </sheetView>
  </sheetViews>
  <sheetFormatPr defaultRowHeight="14.5" x14ac:dyDescent="0.35"/>
  <sheetData>
    <row r="1" spans="1:3" x14ac:dyDescent="0.35">
      <c r="A1" t="s">
        <v>95</v>
      </c>
      <c r="B1" t="s">
        <v>96</v>
      </c>
      <c r="C1" t="s">
        <v>97</v>
      </c>
    </row>
    <row r="2" spans="1:3" x14ac:dyDescent="0.35">
      <c r="A2" t="s">
        <v>11</v>
      </c>
      <c r="B2" t="s">
        <v>17</v>
      </c>
      <c r="C2">
        <v>651.70000000000005</v>
      </c>
    </row>
    <row r="3" spans="1:3" x14ac:dyDescent="0.35">
      <c r="A3" t="s">
        <v>11</v>
      </c>
      <c r="B3" t="s">
        <v>44</v>
      </c>
      <c r="C3">
        <v>386.9</v>
      </c>
    </row>
    <row r="4" spans="1:3" x14ac:dyDescent="0.35">
      <c r="A4" t="s">
        <v>17</v>
      </c>
      <c r="B4" t="s">
        <v>11</v>
      </c>
      <c r="C4">
        <v>803.4</v>
      </c>
    </row>
    <row r="5" spans="1:3" x14ac:dyDescent="0.35">
      <c r="A5" t="s">
        <v>17</v>
      </c>
      <c r="B5" t="s">
        <v>18</v>
      </c>
      <c r="C5">
        <v>331.2</v>
      </c>
    </row>
    <row r="6" spans="1:3" x14ac:dyDescent="0.35">
      <c r="A6" t="s">
        <v>17</v>
      </c>
      <c r="B6" t="s">
        <v>19</v>
      </c>
      <c r="C6">
        <v>322.77</v>
      </c>
    </row>
    <row r="7" spans="1:3" x14ac:dyDescent="0.35">
      <c r="A7" t="s">
        <v>17</v>
      </c>
      <c r="B7" t="s">
        <v>25</v>
      </c>
      <c r="C7">
        <v>870</v>
      </c>
    </row>
    <row r="8" spans="1:3" x14ac:dyDescent="0.35">
      <c r="A8" t="s">
        <v>18</v>
      </c>
      <c r="B8" t="s">
        <v>17</v>
      </c>
      <c r="C8">
        <v>1397.2</v>
      </c>
    </row>
    <row r="9" spans="1:3" x14ac:dyDescent="0.35">
      <c r="A9" t="s">
        <v>18</v>
      </c>
      <c r="B9" t="s">
        <v>19</v>
      </c>
      <c r="C9">
        <v>1925.7729999999999</v>
      </c>
    </row>
    <row r="10" spans="1:3" x14ac:dyDescent="0.35">
      <c r="A10" t="s">
        <v>19</v>
      </c>
      <c r="B10" t="s">
        <v>17</v>
      </c>
      <c r="C10">
        <v>396.15000000000003</v>
      </c>
    </row>
    <row r="11" spans="1:3" x14ac:dyDescent="0.35">
      <c r="A11" t="s">
        <v>19</v>
      </c>
      <c r="B11" t="s">
        <v>18</v>
      </c>
      <c r="C11">
        <v>1628.3030000000001</v>
      </c>
    </row>
    <row r="12" spans="1:3" x14ac:dyDescent="0.35">
      <c r="A12" t="s">
        <v>19</v>
      </c>
      <c r="B12" t="s">
        <v>20</v>
      </c>
      <c r="C12">
        <v>344.24799999999993</v>
      </c>
    </row>
    <row r="13" spans="1:3" x14ac:dyDescent="0.35">
      <c r="A13" t="s">
        <v>19</v>
      </c>
      <c r="B13" t="s">
        <v>22</v>
      </c>
      <c r="C13">
        <v>328</v>
      </c>
    </row>
    <row r="14" spans="1:3" x14ac:dyDescent="0.35">
      <c r="A14" t="s">
        <v>19</v>
      </c>
      <c r="B14" t="s">
        <v>25</v>
      </c>
      <c r="C14">
        <v>613.71600000000001</v>
      </c>
    </row>
    <row r="15" spans="1:3" x14ac:dyDescent="0.35">
      <c r="A15" t="s">
        <v>19</v>
      </c>
      <c r="B15" t="s">
        <v>26</v>
      </c>
      <c r="C15">
        <v>136.11199999999999</v>
      </c>
    </row>
    <row r="16" spans="1:3" x14ac:dyDescent="0.35">
      <c r="A16" t="s">
        <v>19</v>
      </c>
      <c r="B16" t="s">
        <v>27</v>
      </c>
      <c r="C16">
        <v>233.5</v>
      </c>
    </row>
    <row r="17" spans="1:3" x14ac:dyDescent="0.35">
      <c r="A17" t="s">
        <v>19</v>
      </c>
      <c r="B17" t="s">
        <v>28</v>
      </c>
      <c r="C17">
        <v>1803.77</v>
      </c>
    </row>
    <row r="18" spans="1:3" x14ac:dyDescent="0.35">
      <c r="A18" t="s">
        <v>19</v>
      </c>
      <c r="B18" t="s">
        <v>43</v>
      </c>
      <c r="C18">
        <v>26.71</v>
      </c>
    </row>
    <row r="19" spans="1:3" x14ac:dyDescent="0.35">
      <c r="A19" t="s">
        <v>20</v>
      </c>
      <c r="B19" t="s">
        <v>19</v>
      </c>
      <c r="C19">
        <v>339.96799999999996</v>
      </c>
    </row>
    <row r="20" spans="1:3" x14ac:dyDescent="0.35">
      <c r="A20" t="s">
        <v>20</v>
      </c>
      <c r="B20" t="s">
        <v>21</v>
      </c>
      <c r="C20">
        <v>1150</v>
      </c>
    </row>
    <row r="21" spans="1:3" x14ac:dyDescent="0.35">
      <c r="A21" t="s">
        <v>20</v>
      </c>
      <c r="B21" t="s">
        <v>23</v>
      </c>
      <c r="C21">
        <v>112.5</v>
      </c>
    </row>
    <row r="22" spans="1:3" x14ac:dyDescent="0.35">
      <c r="A22" t="s">
        <v>20</v>
      </c>
      <c r="B22" t="s">
        <v>29</v>
      </c>
      <c r="C22">
        <v>246.5</v>
      </c>
    </row>
    <row r="23" spans="1:3" x14ac:dyDescent="0.35">
      <c r="A23" t="s">
        <v>20</v>
      </c>
      <c r="B23" t="s">
        <v>30</v>
      </c>
      <c r="C23">
        <v>153.1</v>
      </c>
    </row>
    <row r="24" spans="1:3" x14ac:dyDescent="0.35">
      <c r="A24" t="s">
        <v>21</v>
      </c>
      <c r="B24" t="s">
        <v>20</v>
      </c>
      <c r="C24">
        <v>193.5</v>
      </c>
    </row>
    <row r="25" spans="1:3" x14ac:dyDescent="0.35">
      <c r="A25" t="s">
        <v>21</v>
      </c>
      <c r="B25" t="s">
        <v>22</v>
      </c>
      <c r="C25">
        <v>431.4</v>
      </c>
    </row>
    <row r="26" spans="1:3" x14ac:dyDescent="0.35">
      <c r="A26" t="s">
        <v>21</v>
      </c>
      <c r="B26" t="s">
        <v>23</v>
      </c>
      <c r="C26">
        <v>28.5</v>
      </c>
    </row>
    <row r="27" spans="1:3" x14ac:dyDescent="0.35">
      <c r="A27" t="s">
        <v>21</v>
      </c>
      <c r="B27" t="s">
        <v>48</v>
      </c>
      <c r="C27">
        <v>4.3</v>
      </c>
    </row>
    <row r="28" spans="1:3" x14ac:dyDescent="0.35">
      <c r="A28" t="s">
        <v>22</v>
      </c>
      <c r="B28" t="s">
        <v>19</v>
      </c>
      <c r="C28">
        <v>172.8</v>
      </c>
    </row>
    <row r="29" spans="1:3" x14ac:dyDescent="0.35">
      <c r="A29" t="s">
        <v>22</v>
      </c>
      <c r="B29" t="s">
        <v>21</v>
      </c>
      <c r="C29">
        <v>640.4</v>
      </c>
    </row>
    <row r="30" spans="1:3" x14ac:dyDescent="0.35">
      <c r="A30" t="s">
        <v>22</v>
      </c>
      <c r="B30" t="s">
        <v>25</v>
      </c>
      <c r="C30">
        <v>100</v>
      </c>
    </row>
    <row r="31" spans="1:3" x14ac:dyDescent="0.35">
      <c r="A31" t="s">
        <v>23</v>
      </c>
      <c r="B31" t="s">
        <v>21</v>
      </c>
      <c r="C31">
        <v>21.5</v>
      </c>
    </row>
    <row r="32" spans="1:3" x14ac:dyDescent="0.35">
      <c r="A32" t="s">
        <v>23</v>
      </c>
      <c r="B32" t="s">
        <v>24</v>
      </c>
      <c r="C32">
        <v>53.7</v>
      </c>
    </row>
    <row r="33" spans="1:3" x14ac:dyDescent="0.35">
      <c r="A33" t="s">
        <v>24</v>
      </c>
      <c r="B33" t="s">
        <v>23</v>
      </c>
      <c r="C33">
        <v>7.7</v>
      </c>
    </row>
    <row r="34" spans="1:3" x14ac:dyDescent="0.35">
      <c r="A34" t="s">
        <v>24</v>
      </c>
      <c r="B34" t="s">
        <v>30</v>
      </c>
      <c r="C34">
        <v>48.57</v>
      </c>
    </row>
    <row r="35" spans="1:3" x14ac:dyDescent="0.35">
      <c r="A35" t="s">
        <v>25</v>
      </c>
      <c r="B35" t="s">
        <v>17</v>
      </c>
      <c r="C35">
        <v>270</v>
      </c>
    </row>
    <row r="36" spans="1:3" x14ac:dyDescent="0.35">
      <c r="A36" t="s">
        <v>25</v>
      </c>
      <c r="B36" t="s">
        <v>22</v>
      </c>
      <c r="C36">
        <v>223</v>
      </c>
    </row>
    <row r="37" spans="1:3" x14ac:dyDescent="0.35">
      <c r="A37" t="s">
        <v>25</v>
      </c>
      <c r="B37" t="s">
        <v>37</v>
      </c>
      <c r="C37">
        <v>164.572</v>
      </c>
    </row>
    <row r="38" spans="1:3" x14ac:dyDescent="0.35">
      <c r="A38" t="s">
        <v>26</v>
      </c>
      <c r="B38" t="s">
        <v>19</v>
      </c>
      <c r="C38">
        <v>4.1189999999999998</v>
      </c>
    </row>
    <row r="39" spans="1:3" x14ac:dyDescent="0.35">
      <c r="A39" t="s">
        <v>27</v>
      </c>
      <c r="B39" t="s">
        <v>19</v>
      </c>
      <c r="C39">
        <v>931.6</v>
      </c>
    </row>
    <row r="40" spans="1:3" x14ac:dyDescent="0.35">
      <c r="A40" t="s">
        <v>28</v>
      </c>
      <c r="B40" t="s">
        <v>19</v>
      </c>
      <c r="C40">
        <v>1231.759</v>
      </c>
    </row>
    <row r="41" spans="1:3" x14ac:dyDescent="0.35">
      <c r="A41" t="s">
        <v>28</v>
      </c>
      <c r="B41" t="s">
        <v>27</v>
      </c>
      <c r="C41">
        <v>28</v>
      </c>
    </row>
    <row r="42" spans="1:3" x14ac:dyDescent="0.35">
      <c r="A42" t="s">
        <v>28</v>
      </c>
      <c r="B42" t="s">
        <v>29</v>
      </c>
      <c r="C42">
        <v>1246.4000000000001</v>
      </c>
    </row>
    <row r="43" spans="1:3" x14ac:dyDescent="0.35">
      <c r="A43" t="s">
        <v>29</v>
      </c>
      <c r="B43" t="s">
        <v>20</v>
      </c>
      <c r="C43">
        <v>1570.4</v>
      </c>
    </row>
    <row r="44" spans="1:3" x14ac:dyDescent="0.35">
      <c r="A44" t="s">
        <v>29</v>
      </c>
      <c r="B44" t="s">
        <v>28</v>
      </c>
      <c r="C44">
        <v>457.6</v>
      </c>
    </row>
    <row r="45" spans="1:3" x14ac:dyDescent="0.35">
      <c r="A45" t="s">
        <v>29</v>
      </c>
      <c r="B45" t="s">
        <v>30</v>
      </c>
      <c r="C45">
        <v>128.9</v>
      </c>
    </row>
    <row r="46" spans="1:3" x14ac:dyDescent="0.35">
      <c r="A46" t="s">
        <v>29</v>
      </c>
      <c r="B46" t="s">
        <v>39</v>
      </c>
      <c r="C46">
        <v>416</v>
      </c>
    </row>
    <row r="47" spans="1:3" x14ac:dyDescent="0.35">
      <c r="A47" t="s">
        <v>30</v>
      </c>
      <c r="B47" t="s">
        <v>24</v>
      </c>
      <c r="C47">
        <v>77.400000000000006</v>
      </c>
    </row>
    <row r="48" spans="1:3" x14ac:dyDescent="0.35">
      <c r="A48" t="s">
        <v>30</v>
      </c>
      <c r="B48" t="s">
        <v>29</v>
      </c>
      <c r="C48">
        <v>50.883000000000003</v>
      </c>
    </row>
    <row r="49" spans="1:3" x14ac:dyDescent="0.35">
      <c r="A49" t="s">
        <v>30</v>
      </c>
      <c r="B49" t="s">
        <v>31</v>
      </c>
      <c r="C49">
        <v>142</v>
      </c>
    </row>
    <row r="50" spans="1:3" x14ac:dyDescent="0.35">
      <c r="A50" t="s">
        <v>30</v>
      </c>
      <c r="B50" t="s">
        <v>34</v>
      </c>
      <c r="C50">
        <v>77.5</v>
      </c>
    </row>
    <row r="51" spans="1:3" x14ac:dyDescent="0.35">
      <c r="A51" t="s">
        <v>31</v>
      </c>
      <c r="B51" t="s">
        <v>32</v>
      </c>
      <c r="C51">
        <v>335.26</v>
      </c>
    </row>
    <row r="52" spans="1:3" x14ac:dyDescent="0.35">
      <c r="A52" t="s">
        <v>31</v>
      </c>
      <c r="B52" t="s">
        <v>45</v>
      </c>
      <c r="C52">
        <v>17.98</v>
      </c>
    </row>
    <row r="53" spans="1:3" x14ac:dyDescent="0.35">
      <c r="A53" t="s">
        <v>32</v>
      </c>
      <c r="B53" t="s">
        <v>31</v>
      </c>
      <c r="C53">
        <v>398.13</v>
      </c>
    </row>
    <row r="54" spans="1:3" x14ac:dyDescent="0.35">
      <c r="A54" t="s">
        <v>32</v>
      </c>
      <c r="B54" t="s">
        <v>33</v>
      </c>
      <c r="C54">
        <v>117.8</v>
      </c>
    </row>
    <row r="55" spans="1:3" x14ac:dyDescent="0.35">
      <c r="A55" t="s">
        <v>32</v>
      </c>
      <c r="B55" t="s">
        <v>34</v>
      </c>
      <c r="C55">
        <v>148.15</v>
      </c>
    </row>
    <row r="56" spans="1:3" x14ac:dyDescent="0.35">
      <c r="A56" t="s">
        <v>32</v>
      </c>
      <c r="B56" t="s">
        <v>46</v>
      </c>
      <c r="C56">
        <v>27.38</v>
      </c>
    </row>
    <row r="57" spans="1:3" x14ac:dyDescent="0.35">
      <c r="A57" t="s">
        <v>32</v>
      </c>
      <c r="B57" t="s">
        <v>47</v>
      </c>
      <c r="C57">
        <v>497.16</v>
      </c>
    </row>
    <row r="58" spans="1:3" x14ac:dyDescent="0.35">
      <c r="A58" t="s">
        <v>33</v>
      </c>
      <c r="B58" t="s">
        <v>32</v>
      </c>
      <c r="C58">
        <v>64.819999999999993</v>
      </c>
    </row>
    <row r="59" spans="1:3" x14ac:dyDescent="0.35">
      <c r="A59" t="s">
        <v>33</v>
      </c>
      <c r="B59" t="s">
        <v>33</v>
      </c>
      <c r="C59">
        <v>53.4</v>
      </c>
    </row>
    <row r="60" spans="1:3" x14ac:dyDescent="0.35">
      <c r="A60" t="s">
        <v>34</v>
      </c>
      <c r="B60" t="s">
        <v>30</v>
      </c>
      <c r="C60">
        <v>50.3</v>
      </c>
    </row>
    <row r="61" spans="1:3" x14ac:dyDescent="0.35">
      <c r="A61" t="s">
        <v>34</v>
      </c>
      <c r="B61" t="s">
        <v>32</v>
      </c>
      <c r="C61">
        <v>805.75000000000011</v>
      </c>
    </row>
    <row r="62" spans="1:3" x14ac:dyDescent="0.35">
      <c r="A62" t="s">
        <v>34</v>
      </c>
      <c r="B62" t="s">
        <v>39</v>
      </c>
      <c r="C62">
        <v>122.2</v>
      </c>
    </row>
    <row r="63" spans="1:3" x14ac:dyDescent="0.35">
      <c r="A63" t="s">
        <v>34</v>
      </c>
      <c r="B63" t="s">
        <v>40</v>
      </c>
      <c r="C63">
        <v>16.100000000000001</v>
      </c>
    </row>
    <row r="64" spans="1:3" x14ac:dyDescent="0.35">
      <c r="A64" t="s">
        <v>35</v>
      </c>
      <c r="B64" t="s">
        <v>36</v>
      </c>
      <c r="C64">
        <v>67.599999999999994</v>
      </c>
    </row>
    <row r="65" spans="1:3" x14ac:dyDescent="0.35">
      <c r="A65" t="s">
        <v>35</v>
      </c>
      <c r="B65" t="s">
        <v>41</v>
      </c>
      <c r="C65">
        <v>114.2</v>
      </c>
    </row>
    <row r="66" spans="1:3" x14ac:dyDescent="0.35">
      <c r="A66" t="s">
        <v>36</v>
      </c>
      <c r="B66" t="s">
        <v>35</v>
      </c>
      <c r="C66">
        <v>65.099999999999994</v>
      </c>
    </row>
    <row r="67" spans="1:3" x14ac:dyDescent="0.35">
      <c r="A67" t="s">
        <v>36</v>
      </c>
      <c r="B67" t="s">
        <v>41</v>
      </c>
      <c r="C67">
        <v>85</v>
      </c>
    </row>
    <row r="68" spans="1:3" x14ac:dyDescent="0.35">
      <c r="A68" t="s">
        <v>37</v>
      </c>
      <c r="B68" t="s">
        <v>25</v>
      </c>
      <c r="C68">
        <v>224.4</v>
      </c>
    </row>
    <row r="69" spans="1:3" x14ac:dyDescent="0.35">
      <c r="A69" t="s">
        <v>37</v>
      </c>
      <c r="B69" t="s">
        <v>38</v>
      </c>
      <c r="C69">
        <v>144</v>
      </c>
    </row>
    <row r="70" spans="1:3" x14ac:dyDescent="0.35">
      <c r="A70" t="s">
        <v>38</v>
      </c>
      <c r="B70" t="s">
        <v>37</v>
      </c>
      <c r="C70">
        <v>80</v>
      </c>
    </row>
    <row r="71" spans="1:3" x14ac:dyDescent="0.35">
      <c r="A71" t="s">
        <v>39</v>
      </c>
      <c r="B71" t="s">
        <v>27</v>
      </c>
      <c r="C71">
        <v>135.6</v>
      </c>
    </row>
    <row r="72" spans="1:3" x14ac:dyDescent="0.35">
      <c r="A72" t="s">
        <v>39</v>
      </c>
      <c r="B72" t="s">
        <v>29</v>
      </c>
      <c r="C72">
        <v>2277.6</v>
      </c>
    </row>
    <row r="73" spans="1:3" x14ac:dyDescent="0.35">
      <c r="A73" t="s">
        <v>39</v>
      </c>
      <c r="B73" t="s">
        <v>30</v>
      </c>
      <c r="C73">
        <v>515.6</v>
      </c>
    </row>
    <row r="74" spans="1:3" x14ac:dyDescent="0.35">
      <c r="A74" t="s">
        <v>39</v>
      </c>
      <c r="B74" t="s">
        <v>34</v>
      </c>
      <c r="C74">
        <v>1163.4000000000001</v>
      </c>
    </row>
    <row r="75" spans="1:3" x14ac:dyDescent="0.35">
      <c r="A75" t="s">
        <v>40</v>
      </c>
      <c r="B75" t="s">
        <v>34</v>
      </c>
      <c r="C75">
        <v>2.2000000000000002</v>
      </c>
    </row>
    <row r="76" spans="1:3" x14ac:dyDescent="0.35">
      <c r="A76" t="s">
        <v>41</v>
      </c>
      <c r="B76" t="s">
        <v>19</v>
      </c>
      <c r="C76">
        <v>1742</v>
      </c>
    </row>
    <row r="77" spans="1:3" x14ac:dyDescent="0.35">
      <c r="A77" t="s">
        <v>41</v>
      </c>
      <c r="B77" t="s">
        <v>36</v>
      </c>
      <c r="C77">
        <v>168</v>
      </c>
    </row>
    <row r="78" spans="1:3" x14ac:dyDescent="0.35">
      <c r="A78" t="s">
        <v>41</v>
      </c>
      <c r="B78" t="s">
        <v>55</v>
      </c>
      <c r="C78">
        <v>220</v>
      </c>
    </row>
    <row r="79" spans="1:3" x14ac:dyDescent="0.35">
      <c r="A79" t="s">
        <v>42</v>
      </c>
      <c r="B79" t="s">
        <v>21</v>
      </c>
      <c r="C79">
        <v>487.1</v>
      </c>
    </row>
    <row r="80" spans="1:3" x14ac:dyDescent="0.35">
      <c r="A80" t="s">
        <v>47</v>
      </c>
      <c r="B80" t="s">
        <v>32</v>
      </c>
      <c r="C80">
        <v>576.03</v>
      </c>
    </row>
    <row r="81" spans="1:3" x14ac:dyDescent="0.35">
      <c r="A81" t="s">
        <v>47</v>
      </c>
      <c r="B81" t="s">
        <v>33</v>
      </c>
      <c r="C81">
        <v>398.6</v>
      </c>
    </row>
    <row r="82" spans="1:3" x14ac:dyDescent="0.35">
      <c r="A82" t="s">
        <v>49</v>
      </c>
      <c r="B82" t="s">
        <v>11</v>
      </c>
      <c r="C82">
        <v>1499.1</v>
      </c>
    </row>
    <row r="83" spans="1:3" x14ac:dyDescent="0.35">
      <c r="A83" t="s">
        <v>49</v>
      </c>
      <c r="B83" t="s">
        <v>17</v>
      </c>
      <c r="C83">
        <v>488</v>
      </c>
    </row>
    <row r="84" spans="1:3" x14ac:dyDescent="0.35">
      <c r="A84" t="s">
        <v>49</v>
      </c>
      <c r="B84" t="s">
        <v>19</v>
      </c>
      <c r="C84">
        <v>2210.5639999999999</v>
      </c>
    </row>
    <row r="85" spans="1:3" x14ac:dyDescent="0.35">
      <c r="A85" t="s">
        <v>49</v>
      </c>
      <c r="B85" t="s">
        <v>25</v>
      </c>
      <c r="C85">
        <v>570</v>
      </c>
    </row>
    <row r="86" spans="1:3" x14ac:dyDescent="0.35">
      <c r="A86" t="s">
        <v>50</v>
      </c>
      <c r="B86" t="s">
        <v>37</v>
      </c>
      <c r="C86">
        <v>731.7</v>
      </c>
    </row>
    <row r="87" spans="1:3" x14ac:dyDescent="0.35">
      <c r="A87" t="s">
        <v>51</v>
      </c>
      <c r="B87" t="s">
        <v>21</v>
      </c>
      <c r="C87">
        <v>1138.0999999999999</v>
      </c>
    </row>
    <row r="88" spans="1:3" x14ac:dyDescent="0.35">
      <c r="A88" t="s">
        <v>52</v>
      </c>
      <c r="B88" t="s">
        <v>21</v>
      </c>
      <c r="C88">
        <v>475.8</v>
      </c>
    </row>
    <row r="89" spans="1:3" x14ac:dyDescent="0.35">
      <c r="A89" t="s">
        <v>53</v>
      </c>
      <c r="B89" t="s">
        <v>27</v>
      </c>
      <c r="C89">
        <v>1203.4999999999998</v>
      </c>
    </row>
    <row r="90" spans="1:3" x14ac:dyDescent="0.35">
      <c r="A90" t="s">
        <v>53</v>
      </c>
      <c r="B90" t="s">
        <v>35</v>
      </c>
      <c r="C90">
        <v>325.39999999999998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E30"/>
  <sheetViews>
    <sheetView tabSelected="1" topLeftCell="A8" workbookViewId="0">
      <selection activeCell="A2" sqref="A2:B24"/>
    </sheetView>
  </sheetViews>
  <sheetFormatPr defaultRowHeight="14.5" x14ac:dyDescent="0.35"/>
  <sheetData>
    <row r="1" spans="1:3" x14ac:dyDescent="0.35">
      <c r="A1" t="s">
        <v>95</v>
      </c>
      <c r="B1" t="s">
        <v>96</v>
      </c>
      <c r="C1" t="s">
        <v>97</v>
      </c>
    </row>
    <row r="2" spans="1:3" x14ac:dyDescent="0.35">
      <c r="A2" t="s">
        <v>41</v>
      </c>
      <c r="B2" t="s">
        <v>39</v>
      </c>
      <c r="C2">
        <v>1334</v>
      </c>
    </row>
    <row r="3" spans="1:3" x14ac:dyDescent="0.35">
      <c r="A3" t="s">
        <v>99</v>
      </c>
      <c r="B3" t="s">
        <v>100</v>
      </c>
      <c r="C3">
        <v>395</v>
      </c>
    </row>
    <row r="4" spans="1:3" x14ac:dyDescent="0.35">
      <c r="A4" t="s">
        <v>39</v>
      </c>
      <c r="B4" t="s">
        <v>27</v>
      </c>
      <c r="C4">
        <v>135.6</v>
      </c>
    </row>
    <row r="5" spans="1:3" x14ac:dyDescent="0.35">
      <c r="A5" t="s">
        <v>39</v>
      </c>
      <c r="B5" t="s">
        <v>29</v>
      </c>
      <c r="C5">
        <f>1799+436.8</f>
        <v>2235.8000000000002</v>
      </c>
    </row>
    <row r="6" spans="1:3" x14ac:dyDescent="0.35">
      <c r="A6" t="s">
        <v>39</v>
      </c>
      <c r="B6" t="s">
        <v>30</v>
      </c>
      <c r="C6">
        <v>517.5</v>
      </c>
    </row>
    <row r="7" spans="1:3" x14ac:dyDescent="0.35">
      <c r="A7" t="s">
        <v>31</v>
      </c>
      <c r="B7" t="s">
        <v>30</v>
      </c>
      <c r="C7">
        <v>245.8</v>
      </c>
    </row>
    <row r="8" spans="1:3" x14ac:dyDescent="0.35">
      <c r="A8" t="s">
        <v>32</v>
      </c>
      <c r="B8" t="s">
        <v>31</v>
      </c>
      <c r="C8">
        <v>467.5</v>
      </c>
    </row>
    <row r="9" spans="1:3" x14ac:dyDescent="0.35">
      <c r="A9" t="s">
        <v>32</v>
      </c>
      <c r="B9" t="s">
        <v>46</v>
      </c>
      <c r="C9">
        <v>33.380000000000003</v>
      </c>
    </row>
    <row r="10" spans="1:3" x14ac:dyDescent="0.35">
      <c r="A10" t="s">
        <v>47</v>
      </c>
      <c r="B10" t="s">
        <v>32</v>
      </c>
      <c r="C10">
        <v>701.8</v>
      </c>
    </row>
    <row r="11" spans="1:3" x14ac:dyDescent="0.35">
      <c r="A11" t="s">
        <v>41</v>
      </c>
      <c r="B11" t="s">
        <v>36</v>
      </c>
      <c r="C11">
        <v>168</v>
      </c>
    </row>
    <row r="12" spans="1:3" x14ac:dyDescent="0.35">
      <c r="A12" t="s">
        <v>41</v>
      </c>
      <c r="B12" t="s">
        <v>55</v>
      </c>
      <c r="C12">
        <v>220</v>
      </c>
    </row>
    <row r="13" spans="1:3" x14ac:dyDescent="0.35">
      <c r="A13" t="s">
        <v>52</v>
      </c>
      <c r="B13" t="s">
        <v>21</v>
      </c>
      <c r="C13">
        <v>493.7</v>
      </c>
    </row>
    <row r="14" spans="1:3" x14ac:dyDescent="0.35">
      <c r="A14" t="s">
        <v>51</v>
      </c>
      <c r="B14" t="s">
        <v>21</v>
      </c>
      <c r="C14">
        <v>1154</v>
      </c>
    </row>
    <row r="15" spans="1:3" x14ac:dyDescent="0.35">
      <c r="A15" t="s">
        <v>42</v>
      </c>
      <c r="B15" t="s">
        <v>37</v>
      </c>
      <c r="C15">
        <v>337.1</v>
      </c>
    </row>
    <row r="16" spans="1:3" x14ac:dyDescent="0.35">
      <c r="A16" t="s">
        <v>101</v>
      </c>
      <c r="B16" t="s">
        <v>37</v>
      </c>
      <c r="C16">
        <v>442.8</v>
      </c>
    </row>
    <row r="17" spans="1:5" x14ac:dyDescent="0.35">
      <c r="A17" t="s">
        <v>49</v>
      </c>
      <c r="B17" t="s">
        <v>19</v>
      </c>
      <c r="C17">
        <v>1247</v>
      </c>
    </row>
    <row r="18" spans="1:5" x14ac:dyDescent="0.35">
      <c r="A18" t="s">
        <v>49</v>
      </c>
      <c r="B18" t="s">
        <v>18</v>
      </c>
      <c r="C18">
        <v>963.6</v>
      </c>
    </row>
    <row r="19" spans="1:5" x14ac:dyDescent="0.35">
      <c r="A19" t="s">
        <v>49</v>
      </c>
      <c r="B19" t="s">
        <v>17</v>
      </c>
      <c r="C19">
        <v>459.6</v>
      </c>
    </row>
    <row r="20" spans="1:5" x14ac:dyDescent="0.35">
      <c r="A20" t="s">
        <v>49</v>
      </c>
      <c r="B20" t="s">
        <v>25</v>
      </c>
      <c r="C20">
        <v>568.5</v>
      </c>
    </row>
    <row r="21" spans="1:5" x14ac:dyDescent="0.35">
      <c r="A21" t="s">
        <v>49</v>
      </c>
      <c r="B21" t="s">
        <v>11</v>
      </c>
      <c r="C21">
        <v>1406</v>
      </c>
    </row>
    <row r="22" spans="1:5" x14ac:dyDescent="0.35">
      <c r="A22" t="s">
        <v>11</v>
      </c>
      <c r="B22" t="s">
        <v>102</v>
      </c>
      <c r="C22">
        <v>385</v>
      </c>
    </row>
    <row r="23" spans="1:5" x14ac:dyDescent="0.35">
      <c r="A23" t="s">
        <v>11</v>
      </c>
      <c r="B23" t="s">
        <v>17</v>
      </c>
      <c r="C23">
        <v>227.2</v>
      </c>
    </row>
    <row r="24" spans="1:5" x14ac:dyDescent="0.35">
      <c r="A24" t="s">
        <v>11</v>
      </c>
      <c r="B24" t="s">
        <v>18</v>
      </c>
      <c r="C24">
        <v>184.8</v>
      </c>
    </row>
    <row r="26" spans="1:5" x14ac:dyDescent="0.35">
      <c r="A26" t="s">
        <v>49</v>
      </c>
      <c r="B26" t="s">
        <v>26</v>
      </c>
      <c r="C26">
        <v>321.89999999999998</v>
      </c>
      <c r="E26" t="s">
        <v>103</v>
      </c>
    </row>
    <row r="27" spans="1:5" x14ac:dyDescent="0.35">
      <c r="A27" t="s">
        <v>26</v>
      </c>
      <c r="B27" t="s">
        <v>27</v>
      </c>
      <c r="C27">
        <v>321.89999999999998</v>
      </c>
      <c r="E27" t="s">
        <v>103</v>
      </c>
    </row>
    <row r="30" spans="1:5" x14ac:dyDescent="0.35">
      <c r="A30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nodes_lng</vt:lpstr>
      <vt:lpstr>nodes_gas_prod</vt:lpstr>
      <vt:lpstr>nodes_demand</vt:lpstr>
      <vt:lpstr>Connections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2024-03-15T13:52:54Z</dcterms:modified>
</cp:coreProperties>
</file>