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153FB65-8973-4BC8-A337-BCCC262D9E9C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4" sheetId="6" r:id="rId9"/>
    <sheet name="nodes_demand_world_2024" sheetId="14" r:id="rId10"/>
    <sheet name="Connections_2020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5" l="1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" i="15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O19" i="15"/>
  <c r="N19" i="15"/>
  <c r="G19" i="15"/>
  <c r="I19" i="15" s="1"/>
  <c r="E19" i="15"/>
  <c r="O18" i="15"/>
  <c r="N18" i="15"/>
  <c r="G18" i="15"/>
  <c r="I18" i="15" s="1"/>
  <c r="E18" i="15"/>
  <c r="O17" i="15"/>
  <c r="N17" i="15"/>
  <c r="G17" i="15"/>
  <c r="I17" i="15" s="1"/>
  <c r="E17" i="15"/>
  <c r="O16" i="15"/>
  <c r="N16" i="15"/>
  <c r="G16" i="15"/>
  <c r="I16" i="15" s="1"/>
  <c r="E16" i="15"/>
  <c r="O15" i="15"/>
  <c r="N15" i="15"/>
  <c r="G15" i="15"/>
  <c r="I15" i="15" s="1"/>
  <c r="E15" i="15"/>
  <c r="G14" i="15"/>
  <c r="I14" i="15" s="1"/>
  <c r="E14" i="15"/>
  <c r="O13" i="15"/>
  <c r="N13" i="15"/>
  <c r="G13" i="15"/>
  <c r="I13" i="15" s="1"/>
  <c r="E13" i="15"/>
  <c r="O12" i="15"/>
  <c r="N12" i="15"/>
  <c r="G12" i="15"/>
  <c r="I12" i="15" s="1"/>
  <c r="E12" i="15"/>
  <c r="O11" i="15"/>
  <c r="N11" i="15"/>
  <c r="G11" i="15"/>
  <c r="I11" i="15" s="1"/>
  <c r="E11" i="15"/>
  <c r="O10" i="15"/>
  <c r="N10" i="15"/>
  <c r="G10" i="15"/>
  <c r="I10" i="15" s="1"/>
  <c r="E10" i="15"/>
  <c r="O9" i="15"/>
  <c r="N9" i="15"/>
  <c r="G9" i="15"/>
  <c r="I9" i="15" s="1"/>
  <c r="E9" i="15"/>
  <c r="O8" i="15"/>
  <c r="N8" i="15"/>
  <c r="G8" i="15"/>
  <c r="I8" i="15" s="1"/>
  <c r="E8" i="15"/>
  <c r="O7" i="15"/>
  <c r="N7" i="15"/>
  <c r="G7" i="15"/>
  <c r="I7" i="15" s="1"/>
  <c r="E7" i="15"/>
  <c r="O6" i="15"/>
  <c r="N6" i="15"/>
  <c r="G6" i="15"/>
  <c r="I6" i="15" s="1"/>
  <c r="E6" i="15"/>
  <c r="O5" i="15"/>
  <c r="N5" i="15"/>
  <c r="G5" i="15"/>
  <c r="I5" i="15" s="1"/>
  <c r="E5" i="15"/>
  <c r="O4" i="15"/>
  <c r="N4" i="15"/>
  <c r="G4" i="15"/>
  <c r="I4" i="15" s="1"/>
  <c r="E4" i="15"/>
  <c r="O3" i="15"/>
  <c r="N3" i="15"/>
  <c r="G3" i="15"/>
  <c r="I3" i="15" s="1"/>
  <c r="E3" i="15"/>
  <c r="O2" i="15"/>
  <c r="N2" i="15"/>
  <c r="G2" i="15"/>
  <c r="I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G17" i="12" l="1"/>
  <c r="C13" i="14"/>
  <c r="G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<sst xmlns="http://schemas.openxmlformats.org/spreadsheetml/2006/main" count="2658" uniqueCount="288">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</sst>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43">
      <calculatedColumnFormula>Table26[[#This Row],[TWh '[2020']]]*1000</calculatedColumnFormula>
    </tableColumn>
    <tableColumn id="4" xr3:uid="{DC1916A1-B3CC-4586-AE6D-12CF46A9C0F0}" name="TWh [2020]" dataDxfId="42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1" headerRowBorderDxfId="40" tableBorderDxfId="39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8">
      <calculatedColumnFormula>Table79[[#This Row],[Mil m3 '[2020']]]/1000</calculatedColumnFormula>
    </tableColumn>
    <tableColumn id="7" xr3:uid="{A1AF1224-2FA6-47E0-9ECD-AB8B46DF628B}" name="GWh [2020]" dataDxfId="37">
      <calculatedColumnFormula>Table79[[#This Row],[TWh '[2020']]]*1000</calculatedColumnFormula>
    </tableColumn>
    <tableColumn id="6" xr3:uid="{0CF67BB6-4E02-4893-BB83-4858F32AB909}" name="TWh [2020]" dataDxfId="3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5"/>
    <tableColumn id="4" xr3:uid="{1618AAC4-0782-47C3-91CE-2FEB95FBDD58}" name="TWh [2020]" dataDxfId="3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3">
      <calculatedColumnFormula>IF(Table1[[#This Row],[TWh '[2020']]]=0,$D$27*(E2/$E$27),0)</calculatedColumnFormula>
    </tableColumn>
    <tableColumn id="7" xr3:uid="{53C148C2-CAF7-47BC-9950-964805B82325}" name="GWh [2020]" dataDxfId="3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1" headerRowBorderDxfId="30" tableBorderDxfId="2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8">
      <calculatedColumnFormula>Table7910[[#This Row],[Mil m3 '[2020']]]/1000</calculatedColumnFormula>
    </tableColumn>
    <tableColumn id="7" xr3:uid="{95C698CF-3EBE-40E8-840D-A6C3E41CFB2C}" name="GWh [2020]" dataDxfId="27">
      <calculatedColumnFormula>Table7910[[#This Row],[TWh '[2020']]]*1000</calculatedColumnFormula>
    </tableColumn>
    <tableColumn id="6" xr3:uid="{44160680-3C35-4A7A-9677-B7F78304684A}" name="TWh [2020]" dataDxfId="2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5"/>
    <tableColumn id="4" xr3:uid="{60E83C2D-D521-4D6A-800D-160C3176DFC7}" name="TWh [2023]" dataDxfId="2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23">
      <calculatedColumnFormula>MIN(Table15[[#This Row],[TWh '[2023']]],Table15[[#This Row],[TWh by share]])*1000</calculatedColumnFormula>
    </tableColumn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1" headerRowBorderDxfId="20" tableBorderDxfId="1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7" xr3:uid="{800E9158-5DB0-43C4-A644-BF3466322E9E}" name="GWh [2020]" dataDxfId="17">
      <calculatedColumnFormula>Table791011[[#This Row],[TWh '[2020']]]*1000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H1" sqref="H1:H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100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264</v>
      </c>
      <c r="L4" t="s">
        <v>100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100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100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34</v>
      </c>
      <c r="L7" t="s">
        <v>100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100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100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37</v>
      </c>
      <c r="L10" t="s">
        <v>100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36</v>
      </c>
      <c r="L11" t="s">
        <v>100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46</v>
      </c>
      <c r="L12" t="s">
        <v>100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100</v>
      </c>
      <c r="N13" t="str">
        <f t="shared" si="3"/>
        <v>UK_LNG</v>
      </c>
      <c r="O13" t="str">
        <f t="shared" si="4"/>
        <v>UK</v>
      </c>
    </row>
    <row r="14" spans="1:15">
      <c r="A14" t="s">
        <v>91</v>
      </c>
      <c r="B14" t="s">
        <v>99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H4" sqref="H4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>G2*9.77</f>
        <v>111.378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I3*1000</f>
        <v>322409.99999999994</v>
      </c>
      <c r="I3">
        <f t="shared" ref="I3:I19" si="2">G3*9.77</f>
        <v>322.40999999999997</v>
      </c>
      <c r="K3" t="s">
        <v>25</v>
      </c>
      <c r="L3" t="s">
        <v>100</v>
      </c>
      <c r="N3" t="str">
        <f t="shared" ref="N3:N19" si="3">_xlfn.CONCAT(K3,L3)</f>
        <v>FR_LNG</v>
      </c>
      <c r="O3" t="str">
        <f t="shared" ref="O3:O19" si="4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73274.999999999985</v>
      </c>
      <c r="I4">
        <f t="shared" si="2"/>
        <v>73.274999999999991</v>
      </c>
      <c r="K4" t="s">
        <v>264</v>
      </c>
      <c r="L4" t="s">
        <v>100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155831.49999999997</v>
      </c>
      <c r="I5">
        <f t="shared" si="2"/>
        <v>155.83149999999998</v>
      </c>
      <c r="K5" t="s">
        <v>21</v>
      </c>
      <c r="L5" t="s">
        <v>100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5">IF(C6&gt;F6,C6,F6)</f>
        <v>2.6</v>
      </c>
      <c r="H6">
        <f t="shared" si="1"/>
        <v>25402</v>
      </c>
      <c r="I6">
        <f t="shared" si="2"/>
        <v>25.402000000000001</v>
      </c>
      <c r="K6" t="s">
        <v>24</v>
      </c>
      <c r="L6" t="s">
        <v>100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5"/>
        <v>4</v>
      </c>
      <c r="H7">
        <f t="shared" si="1"/>
        <v>39080</v>
      </c>
      <c r="I7">
        <f t="shared" si="2"/>
        <v>39.08</v>
      </c>
      <c r="K7" t="s">
        <v>34</v>
      </c>
      <c r="L7" t="s">
        <v>100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5"/>
        <v>12.5</v>
      </c>
      <c r="H8">
        <f t="shared" si="1"/>
        <v>122125</v>
      </c>
      <c r="I8">
        <f t="shared" si="2"/>
        <v>122.125</v>
      </c>
      <c r="K8" t="s">
        <v>18</v>
      </c>
      <c r="L8" t="s">
        <v>100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5"/>
        <v>6.2</v>
      </c>
      <c r="H9">
        <f t="shared" si="1"/>
        <v>60574</v>
      </c>
      <c r="I9">
        <f t="shared" si="2"/>
        <v>60.573999999999998</v>
      </c>
      <c r="K9" t="s">
        <v>27</v>
      </c>
      <c r="L9" t="s">
        <v>100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5"/>
        <v>7.6</v>
      </c>
      <c r="H10">
        <f t="shared" si="1"/>
        <v>74252</v>
      </c>
      <c r="I10">
        <f t="shared" si="2"/>
        <v>74.251999999999995</v>
      </c>
      <c r="K10" t="s">
        <v>37</v>
      </c>
      <c r="L10" t="s">
        <v>100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5"/>
        <v>67.099999999999994</v>
      </c>
      <c r="H11">
        <f t="shared" si="1"/>
        <v>655566.99999999988</v>
      </c>
      <c r="I11">
        <f t="shared" si="2"/>
        <v>655.56699999999989</v>
      </c>
      <c r="K11" t="s">
        <v>36</v>
      </c>
      <c r="L11" t="s">
        <v>100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5"/>
        <v>43.6</v>
      </c>
      <c r="H12">
        <f t="shared" si="1"/>
        <v>425972</v>
      </c>
      <c r="I12">
        <f t="shared" si="2"/>
        <v>425.97199999999998</v>
      </c>
      <c r="K12" t="s">
        <v>46</v>
      </c>
      <c r="L12" t="s">
        <v>100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5"/>
        <v>52.3</v>
      </c>
      <c r="H13">
        <f t="shared" si="1"/>
        <v>510970.99999999994</v>
      </c>
      <c r="I13">
        <f t="shared" si="2"/>
        <v>510.97099999999995</v>
      </c>
      <c r="K13" t="s">
        <v>11</v>
      </c>
      <c r="L13" t="s">
        <v>100</v>
      </c>
      <c r="N13" t="str">
        <f t="shared" si="3"/>
        <v>UK_LNG</v>
      </c>
      <c r="O13" t="str">
        <f t="shared" si="4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G14">
        <f t="shared" si="5"/>
        <v>0.7</v>
      </c>
      <c r="H14">
        <f t="shared" si="1"/>
        <v>6838.9999999999991</v>
      </c>
      <c r="I14">
        <f t="shared" si="2"/>
        <v>6.8389999999999995</v>
      </c>
      <c r="K14" t="s">
        <v>99</v>
      </c>
    </row>
    <row r="15" spans="1:15">
      <c r="A15" t="s">
        <v>128</v>
      </c>
      <c r="B15" t="s">
        <v>53</v>
      </c>
      <c r="C15">
        <v>2.5</v>
      </c>
      <c r="E15" s="1">
        <f t="shared" si="0"/>
        <v>0</v>
      </c>
      <c r="G15">
        <f t="shared" si="5"/>
        <v>2.5</v>
      </c>
      <c r="H15">
        <f t="shared" si="1"/>
        <v>24424.999999999996</v>
      </c>
      <c r="I15">
        <f t="shared" si="2"/>
        <v>24.424999999999997</v>
      </c>
      <c r="K15" t="s">
        <v>53</v>
      </c>
      <c r="L15" t="s">
        <v>100</v>
      </c>
      <c r="N15" t="str">
        <f t="shared" si="3"/>
        <v>EE_LNG</v>
      </c>
      <c r="O15" t="str">
        <f t="shared" si="4"/>
        <v>EE</v>
      </c>
    </row>
    <row r="16" spans="1:15">
      <c r="A16" t="s">
        <v>127</v>
      </c>
      <c r="B16" t="s">
        <v>54</v>
      </c>
      <c r="C16">
        <v>5</v>
      </c>
      <c r="E16" s="1">
        <f t="shared" si="0"/>
        <v>0</v>
      </c>
      <c r="G16">
        <f t="shared" si="5"/>
        <v>5</v>
      </c>
      <c r="H16">
        <f t="shared" si="1"/>
        <v>48849.999999999993</v>
      </c>
      <c r="I16">
        <f t="shared" si="2"/>
        <v>48.849999999999994</v>
      </c>
      <c r="K16" t="s">
        <v>54</v>
      </c>
      <c r="L16" t="s">
        <v>100</v>
      </c>
      <c r="N16" t="str">
        <f t="shared" si="3"/>
        <v>FI_LNG</v>
      </c>
      <c r="O16" t="str">
        <f t="shared" si="4"/>
        <v>FI</v>
      </c>
    </row>
    <row r="17" spans="1:15">
      <c r="A17" t="s">
        <v>129</v>
      </c>
      <c r="B17" t="s">
        <v>19</v>
      </c>
      <c r="C17">
        <v>31.2</v>
      </c>
      <c r="E17" s="1">
        <f t="shared" si="0"/>
        <v>0</v>
      </c>
      <c r="G17">
        <f t="shared" si="5"/>
        <v>31.2</v>
      </c>
      <c r="H17">
        <f t="shared" si="1"/>
        <v>304823.99999999994</v>
      </c>
      <c r="I17">
        <f t="shared" si="2"/>
        <v>304.82399999999996</v>
      </c>
      <c r="K17" t="s">
        <v>19</v>
      </c>
      <c r="L17" t="s">
        <v>100</v>
      </c>
      <c r="N17" t="str">
        <f t="shared" si="3"/>
        <v>DE_LNG</v>
      </c>
      <c r="O17" t="str">
        <f t="shared" si="4"/>
        <v>DE</v>
      </c>
    </row>
    <row r="18" spans="1:15">
      <c r="A18" t="s">
        <v>130</v>
      </c>
      <c r="B18" t="s">
        <v>43</v>
      </c>
      <c r="C18">
        <v>2.6</v>
      </c>
      <c r="E18" s="1">
        <f t="shared" si="0"/>
        <v>0</v>
      </c>
      <c r="G18">
        <f t="shared" si="5"/>
        <v>2.6</v>
      </c>
      <c r="H18">
        <f t="shared" si="1"/>
        <v>25402</v>
      </c>
      <c r="I18">
        <f t="shared" si="2"/>
        <v>25.402000000000001</v>
      </c>
      <c r="K18" t="s">
        <v>43</v>
      </c>
      <c r="L18" t="s">
        <v>100</v>
      </c>
      <c r="N18" t="str">
        <f t="shared" si="3"/>
        <v>IE_LNG</v>
      </c>
      <c r="O18" t="str">
        <f t="shared" si="4"/>
        <v>IE</v>
      </c>
    </row>
    <row r="19" spans="1:15">
      <c r="A19" t="s">
        <v>131</v>
      </c>
      <c r="B19" t="s">
        <v>35</v>
      </c>
      <c r="C19">
        <v>1.5</v>
      </c>
      <c r="E19" s="1">
        <f t="shared" si="0"/>
        <v>0</v>
      </c>
      <c r="G19">
        <f t="shared" si="5"/>
        <v>1.5</v>
      </c>
      <c r="H19">
        <f t="shared" si="1"/>
        <v>14655</v>
      </c>
      <c r="I19">
        <f t="shared" si="2"/>
        <v>14.654999999999999</v>
      </c>
      <c r="K19" t="s">
        <v>35</v>
      </c>
      <c r="L19" t="s">
        <v>100</v>
      </c>
      <c r="N19" t="str">
        <f t="shared" si="3"/>
        <v>LV_LNG</v>
      </c>
      <c r="O19" t="str">
        <f t="shared" si="4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abSelected="1"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2695312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82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145</v>
      </c>
    </row>
    <row r="39" spans="1:8">
      <c r="A39" t="s">
        <v>49</v>
      </c>
      <c r="B39" t="s">
        <v>36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49</v>
      </c>
      <c r="B40" t="s">
        <v>96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146</v>
      </c>
    </row>
    <row r="41" spans="1:8">
      <c r="A41" t="s">
        <v>49</v>
      </c>
      <c r="B41" t="s">
        <v>50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144</v>
      </c>
    </row>
    <row r="42" spans="1:8">
      <c r="A42" t="s">
        <v>53</v>
      </c>
      <c r="B42" t="s">
        <v>54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53</v>
      </c>
      <c r="B43" t="s">
        <v>35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264</v>
      </c>
      <c r="B44" t="s">
        <v>41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143</v>
      </c>
    </row>
    <row r="45" spans="1:8">
      <c r="A45" t="s">
        <v>264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36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36</v>
      </c>
      <c r="B47" t="s">
        <v>37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54</v>
      </c>
      <c r="B48" t="s">
        <v>53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36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33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34</v>
      </c>
      <c r="B62" t="s">
        <v>35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34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34</v>
      </c>
      <c r="B64" t="s">
        <v>40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148</v>
      </c>
    </row>
    <row r="65" spans="1:8">
      <c r="A65" t="s">
        <v>42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35</v>
      </c>
      <c r="B66" t="s">
        <v>53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35</v>
      </c>
      <c r="B67" t="s">
        <v>34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35</v>
      </c>
      <c r="B68" t="s">
        <v>40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51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148</v>
      </c>
    </row>
    <row r="70" spans="1:8">
      <c r="A70" t="s">
        <v>96</v>
      </c>
      <c r="B70" t="s">
        <v>36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39</v>
      </c>
      <c r="B71" t="s">
        <v>33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39</v>
      </c>
      <c r="B72" t="s">
        <v>38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48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48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48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48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48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37</v>
      </c>
      <c r="B84" t="s">
        <v>36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33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33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33</v>
      </c>
      <c r="B87" t="s">
        <v>39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33</v>
      </c>
      <c r="B88" t="s">
        <v>38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44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40</v>
      </c>
      <c r="B92" t="s">
        <v>52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40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40</v>
      </c>
      <c r="B94" t="s">
        <v>54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40</v>
      </c>
      <c r="B95" t="s">
        <v>35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40</v>
      </c>
      <c r="B96" t="s">
        <v>46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141</v>
      </c>
    </row>
    <row r="97" spans="1:8">
      <c r="A97" t="s">
        <v>40</v>
      </c>
      <c r="B97" t="s">
        <v>38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38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50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147</v>
      </c>
    </row>
    <row r="106" spans="1:8">
      <c r="A106" t="s">
        <v>46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46</v>
      </c>
      <c r="B107" t="s">
        <v>264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38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38</v>
      </c>
      <c r="B109" t="s">
        <v>39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38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148</v>
      </c>
    </row>
    <row r="111" spans="1:8">
      <c r="A111" t="s">
        <v>38</v>
      </c>
      <c r="B111" t="s">
        <v>33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148</v>
      </c>
    </row>
    <row r="112" spans="1:8">
      <c r="A112" t="s">
        <v>38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43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2025-04-07T08:09:27Z</dcterms:modified>
</cp:coreProperties>
</file>