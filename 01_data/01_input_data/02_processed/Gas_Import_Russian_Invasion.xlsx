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marianapessoa/Desktop/gas_infrastructure_model/01_data/01_input_data/02_processed/"/>
    </mc:Choice>
  </mc:AlternateContent>
  <xr:revisionPtr revIDLastSave="0" documentId="13_ncr:1_{CC1B6802-6AAC-434F-8A4F-A3918366CFEF}" xr6:coauthVersionLast="47" xr6:coauthVersionMax="47" xr10:uidLastSave="{00000000-0000-0000-0000-000000000000}"/>
  <bookViews>
    <workbookView xWindow="0" yWindow="660" windowWidth="30240" windowHeight="18980" tabRatio="790" firstSheet="26" activeTab="31" xr2:uid="{00000000-000D-0000-FFFF-FFFF00000000}"/>
  </bookViews>
  <sheets>
    <sheet name="EDIT_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EDIT_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EDIT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C28" i="5"/>
  <c r="F2" i="34"/>
  <c r="G2" i="34" s="1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0" i="34"/>
  <c r="G20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3" i="34"/>
  <c r="G43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0" i="34"/>
  <c r="G100" i="34" s="1"/>
  <c r="F101" i="34"/>
  <c r="G101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D106" i="34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I2" i="32"/>
  <c r="H2" i="32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I10" i="32"/>
  <c r="H10" i="32" s="1"/>
  <c r="G10" i="32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6" i="32"/>
  <c r="N6" i="32"/>
  <c r="G6" i="32"/>
  <c r="I6" i="32" s="1"/>
  <c r="H6" i="32" s="1"/>
  <c r="E6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70" i="31"/>
  <c r="E170" i="31"/>
  <c r="G169" i="31"/>
  <c r="E169" i="31"/>
  <c r="G168" i="31"/>
  <c r="E168" i="31"/>
  <c r="G167" i="31"/>
  <c r="E167" i="31"/>
  <c r="G166" i="31"/>
  <c r="E166" i="31"/>
  <c r="G165" i="31"/>
  <c r="E165" i="31"/>
  <c r="G164" i="31"/>
  <c r="E164" i="31"/>
  <c r="G163" i="31"/>
  <c r="E163" i="31"/>
  <c r="G162" i="31"/>
  <c r="E162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7" i="31"/>
  <c r="E7" i="31"/>
  <c r="G6" i="31"/>
  <c r="E6" i="31"/>
  <c r="G5" i="31"/>
  <c r="E5" i="31"/>
  <c r="G4" i="31"/>
  <c r="E4" i="31"/>
  <c r="G3" i="31"/>
  <c r="E3" i="31"/>
  <c r="G2" i="31"/>
  <c r="E2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3" i="30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D2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/>
  <c r="F4" i="3"/>
  <c r="G4" i="3" s="1"/>
  <c r="F6" i="3"/>
  <c r="G6" i="3"/>
  <c r="F7" i="3"/>
  <c r="G7" i="3"/>
  <c r="F8" i="3"/>
  <c r="G8" i="3"/>
  <c r="F9" i="3"/>
  <c r="G9" i="3"/>
  <c r="F10" i="3"/>
  <c r="G10" i="3" s="1"/>
  <c r="F11" i="3"/>
  <c r="G11" i="3"/>
  <c r="F12" i="3"/>
  <c r="G12" i="3"/>
  <c r="F13" i="3"/>
  <c r="G13" i="3"/>
  <c r="F14" i="3"/>
  <c r="G14" i="3" s="1"/>
  <c r="F15" i="3"/>
  <c r="G15" i="3" s="1"/>
  <c r="F16" i="3"/>
  <c r="G16" i="3"/>
  <c r="F17" i="3"/>
  <c r="G17" i="3"/>
  <c r="F18" i="3"/>
  <c r="G18" i="3" s="1"/>
  <c r="F19" i="3"/>
  <c r="G19" i="3" s="1"/>
  <c r="F20" i="3"/>
  <c r="G20" i="3"/>
  <c r="F24" i="3"/>
  <c r="G24" i="3"/>
  <c r="F25" i="3"/>
  <c r="G25" i="3"/>
  <c r="F26" i="3"/>
  <c r="G26" i="3"/>
  <c r="F27" i="3"/>
  <c r="G27" i="3" s="1"/>
  <c r="F28" i="3"/>
  <c r="G28" i="3"/>
  <c r="F29" i="3"/>
  <c r="G29" i="3"/>
  <c r="F30" i="3"/>
  <c r="G30" i="3"/>
  <c r="F33" i="3"/>
  <c r="G33" i="3"/>
  <c r="F34" i="3"/>
  <c r="G34" i="3" s="1"/>
  <c r="F35" i="3"/>
  <c r="G35" i="3"/>
  <c r="F36" i="3"/>
  <c r="G36" i="3" s="1"/>
  <c r="F37" i="3"/>
  <c r="G37" i="3"/>
  <c r="F38" i="3"/>
  <c r="G38" i="3"/>
  <c r="F39" i="3"/>
  <c r="G39" i="3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<sst xmlns="http://schemas.openxmlformats.org/spreadsheetml/2006/main" count="5589" uniqueCount="328">
  <si>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</si>
  <si>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</si>
  <si>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</si>
  <si>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</si>
  <si>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</si>
  <si>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</si>
  <si>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</si>
  <si>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</si>
  <si>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</si>
  <si>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</si>
  <si>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</si>
  <si>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</si>
  <si>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</si>
  <si>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</si>
  <si>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</si>
  <si>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</si>
  <si>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</si>
  <si>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</si>
  <si>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</si>
  <si>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</si>
  <si>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</si>
  <si>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</si>
  <si>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</si>
  <si>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</si>
  <si>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</si>
  <si>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</si>
  <si>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</si>
  <si>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</si>
  <si>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</si>
  <si>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</si>
  <si>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</si>
  <si>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</si>
  <si>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</si>
  <si>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</si>
  <si>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</si>
  <si>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</si>
  <si>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</si>
  <si>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</si>
  <si>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</si>
  <si>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</si>
  <si>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</si>
  <si>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</si>
  <si>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</si>
  <si>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</si>
  <si>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</si>
  <si>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</si>
  <si>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</si>
  <si>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</si>
  <si>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</si>
  <si>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</si>
  <si>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</si>
  <si>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</si>
  <si>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</si>
  <si>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</si>
  <si>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</si>
  <si>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</si>
  <si>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</si>
  <si>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</si>
  <si>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</si>
  <si>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</si>
  <si>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</si>
  <si>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</si>
  <si>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</si>
  <si>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</si>
  <si>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</si>
  <si>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</si>
  <si>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</si>
  <si>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</si>
  <si>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</si>
  <si>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</si>
  <si>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</si>
  <si>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</si>
  <si>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</si>
  <si>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</si>
  <si>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</si>
  <si>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</si>
  <si>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</si>
  <si>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</si>
  <si>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</si>
  <si>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</si>
  <si>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</si>
  <si>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</si>
  <si>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</si>
  <si>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</si>
  <si>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</si>
  <si>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</si>
  <si>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</si>
  <si>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</si>
  <si>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</si>
  <si>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</si>
  <si>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</si>
  <si>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</si>
  <si>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</si>
  <si>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</si>
  <si>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</si>
  <si>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</si>
  <si>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</si>
  <si>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</si>
  <si>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</si>
  <si>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</si>
  <si>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</si>
  <si>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</si>
  <si>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</si>
  <si>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</si>
  <si>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</si>
  <si>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</si>
  <si>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</si>
  <si>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</si>
  <si>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</si>
  <si>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</si>
  <si>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</si>
  <si>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</si>
  <si>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</si>
  <si>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</si>
  <si>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</si>
  <si>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</si>
  <si>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</si>
  <si>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</si>
  <si>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</si>
  <si>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</si>
  <si>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</si>
  <si>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</si>
  <si>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</si>
  <si>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</si>
  <si>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</si>
  <si>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</si>
  <si>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</si>
  <si>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</si>
  <si>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</si>
  <si>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</si>
  <si>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</si>
  <si>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</si>
  <si>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</si>
  <si>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</si>
  <si>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</si>
  <si>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</si>
  <si>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</si>
  <si>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</si>
  <si>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</si>
  <si>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</si>
  <si>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</si>
  <si>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</si>
  <si>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</si>
  <si>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</si>
  <si>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</si>
  <si>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</si>
  <si>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</si>
  <si>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</si>
  <si>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</si>
  <si>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</si>
  <si>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</si>
  <si>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</si>
  <si>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</si>
  <si>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</si>
  <si>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</si>
  <si>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</si>
  <si>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</si>
  <si>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</si>
  <si>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</si>
  <si>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</si>
  <si>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</si>
  <si>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</si>
  <si>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</si>
  <si>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</si>
  <si>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</si>
  <si>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</si>
  <si>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</si>
  <si>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</si>
  <si>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</si>
  <si>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</si>
  <si>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</si>
  <si>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</si>
  <si>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</si>
  <si>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</si>
  <si>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</si>
  <si>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</si>
  <si>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</si>
  <si>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</si>
  <si>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</si>
  <si>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</si>
  <si>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</si>
  <si>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</si>
  <si>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</si>
  <si>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</si>
  <si>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</si>
  <si>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</si>
  <si>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</si>
  <si>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</si>
  <si>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</si>
  <si>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</si>
  <si>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</si>
  <si>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</si>
  <si>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</si>
  <si>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</si>
  <si>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</si>
  <si>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</si>
  <si>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</si>
  <si>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</si>
  <si>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</si>
  <si>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</si>
  <si>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</si>
  <si>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</si>
  <si>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</si>
  <si>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</si>
  <si>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</si>
  <si>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</si>
  <si>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</si>
  <si>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</si>
  <si>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</si>
  <si>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</si>
  <si>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</si>
  <si>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</si>
  <si>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</si>
  <si>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</si>
  <si>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</si>
  <si>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</si>
  <si>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</si>
  <si>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</si>
  <si>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</si>
  <si>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</si>
  <si>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</si>
  <si>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</si>
  <si>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</si>
  <si>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</si>
  <si>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</si>
  <si>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</si>
  <si>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</si>
  <si>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</si>
  <si>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</si>
  <si>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</si>
  <si>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</si>
  <si>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</si>
  <si>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</si>
  <si>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</si>
  <si>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</si>
  <si>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</si>
  <si>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</si>
  <si>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</si>
  <si>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</si>
  <si>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</si>
  <si>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</si>
  <si>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</si>
  <si>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</si>
  <si>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</si>
  <si>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</si>
  <si>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</si>
  <si>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</si>
  <si>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</si>
  <si>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</si>
  <si>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</si>
  <si>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</si>
  <si>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</si>
  <si>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</si>
  <si>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</si>
  <si>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</si>
  <si>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</si>
  <si>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</si>
  <si>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</si>
  <si>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</si>
  <si>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</si>
  <si>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</si>
  <si>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</si>
  <si>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</si>
  <si>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</si>
  <si>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</si>
  <si>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</si>
  <si>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</si>
  <si>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</si>
  <si>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</si>
  <si>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</si>
  <si>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</si>
  <si>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</si>
  <si>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</si>
  <si>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</si>
  <si>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</si>
  <si>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</si>
  <si>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</si>
  <si>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</si>
  <si>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</si>
  <si>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</si>
  <si>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</si>
  <si>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</si>
  <si>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</si>
  <si>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</si>
  <si>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</si>
  <si>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</si>
  <si>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</si>
  <si>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</si>
  <si>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</si>
  <si>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</si>
  <si>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</si>
  <si>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</si>
  <si>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</si>
  <si>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</si>
  <si>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</si>
  <si>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</si>
  <si>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</si>
  <si>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</si>
  <si>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</si>
  <si>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</si>
  <si>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</si>
  <si>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</si>
  <si>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</si>
  <si>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</si>
  <si>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</si>
  <si>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</si>
  <si>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</si>
  <si>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</si>
  <si>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</si>
  <si>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</si>
  <si>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</si>
  <si>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LNG Capacity Mrd m3 [2019]</t>
  </si>
  <si>
    <t>Imports [2019]</t>
  </si>
  <si>
    <t>Share [2019]</t>
  </si>
  <si>
    <t>Capacity after grid connection [2019]</t>
  </si>
  <si>
    <t>Mrd m3 [2019]</t>
  </si>
  <si>
    <t>Mil m3 EU [2019]</t>
  </si>
  <si>
    <t>GWh [2019]</t>
  </si>
  <si>
    <t>TWh [2019]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</si>
  <si>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</si>
  <si>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</si>
  <si>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</si>
  <si>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</si>
  <si>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</si>
  <si>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Mil m3 [2019]</t>
  </si>
  <si>
    <t>Mrd m3 [2019]2</t>
  </si>
  <si>
    <t>Mrd m3 EU [2019]2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</si>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</sst>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  <xf numFmtId="0" fontId="25" fillId="0" borderId="0" xfId="0" applyFont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4"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19]" dataDxfId="127"/>
    <tableColumn id="5" xr3:uid="{CE68E676-D995-F544-BEB7-55E7188768DB}" name="Mil m3 EU [2019]" dataDxfId="126"/>
    <tableColumn id="6" xr3:uid="{9428BA11-0FA4-4E43-B422-05EB8A043647}" name="Mrd m3 EU [2019]2" dataDxfId="125">
      <calculatedColumnFormula>Table224[[#This Row],[Mil m3 EU '[2019']]]/1000</calculatedColumnFormula>
    </tableColumn>
    <tableColumn id="7" xr3:uid="{444B9436-1239-F240-B4BF-1A913EC4CFF6}" name="GWh [2019]" dataDxfId="124">
      <calculatedColumnFormula>Table224[[#This Row],[TWh '[2019']]]*1000</calculatedColumnFormula>
    </tableColumn>
    <tableColumn id="4" xr3:uid="{5EF9A97F-15E9-B540-80E9-F7A73E08637D}" name="TWh [2019]" dataDxfId="123">
      <calculatedColumnFormula>IF(Table224[[#This Row],[Mil m3 EU '[2019']]]&gt;0,Table224[[#This Row],[Mrd m3 EU '[2019']2]],Table224[[#This Row],[Mrd m3 '[2019']]])*9.77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2" headerRowBorderDxfId="121" tableBorderDxfId="120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19]"/>
    <tableColumn id="4" xr3:uid="{78BA9F62-196E-484F-9DEC-52A98B938429}" name="Mil m3 [2019]"/>
    <tableColumn id="5" xr3:uid="{1E9161F2-5CB8-5841-990F-B983C48048E4}" name="Mrd m3 [2019]2" dataDxfId="119">
      <calculatedColumnFormula>Table725[[#This Row],[Mil m3 '[2019']]]/1000</calculatedColumnFormula>
    </tableColumn>
    <tableColumn id="7" xr3:uid="{81E6D352-CF73-E24E-8012-656B58D4230F}" name="GWh [2019]" dataDxfId="118">
      <calculatedColumnFormula>Table725[[#This Row],[TWh '[2019']]]*1000</calculatedColumnFormula>
    </tableColumn>
    <tableColumn id="6" xr3:uid="{8E2D017E-D664-6848-A8DA-CC37D1BE073D}" name="TWh [2019]" dataDxfId="117">
      <calculatedColumnFormula>IF(Table725[[#This Row],[Mil m3 '[2019']]]&gt;0,Table725[[#This Row],[Mrd m3 '[2019']2]],Table725[[#This Row],[Mrd m3 '[2019']]])*9.77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16"/>
    <tableColumn id="5" xr3:uid="{4278F9D8-E46F-44B9-A622-727B8E2C8EF1}" name="Mil m3 EU [2020]" dataDxfId="115"/>
    <tableColumn id="6" xr3:uid="{F2BDB73C-713D-4BC7-B762-048AA072F297}" name="Mrd m3 EU [2020]" dataDxfId="114">
      <calculatedColumnFormula>Table2[[#This Row],[Mil m3 EU '[2020']]]/1000</calculatedColumnFormula>
    </tableColumn>
    <tableColumn id="7" xr3:uid="{337F5DC2-FD6B-445B-A2F7-5464B34B589E}" name="GWh [2020]" dataDxfId="113">
      <calculatedColumnFormula>Table2[[#This Row],[TWh '[2020']2]]*1000</calculatedColumnFormula>
    </tableColumn>
    <tableColumn id="4" xr3:uid="{5BB2DA97-8C23-44BC-9268-BDBE2BCDBBC8}" name="TWh [2020]2" dataDxfId="112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1" headerRowBorderDxfId="110" tableBorderDxfId="109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08">
      <calculatedColumnFormula>Table7[[#This Row],[Mil m3 '[2020']]]/1000</calculatedColumnFormula>
    </tableColumn>
    <tableColumn id="7" xr3:uid="{4A1E0E2A-2ECC-45EB-9D63-EC01B197BAA8}" name="GWh [2020]" dataDxfId="107">
      <calculatedColumnFormula>Table7[[#This Row],[TWh '[2020']2]]*1000</calculatedColumnFormula>
    </tableColumn>
    <tableColumn id="6" xr3:uid="{ECFA587C-DE79-4510-9945-328AB8DBC35F}" name="TWh [2020]2" dataDxfId="106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05"/>
    <tableColumn id="5" xr3:uid="{42F1A333-D727-4655-B618-A9AB5617745F}" name="Mil m3 EU [2020]" dataDxfId="104"/>
    <tableColumn id="6" xr3:uid="{326B3A9A-70B2-4D34-8E01-54CBBD0565E6}" name="Mrd m3 EU [2020]" dataDxfId="103">
      <calculatedColumnFormula>Table26[[#This Row],[Mil m3 EU '[2020']]]/1000</calculatedColumnFormula>
    </tableColumn>
    <tableColumn id="7" xr3:uid="{7EF7045A-D72E-40AA-A523-1A389D57AAF5}" name="GWh [2020]" dataDxfId="102">
      <calculatedColumnFormula>Table26[[#This Row],[TWh '[2020']]]*1000</calculatedColumnFormula>
    </tableColumn>
    <tableColumn id="4" xr3:uid="{DC1916A1-B3CC-4586-AE6D-12CF46A9C0F0}" name="TWh [2020]" dataDxfId="101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0" headerRowBorderDxfId="99" tableBorderDxfId="98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97">
      <calculatedColumnFormula>Table79[[#This Row],[Mil m3 '[2020']]]/1000</calculatedColumnFormula>
    </tableColumn>
    <tableColumn id="7" xr3:uid="{A1AF1224-2FA6-47E0-9ECD-AB8B46DF628B}" name="GWh [2020]" dataDxfId="96">
      <calculatedColumnFormula>Table79[[#This Row],[TWh '[2020']]]*1000</calculatedColumnFormula>
    </tableColumn>
    <tableColumn id="6" xr3:uid="{0CF67BB6-4E02-4893-BB83-4858F32AB909}" name="TWh [2020]" dataDxfId="95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94"/>
    <tableColumn id="5" xr3:uid="{6BE9D8BC-17DF-46B0-904B-E214536BC73C}" name="Mil m3 EU [2024]" dataDxfId="93"/>
    <tableColumn id="6" xr3:uid="{88443DA7-833C-4668-ABC7-6640612488C4}" name="Mrd m3 EU [2020]" dataDxfId="92"/>
    <tableColumn id="7" xr3:uid="{64FD0380-738D-4F61-AAEA-FA6952811E43}" name="GWh [2020]" dataDxfId="91">
      <calculatedColumnFormula>Table2620[[#This Row],[TWh '[2020']]]*1000</calculatedColumnFormula>
    </tableColumn>
    <tableColumn id="4" xr3:uid="{920F5378-329F-48CE-AB35-E8FBBE6E4295}" name="TWh [2020]" dataDxfId="90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89"/>
    <tableColumn id="5" xr3:uid="{31D61434-4BE8-4DF8-919D-0B08C9C85FF9}" name="Mil m3 EU [2024]" dataDxfId="88"/>
    <tableColumn id="6" xr3:uid="{791C1399-23F6-4DDC-8608-02DCF3203E4D}" name="Mrd m3 EU [2020]" dataDxfId="87"/>
    <tableColumn id="7" xr3:uid="{C7B33927-885B-433C-9C92-1A5BB72E75AE}" name="GWh [2020]" dataDxfId="86">
      <calculatedColumnFormula>Table262021[[#This Row],[TWh '[2020']]]*1000</calculatedColumnFormula>
    </tableColumn>
    <tableColumn id="4" xr3:uid="{5CDEC814-A327-4D11-A6C7-3DEC6EA2D16D}" name="TWh [2020]" dataDxfId="85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84" headerRowBorderDxfId="83" tableBorderDxfId="82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1"/>
    <tableColumn id="7" xr3:uid="{5E4FB509-2E7C-4F35-ABA3-27B44D26F2A0}" name="GWh [2020]" dataDxfId="80">
      <calculatedColumnFormula>Table7919[[#This Row],[TWh '[2020']]]*1000</calculatedColumnFormula>
    </tableColumn>
    <tableColumn id="6" xr3:uid="{404CEA6B-9B54-4634-86D8-4FC47FBC55CD}" name="TWh [2020]" dataDxfId="79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19]" dataDxfId="78"/>
    <tableColumn id="4" xr3:uid="{5500BCB9-3E14-4C44-A98A-BF3DBD011C25}" name="TWh [2019]" dataDxfId="77">
      <calculatedColumnFormula>Table126[[#This Row],[Mrd m3 '[2019']]]*9.77*-1</calculatedColumnFormula>
    </tableColumn>
    <tableColumn id="5" xr3:uid="{88D78A88-5D7E-CD41-AD80-CBB8F276CCA0}" name="Population 2019 [Tsd]"/>
    <tableColumn id="6" xr3:uid="{895AA06E-8015-F44E-8A03-C29DA4E1A648}" name="TWh by share" dataDxfId="76">
      <calculatedColumnFormula>IF(Table126[[#This Row],[TWh '[2019']]]=0,$D$27*(E2/$E$27),0)</calculatedColumnFormula>
    </tableColumn>
    <tableColumn id="7" xr3:uid="{474AC10A-97FA-2941-AAF0-7C38AC898810}" name="GWh [2019]" dataDxfId="75">
      <calculatedColumnFormula>MIN(Table126[[#This Row],[TWh '[2019']]],Table126[[#This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74"/>
    <tableColumn id="4" xr3:uid="{1618AAC4-0782-47C3-91CE-2FEB95FBDD58}" name="TWh [2020]" dataDxfId="73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2">
      <calculatedColumnFormula>IF(Table1[[#This Row],[TWh '[2020']]]=0,$D$27*(E2/$E$27),0)</calculatedColumnFormula>
    </tableColumn>
    <tableColumn id="7" xr3:uid="{53C148C2-CAF7-47BC-9950-964805B82325}" name="GWh [2020]" dataDxfId="71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0"/>
    <tableColumn id="4" xr3:uid="{60E83C2D-D521-4D6A-800D-160C3176DFC7}" name="TWh [2023]" dataDxfId="69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68">
      <calculatedColumnFormula>MIN(Table15[[#This Row],[TWh '[2023']]],Table15[[#This Row],[TWh by share]])*1000</calculatedColumnFormula>
    </tableColumn>
    <tableColumn id="6" xr3:uid="{EA1A4D0E-E13A-491B-8024-93E1A98AD8DD}" name="TWh by share" dataDxfId="67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66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65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64"/>
    <tableColumn id="4" xr3:uid="{CFF2A961-5340-417B-A68C-5AA0571EECB8}" name="TWh [2023]" dataDxfId="63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2">
      <calculatedColumnFormula>MIN(Table1515[[#This Row],[TWh '[2023']]],Table1515[[#This Row],[TWh by share]])*1000</calculatedColumnFormula>
    </tableColumn>
    <tableColumn id="10" xr3:uid="{C231D16E-346D-4A6C-BDE3-02DCD7F98838}" name="GWh [2035] SP" dataDxfId="61">
      <calculatedColumnFormula>Table1515[[#This Row],[Mrd m3 '[2035'] SP]]*9.77*-1000</calculatedColumnFormula>
    </tableColumn>
    <tableColumn id="12" xr3:uid="{B7100D75-BF53-4B84-BEA5-5B8213EA443B}" name="GWh [2035] AP" dataDxfId="60">
      <calculatedColumnFormula>Table1515[[#This Row],[Mrd m3 '[2035'] AP]]*9.77*-1000</calculatedColumnFormula>
    </tableColumn>
    <tableColumn id="6" xr3:uid="{38428858-BB77-4254-A9E7-787AC7919612}" name="TWh by share" dataDxfId="59">
      <calculatedColumnFormula>IF(Table1515[[#This Row],[TWh '[2023']]]=0,$F$27*(G2/$G$27),0)</calculatedColumnFormula>
    </tableColumn>
    <tableColumn id="9" xr3:uid="{062339C5-9866-4A10-AB51-65D785DCAE56}" name="EU" dataDxfId="5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57">
      <calculatedColumnFormula>Table1515[[#This Row],[GWh '[2035'] SP]]</calculatedColumnFormula>
    </tableColumn>
    <tableColumn id="4" xr3:uid="{B0F52B8B-7854-4A88-A627-18C628B9FFAB}" name="TWh [2023]" dataDxfId="56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55">
      <calculatedColumnFormula>Table1517[[#This Row],[TWh '[2023']]]*1000</calculatedColumnFormula>
    </tableColumn>
    <tableColumn id="6" xr3:uid="{3EC6FD5C-175B-4AEC-9875-DCE8BEBC18DA}" name="TWh by share" dataDxfId="54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3">
      <calculatedColumnFormula>Table1515[[#This Row],[GWh '[2035'] AP]]</calculatedColumnFormula>
    </tableColumn>
    <tableColumn id="4" xr3:uid="{242F6F74-7D77-4BEA-9D4C-482848363307}" name="TWh [2023]" dataDxfId="52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1">
      <calculatedColumnFormula>Table151718[[#This Row],[TWh '[2023']]]*1000</calculatedColumnFormula>
    </tableColumn>
    <tableColumn id="6" xr3:uid="{F133F4B6-959B-4931-9BF3-538BD68B0E51}" name="TWh by share" dataDxfId="50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133" headerRowBorderDxfId="132" tableBorderDxfId="13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19]"/>
    <tableColumn id="4" xr3:uid="{E205F142-327E-4DD1-B26C-F606AE947DFF}" name="Mil m3 [2019]"/>
    <tableColumn id="5" xr3:uid="{75FBA110-8C6B-463E-9AAF-A26754EAB077}" name="Mrd m3 [2019]2" dataDxfId="130">
      <calculatedColumnFormula>Table7910[[#This Row],[Mil m3 '[2019']]]/1000</calculatedColumnFormula>
    </tableColumn>
    <tableColumn id="7" xr3:uid="{95C698CF-3EBE-40E8-840D-A6C3E41CFB2C}" name="GWh [2019]" dataDxfId="129">
      <calculatedColumnFormula>Table7910[[#This Row],[TWh '[2019']]]*1000</calculatedColumnFormula>
    </tableColumn>
    <tableColumn id="6" xr3:uid="{44160680-3C35-4A7A-9677-B7F78304684A}" name="TWh [2019]" dataDxfId="128">
      <calculatedColumnFormula>IF(Table7910[[#This Row],[Mil m3 '[2019']]]&gt;0,Table7910[[#This Row],[Mrd m3 '[2019']2]],Table7910[[#This Row],[Mrd m3 '[2019']]])*9.77*(-1)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9" headerRowBorderDxfId="48" tableBorderDxfId="47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6">
      <calculatedColumnFormula>Table791028[[#This Row],[Mil m3 '[2020']]]/1000</calculatedColumnFormula>
    </tableColumn>
    <tableColumn id="7" xr3:uid="{12CA027F-55E7-0848-B901-45DB1F90674E}" name="GWh [2020]" dataDxfId="45">
      <calculatedColumnFormula>Table791028[[#This Row],[TWh '[2020']]]*1000</calculatedColumnFormula>
    </tableColumn>
    <tableColumn id="6" xr3:uid="{AD4B7D3C-301E-CF4D-9ECD-2BA1C009652D}" name="TWh [2020]" dataDxfId="44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3" headerRowBorderDxfId="42" tableBorderDxfId="41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0">
      <calculatedColumnFormula>Table791011[[#This Row],[Mil m3 '[2020']]]/1000</calculatedColumnFormula>
    </tableColumn>
    <tableColumn id="7" xr3:uid="{800E9158-5DB0-43C4-A644-BF3466322E9E}" name="GWh [2020]" dataDxfId="39">
      <calculatedColumnFormula>Table791011[[#This Row],[TWh '[2020']]]*1000</calculatedColumnFormula>
    </tableColumn>
    <tableColumn id="6" xr3:uid="{28EBAF35-966D-44B9-8859-9AC70136DAAC}" name="TWh [2020]" dataDxfId="3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 dataDxfId="2"/>
    <tableColumn id="7" xr3:uid="{BA9104A7-0F21-764E-9BBD-AC74D83C7439}" name="GWh/d [transparency map]" dataDxfId="0"/>
    <tableColumn id="4" xr3:uid="{9FFECE37-B748-7342-A5CB-C4979434A80F}" name="GWh/a" dataDxfId="1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31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30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9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8">
      <calculatedColumnFormula>C2*9.77*1000</calculatedColumnFormula>
    </tableColumn>
    <tableColumn id="5" xr3:uid="{01416B1F-02D4-4015-854F-1DF81E1DF7B6}" name="TWh/a" dataDxfId="27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70" totalsRowShown="0" headerRowDxfId="26" headerRowBorderDxfId="25" tableBorderDxfId="24" totalsRowBorderDxfId="23">
  <autoFilter ref="A1:I170" xr:uid="{CA4061AA-5D26-4056-B170-4E1336D4AD38}"/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22">
      <calculatedColumnFormula>LNG_global27[[#This Row],[Distance '[miles']]]*1.60934449789256</calculatedColumnFormula>
    </tableColumn>
    <tableColumn id="9" xr3:uid="{15BD6826-0224-DB4A-BFC1-6F6D7F582F74}" name="Suez or Panama" dataDxfId="21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20" headerRowBorderDxfId="19" tableBorderDxfId="18" totalsRowBorderDxfId="17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6">
      <calculatedColumnFormula>LNG_global[[#This Row],[Distance '[miles']]]*1.60934449789256</calculatedColumnFormula>
    </tableColumn>
    <tableColumn id="9" xr3:uid="{DD9D70F1-D00A-43D9-9F09-037C2573E34A}" name="Suez or Panama" dataDxfId="15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4" headerRowBorderDxfId="13" tableBorderDxfId="12" totalsRowBorderDxfId="11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0">
      <calculatedColumnFormula>LNG_global14[[#This Row],[Distance '[miles']]]*1.60934449789256</calculatedColumnFormula>
    </tableColumn>
    <tableColumn id="9" xr3:uid="{601054B1-1B08-47CB-880D-0D80ED1BD0EA}" name="Suez or Panama" dataDxfId="9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8" headerRowBorderDxfId="7" tableBorderDxfId="6" totalsRowBorderDxfId="5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4">
      <calculatedColumnFormula>LNG_global1423[[#This Row],[Distance '[miles']]]*1.60934449789256</calculatedColumnFormula>
    </tableColumn>
    <tableColumn id="9" xr3:uid="{01A3A191-9692-4C2C-A7B3-0D2196CA510D}" name="Suez or Panama" dataDxfId="3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D2" sqref="D2"/>
    </sheetView>
  </sheetViews>
  <sheetFormatPr baseColWidth="10" defaultColWidth="9" defaultRowHeight="15" x14ac:dyDescent="0.2"/>
  <cols>
    <col min="1" max="1" width="10.33203125" bestFit="1" customWidth="1"/>
    <col min="2" max="2" width="3.33203125" bestFit="1" customWidth="1"/>
    <col min="3" max="3" width="23.1640625" bestFit="1" customWidth="1"/>
    <col min="4" max="4" width="12.5" bestFit="1" customWidth="1"/>
    <col min="5" max="5" width="10.6640625" bestFit="1" customWidth="1"/>
    <col min="6" max="6" width="29.6640625" bestFit="1" customWidth="1"/>
    <col min="7" max="7" width="9.1640625" bestFit="1" customWidth="1"/>
    <col min="8" max="8" width="7.1640625" bestFit="1" customWidth="1"/>
    <col min="9" max="9" width="14.83203125" bestFit="1" customWidth="1"/>
    <col min="11" max="11" width="3.33203125" bestFit="1" customWidth="1"/>
    <col min="12" max="12" width="5.1640625" bestFit="1" customWidth="1"/>
    <col min="14" max="14" width="7.33203125" bestFit="1" customWidth="1"/>
    <col min="15" max="15" width="3.33203125" bestFit="1" customWidth="1"/>
  </cols>
  <sheetData>
    <row r="1" spans="1:15" x14ac:dyDescent="0.2">
      <c r="A1" t="s">
        <v>12</v>
      </c>
      <c r="B1" t="s">
        <v>93</v>
      </c>
      <c r="C1" t="s">
        <v>311</v>
      </c>
      <c r="D1" t="s">
        <v>312</v>
      </c>
      <c r="E1" t="s">
        <v>313</v>
      </c>
      <c r="F1" t="s">
        <v>314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 s="19">
        <v>11.4</v>
      </c>
      <c r="D2" s="18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 s="19">
        <v>33</v>
      </c>
      <c r="D3" s="18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 x14ac:dyDescent="0.2">
      <c r="A4" t="s">
        <v>3</v>
      </c>
      <c r="B4" t="s">
        <v>264</v>
      </c>
      <c r="C4" s="19">
        <v>7</v>
      </c>
      <c r="D4" s="18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 x14ac:dyDescent="0.2">
      <c r="A5" t="s">
        <v>4</v>
      </c>
      <c r="B5" t="s">
        <v>21</v>
      </c>
      <c r="C5" s="19">
        <v>15.95</v>
      </c>
      <c r="D5" s="18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 x14ac:dyDescent="0.2">
      <c r="A6" t="s">
        <v>5</v>
      </c>
      <c r="B6" t="s">
        <v>24</v>
      </c>
      <c r="C6" s="19">
        <v>0</v>
      </c>
      <c r="D6" s="18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 x14ac:dyDescent="0.2">
      <c r="A7" t="s">
        <v>6</v>
      </c>
      <c r="B7" t="s">
        <v>34</v>
      </c>
      <c r="C7" s="19">
        <v>3.75</v>
      </c>
      <c r="D7" s="18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 x14ac:dyDescent="0.2">
      <c r="A8" t="s">
        <v>7</v>
      </c>
      <c r="B8" t="s">
        <v>18</v>
      </c>
      <c r="C8" s="19">
        <v>12</v>
      </c>
      <c r="D8" s="18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 x14ac:dyDescent="0.2">
      <c r="A9" t="s">
        <v>8</v>
      </c>
      <c r="B9" t="s">
        <v>27</v>
      </c>
      <c r="C9" s="19">
        <v>6.2</v>
      </c>
      <c r="D9" s="18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 x14ac:dyDescent="0.2">
      <c r="A10" t="s">
        <v>1</v>
      </c>
      <c r="B10" t="s">
        <v>37</v>
      </c>
      <c r="C10" s="19">
        <v>7.6</v>
      </c>
      <c r="D10" s="18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 x14ac:dyDescent="0.2">
      <c r="A11" t="s">
        <v>9</v>
      </c>
      <c r="B11" t="s">
        <v>36</v>
      </c>
      <c r="C11" s="19">
        <v>60.1</v>
      </c>
      <c r="D11" s="18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 x14ac:dyDescent="0.2">
      <c r="A12" t="s">
        <v>10</v>
      </c>
      <c r="B12" t="s">
        <v>46</v>
      </c>
      <c r="C12" s="19">
        <v>43.6</v>
      </c>
      <c r="D12" s="18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 x14ac:dyDescent="0.2">
      <c r="A13" t="s">
        <v>11</v>
      </c>
      <c r="B13" t="s">
        <v>11</v>
      </c>
      <c r="C13" s="19">
        <v>48.1</v>
      </c>
      <c r="D13" s="18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 x14ac:dyDescent="0.2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baseColWidth="10" defaultColWidth="9" defaultRowHeight="15" x14ac:dyDescent="0.2"/>
  <cols>
    <col min="1" max="1" width="10.33203125" bestFit="1" customWidth="1"/>
    <col min="2" max="2" width="3.33203125" bestFit="1" customWidth="1"/>
    <col min="3" max="3" width="23.1640625" bestFit="1" customWidth="1"/>
    <col min="4" max="4" width="12.5" bestFit="1" customWidth="1"/>
    <col min="5" max="5" width="10.6640625" bestFit="1" customWidth="1"/>
    <col min="6" max="6" width="29.6640625" bestFit="1" customWidth="1"/>
    <col min="7" max="7" width="9.1640625" bestFit="1" customWidth="1"/>
    <col min="8" max="8" width="7.1640625" bestFit="1" customWidth="1"/>
    <col min="9" max="9" width="14.83203125" bestFit="1" customWidth="1"/>
    <col min="11" max="11" width="3.33203125" bestFit="1" customWidth="1"/>
    <col min="12" max="12" width="5.1640625" bestFit="1" customWidth="1"/>
    <col min="14" max="14" width="7.33203125" bestFit="1" customWidth="1"/>
    <col min="15" max="15" width="3.33203125" bestFit="1" customWidth="1"/>
  </cols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 x14ac:dyDescent="0.2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 x14ac:dyDescent="0.2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 x14ac:dyDescent="0.2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 x14ac:dyDescent="0.2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 x14ac:dyDescent="0.2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 x14ac:dyDescent="0.2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 x14ac:dyDescent="0.2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 x14ac:dyDescent="0.2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 x14ac:dyDescent="0.2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I38" sqref="I38"/>
    </sheetView>
  </sheetViews>
  <sheetFormatPr baseColWidth="10" defaultColWidth="8.83203125" defaultRowHeight="15" x14ac:dyDescent="0.2"/>
  <cols>
    <col min="1" max="1" width="17" customWidth="1"/>
  </cols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 x14ac:dyDescent="0.2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 x14ac:dyDescent="0.2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 x14ac:dyDescent="0.2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 x14ac:dyDescent="0.2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 x14ac:dyDescent="0.2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 x14ac:dyDescent="0.2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 x14ac:dyDescent="0.2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 x14ac:dyDescent="0.2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 x14ac:dyDescent="0.2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 x14ac:dyDescent="0.2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 x14ac:dyDescent="0.2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 x14ac:dyDescent="0.2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 x14ac:dyDescent="0.2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 x14ac:dyDescent="0.2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baseColWidth="10" defaultColWidth="8.83203125" defaultRowHeight="15" x14ac:dyDescent="0.2"/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 x14ac:dyDescent="0.2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 x14ac:dyDescent="0.2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 x14ac:dyDescent="0.2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 x14ac:dyDescent="0.2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 x14ac:dyDescent="0.2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 x14ac:dyDescent="0.2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 x14ac:dyDescent="0.2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 x14ac:dyDescent="0.2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 x14ac:dyDescent="0.2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 x14ac:dyDescent="0.2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 x14ac:dyDescent="0.2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 x14ac:dyDescent="0.2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 x14ac:dyDescent="0.2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 x14ac:dyDescent="0.2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topLeftCell="A23" workbookViewId="0">
      <selection activeCell="A48" sqref="A48:C48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14" x14ac:dyDescent="0.2">
      <c r="A1" t="s">
        <v>16</v>
      </c>
      <c r="B1" t="s">
        <v>55</v>
      </c>
      <c r="C1" t="s">
        <v>315</v>
      </c>
      <c r="D1" t="s">
        <v>316</v>
      </c>
      <c r="E1" t="s">
        <v>326</v>
      </c>
      <c r="F1" t="s">
        <v>317</v>
      </c>
      <c r="G1" t="s">
        <v>318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80</v>
      </c>
      <c r="E2" s="2">
        <f>Table224[[#This Row],[Mil m3 EU '[2019']]]/1000</f>
        <v>0.08</v>
      </c>
      <c r="F2" s="2">
        <f>Table224[[#This Row],[TWh '[2019']]]*1000</f>
        <v>781.59999999999991</v>
      </c>
      <c r="G2" s="3">
        <f>IF(Table224[[#This Row],[Mil m3 EU '[2019']]]&gt;0,Table224[[#This Row],[Mrd m3 EU '[2019']2]],Table224[[#This Row],[Mrd m3 '[2019']]])*9.77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 x14ac:dyDescent="0.2">
      <c r="A3" t="s">
        <v>49</v>
      </c>
      <c r="B3" t="s">
        <v>78</v>
      </c>
      <c r="C3" s="2">
        <v>86.952250000000006</v>
      </c>
      <c r="D3" s="2"/>
      <c r="E3" s="2">
        <f>Table224[[#This Row],[Mil m3 EU '[2019']]]/1000</f>
        <v>0</v>
      </c>
      <c r="F3" s="2">
        <f>Table224[[#This Row],[TWh '[2019']]]*1000</f>
        <v>849523.48250000004</v>
      </c>
      <c r="G3" s="3">
        <f>IF(Table224[[#This Row],[Mil m3 EU '[2019']]]&gt;0,Table224[[#This Row],[Mrd m3 EU '[2019']2]],Table224[[#This Row],[Mrd m3 '[2019']]])*9.77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957</v>
      </c>
      <c r="E4" s="2">
        <f>Table224[[#This Row],[Mil m3 EU '[2019']]]/1000</f>
        <v>0.95699999999999996</v>
      </c>
      <c r="F4" s="2">
        <f>Table224[[#This Row],[TWh '[2019']]]*1000</f>
        <v>9349.8899999999976</v>
      </c>
      <c r="G4" s="3">
        <f>IF(Table224[[#This Row],[Mil m3 EU '[2019']]]&gt;0,Table224[[#This Row],[Mrd m3 EU '[2019']2]],Table224[[#This Row],[Mrd m3 '[2019']]])*9.77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Table224[[#This Row],[Mil m3 EU '[2019']]]/1000</f>
        <v>0</v>
      </c>
      <c r="F5" s="2">
        <f>Table224[[#This Row],[TWh '[2019']]]*1000</f>
        <v>0</v>
      </c>
      <c r="G5" s="3">
        <f>IF(Table224[[#This Row],[Mil m3 EU '[2019']]]&gt;0,Table224[[#This Row],[Mrd m3 EU '[2019']2]],Table224[[#This Row],[Mrd m3 '[2019']]])*9.77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3.91</v>
      </c>
      <c r="E6" s="2">
        <f>Table224[[#This Row],[Mil m3 EU '[2019']]]/1000</f>
        <v>3.9100000000000003E-3</v>
      </c>
      <c r="F6" s="2">
        <f>Table224[[#This Row],[TWh '[2019']]]*1000</f>
        <v>38.200700000000005</v>
      </c>
      <c r="G6" s="3">
        <f>IF(Table224[[#This Row],[Mil m3 EU '[2019']]]&gt;0,Table224[[#This Row],[Mrd m3 EU '[2019']2]],Table224[[#This Row],[Mrd m3 '[2019']]])*9.77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Table224[[#This Row],[Mil m3 EU '[2019']]]/1000</f>
        <v>0</v>
      </c>
      <c r="F7" s="2">
        <f>Table224[[#This Row],[TWh '[2019']]]*1000</f>
        <v>0</v>
      </c>
      <c r="G7" s="3">
        <f>IF(Table224[[#This Row],[Mil m3 EU '[2019']]]&gt;0,Table224[[#This Row],[Mrd m3 EU '[2019']2]],Table224[[#This Row],[Mrd m3 '[2019']]])*9.77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28</v>
      </c>
      <c r="E8" s="2">
        <f>Table224[[#This Row],[Mil m3 EU '[2019']]]/1000</f>
        <v>2.8000000000000001E-2</v>
      </c>
      <c r="F8" s="2">
        <f>Table224[[#This Row],[TWh '[2019']]]*1000</f>
        <v>273.55999999999995</v>
      </c>
      <c r="G8" s="3">
        <f>IF(Table224[[#This Row],[Mil m3 EU '[2019']]]&gt;0,Table224[[#This Row],[Mrd m3 EU '[2019']2]],Table224[[#This Row],[Mrd m3 '[2019']]])*9.77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1069</v>
      </c>
      <c r="E9" s="2">
        <f>Table224[[#This Row],[Mil m3 EU '[2019']]]/1000</f>
        <v>1.069</v>
      </c>
      <c r="F9" s="2">
        <f>Table224[[#This Row],[TWh '[2019']]]*1000</f>
        <v>10444.129999999999</v>
      </c>
      <c r="G9" s="3">
        <f>IF(Table224[[#This Row],[Mil m3 EU '[2019']]]&gt;0,Table224[[#This Row],[Mrd m3 EU '[2019']2]],Table224[[#This Row],[Mrd m3 '[2019']]])*9.77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209</v>
      </c>
      <c r="E10" s="2">
        <f>Table224[[#This Row],[Mil m3 EU '[2019']]]/1000</f>
        <v>0.20899999999999999</v>
      </c>
      <c r="F10" s="2">
        <f>Table224[[#This Row],[TWh '[2019']]]*1000</f>
        <v>2041.9299999999998</v>
      </c>
      <c r="G10" s="3">
        <f>IF(Table224[[#This Row],[Mil m3 EU '[2019']]]&gt;0,Table224[[#This Row],[Mrd m3 EU '[2019']2]],Table224[[#This Row],[Mrd m3 '[2019']]])*9.77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 x14ac:dyDescent="0.2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'[2019']]]/1000</f>
        <v>3.133</v>
      </c>
      <c r="F11" s="2">
        <f>Table224[[#This Row],[TWh '[2019']]]*1000</f>
        <v>30609.41</v>
      </c>
      <c r="G11" s="3">
        <f>IF(Table224[[#This Row],[Mil m3 EU '[2019']]]&gt;0,Table224[[#This Row],[Mrd m3 EU '[2019']2]],Table224[[#This Row],[Mrd m3 '[2019']]])*9.77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Table224[[#This Row],[Mil m3 EU '[2019']]]/1000</f>
        <v>0</v>
      </c>
      <c r="F12" s="2">
        <f>Table224[[#This Row],[TWh '[2019']]]*1000</f>
        <v>0</v>
      </c>
      <c r="G12" s="3">
        <f>IF(Table224[[#This Row],[Mil m3 EU '[2019']]]&gt;0,Table224[[#This Row],[Mrd m3 EU '[2019']2]],Table224[[#This Row],[Mrd m3 '[2019']]])*9.77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 x14ac:dyDescent="0.2">
      <c r="A13" t="s">
        <v>54</v>
      </c>
      <c r="B13" t="s">
        <v>85</v>
      </c>
      <c r="C13" s="2"/>
      <c r="D13" s="2">
        <v>0</v>
      </c>
      <c r="E13" s="2">
        <f>Table224[[#This Row],[Mil m3 EU '[2019']]]/1000</f>
        <v>0</v>
      </c>
      <c r="F13" s="2">
        <f>Table224[[#This Row],[TWh '[2019']]]*1000</f>
        <v>0</v>
      </c>
      <c r="G13" s="3">
        <f>IF(Table224[[#This Row],[Mil m3 EU '[2019']]]&gt;0,Table224[[#This Row],[Mrd m3 EU '[2019']2]],Table224[[#This Row],[Mrd m3 '[2019']]])*9.77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124</v>
      </c>
      <c r="E14" s="2">
        <f>Table224[[#This Row],[Mil m3 EU '[2019']]]/1000</f>
        <v>0.124</v>
      </c>
      <c r="F14" s="2">
        <f>Table224[[#This Row],[TWh '[2019']]]*1000</f>
        <v>1211.4799999999998</v>
      </c>
      <c r="G14" s="3">
        <f>IF(Table224[[#This Row],[Mil m3 EU '[2019']]]&gt;0,Table224[[#This Row],[Mrd m3 EU '[2019']2]],Table224[[#This Row],[Mrd m3 '[2019']]])*9.77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 x14ac:dyDescent="0.2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'[2019']]]/1000</f>
        <v>5.7409999999999997</v>
      </c>
      <c r="F15" s="2">
        <f>Table224[[#This Row],[TWh '[2019']]]*1000</f>
        <v>56089.569999999992</v>
      </c>
      <c r="G15" s="3">
        <f>IF(Table224[[#This Row],[Mil m3 EU '[2019']]]&gt;0,Table224[[#This Row],[Mrd m3 EU '[2019']2]],Table224[[#This Row],[Mrd m3 '[2019']]])*9.77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12</v>
      </c>
      <c r="E16" s="2">
        <f>Table224[[#This Row],[Mil m3 EU '[2019']]]/1000</f>
        <v>1.2E-2</v>
      </c>
      <c r="F16" s="2">
        <f>Table224[[#This Row],[TWh '[2019']]]*1000</f>
        <v>117.24</v>
      </c>
      <c r="G16" s="3">
        <f>IF(Table224[[#This Row],[Mil m3 EU '[2019']]]&gt;0,Table224[[#This Row],[Mrd m3 EU '[2019']2]],Table224[[#This Row],[Mrd m3 '[2019']]])*9.77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1705</v>
      </c>
      <c r="E17" s="2">
        <f>Table224[[#This Row],[Mil m3 EU '[2019']]]/1000</f>
        <v>1.7050000000000001</v>
      </c>
      <c r="F17" s="2">
        <f>Table224[[#This Row],[TWh '[2019']]]*1000</f>
        <v>16657.849999999999</v>
      </c>
      <c r="G17" s="3">
        <f>IF(Table224[[#This Row],[Mil m3 EU '[2019']]]&gt;0,Table224[[#This Row],[Mrd m3 EU '[2019']2]],Table224[[#This Row],[Mrd m3 '[2019']]])*9.77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2628</v>
      </c>
      <c r="E18" s="2">
        <f>Table224[[#This Row],[Mil m3 EU '[2019']]]/1000</f>
        <v>2.6280000000000001</v>
      </c>
      <c r="F18" s="2">
        <f>Table224[[#This Row],[TWh '[2019']]]*1000</f>
        <v>25675.56</v>
      </c>
      <c r="G18" s="3">
        <f>IF(Table224[[#This Row],[Mil m3 EU '[2019']]]&gt;0,Table224[[#This Row],[Mrd m3 EU '[2019']2]],Table224[[#This Row],[Mrd m3 '[2019']]])*9.77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 x14ac:dyDescent="0.2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'[2019']]]/1000</f>
        <v>4.851</v>
      </c>
      <c r="F19" s="2">
        <f>Table224[[#This Row],[TWh '[2019']]]*1000</f>
        <v>47394.27</v>
      </c>
      <c r="G19" s="3">
        <f>IF(Table224[[#This Row],[Mil m3 EU '[2019']]]&gt;0,Table224[[#This Row],[Mrd m3 EU '[2019']2]],Table224[[#This Row],[Mrd m3 '[2019']]])*9.77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 x14ac:dyDescent="0.2">
      <c r="A20" t="s">
        <v>35</v>
      </c>
      <c r="B20" t="s">
        <v>65</v>
      </c>
      <c r="C20" s="2"/>
      <c r="D20" s="2">
        <v>0</v>
      </c>
      <c r="E20" s="2">
        <f>Table224[[#This Row],[Mil m3 EU '[2019']]]/1000</f>
        <v>0</v>
      </c>
      <c r="F20" s="2">
        <f>Table224[[#This Row],[TWh '[2019']]]*1000</f>
        <v>0</v>
      </c>
      <c r="G20" s="3">
        <f>IF(Table224[[#This Row],[Mil m3 EU '[2019']]]&gt;0,Table224[[#This Row],[Mrd m3 EU '[2019']2]],Table224[[#This Row],[Mrd m3 '[2019']]])*9.77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 x14ac:dyDescent="0.2">
      <c r="A21" t="s">
        <v>51</v>
      </c>
      <c r="B21" t="s">
        <v>80</v>
      </c>
      <c r="C21" s="2">
        <v>16.047520041868452</v>
      </c>
      <c r="D21" s="2"/>
      <c r="E21" s="2">
        <f>Table224[[#This Row],[Mil m3 EU '[2019']]]/1000</f>
        <v>0</v>
      </c>
      <c r="F21" s="2">
        <f>Table224[[#This Row],[TWh '[2019']]]*1000</f>
        <v>156784.27080905475</v>
      </c>
      <c r="G21" s="3">
        <f>IF(Table224[[#This Row],[Mil m3 EU '[2019']]]&gt;0,Table224[[#This Row],[Mrd m3 EU '[2019']2]],Table224[[#This Row],[Mrd m3 '[2019']]])*9.77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 x14ac:dyDescent="0.2">
      <c r="A22" t="s">
        <v>34</v>
      </c>
      <c r="B22" t="s">
        <v>6</v>
      </c>
      <c r="C22" s="2"/>
      <c r="D22" s="2">
        <v>0</v>
      </c>
      <c r="E22" s="2">
        <f>Table224[[#This Row],[Mil m3 EU '[2019']]]/1000</f>
        <v>0</v>
      </c>
      <c r="F22" s="2">
        <f>Table224[[#This Row],[TWh '[2019']]]*1000</f>
        <v>0</v>
      </c>
      <c r="G22" s="3">
        <f>IF(Table224[[#This Row],[Mil m3 EU '[2019']]]&gt;0,Table224[[#This Row],[Mrd m3 EU '[2019']2]],Table224[[#This Row],[Mrd m3 '[2019']]])*9.77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Table224[[#This Row],[Mil m3 EU '[2019']]]/1000</f>
        <v>0</v>
      </c>
      <c r="F23" s="2">
        <f>Table224[[#This Row],[TWh '[2019']]]*1000</f>
        <v>0</v>
      </c>
      <c r="G23" s="3">
        <f>IF(Table224[[#This Row],[Mil m3 EU '[2019']]]&gt;0,Table224[[#This Row],[Mrd m3 EU '[2019']2]],Table224[[#This Row],[Mrd m3 '[2019']]])*9.77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 x14ac:dyDescent="0.2">
      <c r="A24" t="s">
        <v>39</v>
      </c>
      <c r="B24" t="s">
        <v>68</v>
      </c>
      <c r="C24" s="2"/>
      <c r="D24" s="2">
        <v>0</v>
      </c>
      <c r="E24" s="2">
        <f>Table224[[#This Row],[Mil m3 EU '[2019']]]/1000</f>
        <v>0</v>
      </c>
      <c r="F24" s="2">
        <f>Table224[[#This Row],[TWh '[2019']]]*1000</f>
        <v>0</v>
      </c>
      <c r="G24" s="3">
        <f>IF(Table224[[#This Row],[Mil m3 EU '[2019']]]&gt;0,Table224[[#This Row],[Mrd m3 EU '[2019']2]],Table224[[#This Row],[Mrd m3 '[2019']]])*9.77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 x14ac:dyDescent="0.2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'[2019']]]/1000</f>
        <v>33.289936000000012</v>
      </c>
      <c r="F25" s="2">
        <f>Table224[[#This Row],[TWh '[2019']]]*1000</f>
        <v>325242.67472000007</v>
      </c>
      <c r="G25" s="3">
        <f>IF(Table224[[#This Row],[Mil m3 EU '[2019']]]&gt;0,Table224[[#This Row],[Mrd m3 EU '[2019']2]],Table224[[#This Row],[Mrd m3 '[2019']]])*9.77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 x14ac:dyDescent="0.2">
      <c r="A26" t="s">
        <v>45</v>
      </c>
      <c r="B26" t="s">
        <v>76</v>
      </c>
      <c r="C26" s="2"/>
      <c r="D26" s="2">
        <v>0</v>
      </c>
      <c r="E26" s="2">
        <f>Table224[[#This Row],[Mil m3 EU '[2019']]]/1000</f>
        <v>0</v>
      </c>
      <c r="F26" s="2">
        <f>Table224[[#This Row],[TWh '[2019']]]*1000</f>
        <v>0</v>
      </c>
      <c r="G26" s="3">
        <f>IF(Table224[[#This Row],[Mil m3 EU '[2019']]]&gt;0,Table224[[#This Row],[Mrd m3 EU '[2019']2]],Table224[[#This Row],[Mrd m3 '[2019']]])*9.77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 x14ac:dyDescent="0.2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'[2019']]]/1000</f>
        <v>119.05</v>
      </c>
      <c r="F27" s="2">
        <f>Table224[[#This Row],[TWh '[2019']]]*1000</f>
        <v>1163118.4999999998</v>
      </c>
      <c r="G27" s="3">
        <f>IF(Table224[[#This Row],[Mil m3 EU '[2019']]]&gt;0,Table224[[#This Row],[Mrd m3 EU '[2019']2]],Table224[[#This Row],[Mrd m3 '[2019']]])*9.77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 x14ac:dyDescent="0.2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'[2019']]]/1000</f>
        <v>5.6689999999999996</v>
      </c>
      <c r="F28" s="2">
        <f>Table224[[#This Row],[TWh '[2019']]]*1000</f>
        <v>55386.13</v>
      </c>
      <c r="G28" s="3">
        <f>IF(Table224[[#This Row],[Mil m3 EU '[2019']]]&gt;0,Table224[[#This Row],[Mrd m3 EU '[2019']2]],Table224[[#This Row],[Mrd m3 '[2019']]])*9.77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 x14ac:dyDescent="0.2">
      <c r="A29" t="s">
        <v>37</v>
      </c>
      <c r="B29" t="s">
        <v>1</v>
      </c>
      <c r="C29" s="2"/>
      <c r="D29" s="2">
        <v>0</v>
      </c>
      <c r="E29" s="2">
        <f>Table224[[#This Row],[Mil m3 EU '[2019']]]/1000</f>
        <v>0</v>
      </c>
      <c r="F29" s="2">
        <f>Table224[[#This Row],[TWh '[2019']]]*1000</f>
        <v>0</v>
      </c>
      <c r="G29" s="3">
        <f>IF(Table224[[#This Row],[Mil m3 EU '[2019']]]&gt;0,Table224[[#This Row],[Mrd m3 EU '[2019']2]],Table224[[#This Row],[Mrd m3 '[2019']]])*9.77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 x14ac:dyDescent="0.2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'[2019']]]/1000</f>
        <v>9.99</v>
      </c>
      <c r="F30" s="2">
        <f>Table224[[#This Row],[TWh '[2019']]]*1000</f>
        <v>97602.3</v>
      </c>
      <c r="G30" s="3">
        <f>IF(Table224[[#This Row],[Mil m3 EU '[2019']]]&gt;0,Table224[[#This Row],[Mrd m3 EU '[2019']2]],Table224[[#This Row],[Mrd m3 '[2019']]])*9.77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 x14ac:dyDescent="0.2">
      <c r="A31" t="s">
        <v>40</v>
      </c>
      <c r="B31" t="s">
        <v>69</v>
      </c>
      <c r="C31" s="2">
        <v>679.02686845132757</v>
      </c>
      <c r="D31" s="2"/>
      <c r="E31" s="2">
        <f>Table224[[#This Row],[Mil m3 EU '[2019']]]/1000</f>
        <v>0</v>
      </c>
      <c r="F31" s="2">
        <f>Table224[[#This Row],[TWh '[2019']]]*1000</f>
        <v>6634092.5047694696</v>
      </c>
      <c r="G31" s="3">
        <f>IF(Table224[[#This Row],[Mil m3 EU '[2019']]]&gt;0,Table224[[#This Row],[Mrd m3 EU '[2019']2]],Table224[[#This Row],[Mrd m3 '[2019']]])*9.77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Table224[[#This Row],[Mil m3 EU '[2019']]]/1000</f>
        <v>0</v>
      </c>
      <c r="F32" s="2">
        <f>Table224[[#This Row],[TWh '[2019']]]*1000</f>
        <v>0</v>
      </c>
      <c r="G32" s="3">
        <f>IF(Table224[[#This Row],[Mil m3 EU '[2019']]]&gt;0,Table224[[#This Row],[Mrd m3 EU '[2019']2]],Table224[[#This Row],[Mrd m3 '[2019']]])*9.77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440</v>
      </c>
      <c r="E33" s="2">
        <f>Table224[[#This Row],[Mil m3 EU '[2019']]]/1000</f>
        <v>0.44</v>
      </c>
      <c r="F33" s="2">
        <f>Table224[[#This Row],[TWh '[2019']]]*1000</f>
        <v>4298.8</v>
      </c>
      <c r="G33" s="3">
        <f>IF(Table224[[#This Row],[Mil m3 EU '[2019']]]&gt;0,Table224[[#This Row],[Mrd m3 EU '[2019']2]],Table224[[#This Row],[Mrd m3 '[2019']]])*9.77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74</v>
      </c>
      <c r="E34" s="2">
        <f>Table224[[#This Row],[Mil m3 EU '[2019']]]/1000</f>
        <v>7.3999999999999996E-2</v>
      </c>
      <c r="F34" s="2">
        <f>Table224[[#This Row],[TWh '[2019']]]*1000</f>
        <v>722.9799999999999</v>
      </c>
      <c r="G34" s="3">
        <f>IF(Table224[[#This Row],[Mil m3 EU '[2019']]]&gt;0,Table224[[#This Row],[Mrd m3 EU '[2019']2]],Table224[[#This Row],[Mrd m3 '[2019']]])*9.77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11</v>
      </c>
      <c r="E35" s="2">
        <f>Table224[[#This Row],[Mil m3 EU '[2019']]]/1000</f>
        <v>1.0999999999999999E-2</v>
      </c>
      <c r="F35" s="2">
        <f>Table224[[#This Row],[TWh '[2019']]]*1000</f>
        <v>107.46999999999998</v>
      </c>
      <c r="G35" s="3">
        <f>IF(Table224[[#This Row],[Mil m3 EU '[2019']]]&gt;0,Table224[[#This Row],[Mrd m3 EU '[2019']2]],Table224[[#This Row],[Mrd m3 '[2019']]])*9.77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Table224[[#This Row],[Mil m3 EU '[2019']]]/1000</f>
        <v>0</v>
      </c>
      <c r="F36" s="2">
        <f>Table224[[#This Row],[TWh '[2019']]]*1000</f>
        <v>0</v>
      </c>
      <c r="G36" s="3">
        <f>IF(Table224[[#This Row],[Mil m3 EU '[2019']]]&gt;0,Table224[[#This Row],[Mrd m3 EU '[2019']2]],Table224[[#This Row],[Mrd m3 '[2019']]])*9.77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 x14ac:dyDescent="0.2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'[2019']]]/1000</f>
        <v>0</v>
      </c>
      <c r="F37" s="2">
        <f>Table224[[#This Row],[TWh '[2019']]]*1000</f>
        <v>17532.265000000003</v>
      </c>
      <c r="G37" s="3">
        <f>IF(Table224[[#This Row],[Mil m3 EU '[2019']]]&gt;0,Table224[[#This Row],[Mrd m3 EU '[2019']2]],Table224[[#This Row],[Mrd m3 '[2019']]])*9.77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470</v>
      </c>
      <c r="E38" s="2">
        <f>Table224[[#This Row],[Mil m3 EU '[2019']]]/1000</f>
        <v>0.47</v>
      </c>
      <c r="F38" s="2">
        <f>Table224[[#This Row],[TWh '[2019']]]*1000</f>
        <v>4591.8999999999996</v>
      </c>
      <c r="G38" s="3">
        <f>IF(Table224[[#This Row],[Mil m3 EU '[2019']]]&gt;0,Table224[[#This Row],[Mrd m3 EU '[2019']2]],Table224[[#This Row],[Mrd m3 '[2019']]])*9.77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 x14ac:dyDescent="0.2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'[2019']]]/1000</f>
        <v>39.910779000000005</v>
      </c>
      <c r="F39" s="2">
        <f>Table224[[#This Row],[TWh '[2019']]]*1000</f>
        <v>389928.31083000003</v>
      </c>
      <c r="G39" s="3">
        <f>IF(Table224[[#This Row],[Mil m3 EU '[2019']]]&gt;0,Table224[[#This Row],[Mrd m3 EU '[2019']2]],Table224[[#This Row],[Mrd m3 '[2019']]])*9.77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 x14ac:dyDescent="0.2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'[2019']]]/1000</f>
        <v>0</v>
      </c>
      <c r="F40" s="2">
        <f>Table224[[#This Row],[TWh '[2019']]]*1000</f>
        <v>189551.92969518187</v>
      </c>
      <c r="G40" s="3">
        <f>IF(Table224[[#This Row],[Mil m3 EU '[2019']]]&gt;0,Table224[[#This Row],[Mrd m3 EU '[2019']2]],Table224[[#This Row],[Mrd m3 '[2019']]])*9.77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 x14ac:dyDescent="0.2">
      <c r="A41" t="s">
        <v>87</v>
      </c>
      <c r="B41" t="s">
        <v>88</v>
      </c>
      <c r="C41" s="2">
        <v>7.4053369901372292</v>
      </c>
      <c r="D41" s="2"/>
      <c r="E41" s="2">
        <f>Table224[[#This Row],[Mil m3 EU '[2019']]]/1000</f>
        <v>0</v>
      </c>
      <c r="F41" s="2">
        <f>Table224[[#This Row],[TWh '[2019']]]*1000</f>
        <v>72350.142393640723</v>
      </c>
      <c r="G41" s="3">
        <f>IF(Table224[[#This Row],[Mil m3 EU '[2019']]]&gt;0,Table224[[#This Row],[Mrd m3 EU '[2019']2]],Table224[[#This Row],[Mrd m3 '[2019']]])*9.77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133</v>
      </c>
      <c r="E42" s="2">
        <f>Table224[[#This Row],[Mil m3 EU '[2019']]]/1000</f>
        <v>0.13300000000000001</v>
      </c>
      <c r="F42" s="2">
        <f>Table224[[#This Row],[TWh '[2019']]]*1000</f>
        <v>1299.4099999999999</v>
      </c>
      <c r="G42" s="3">
        <f>IF(Table224[[#This Row],[Mil m3 EU '[2019']]]&gt;0,Table224[[#This Row],[Mrd m3 EU '[2019']2]],Table224[[#This Row],[Mrd m3 '[2019']]])*9.77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 x14ac:dyDescent="0.2">
      <c r="C44" s="2">
        <f>SUM(Table224[Mrd m3 '[2019']])</f>
        <v>1018.8491492915259</v>
      </c>
      <c r="D44" s="2">
        <f>SUM(Table224[Mil m3 EU '[2019']])/1000+C31+C37+C21+C3</f>
        <v>1013.399763493196</v>
      </c>
      <c r="E44">
        <f>SUMIF(Table224[Mil m3 EU '[2019']],"&gt;0",Table224[Mrd m3 EU '[2019']2])</f>
        <v>229.57862500000007</v>
      </c>
    </row>
    <row r="45" spans="1:14" x14ac:dyDescent="0.2">
      <c r="E45" s="2"/>
      <c r="F45" s="2"/>
    </row>
    <row r="47" spans="1:14" x14ac:dyDescent="0.2">
      <c r="A47" s="16" t="s">
        <v>132</v>
      </c>
    </row>
    <row r="48" spans="1:14" x14ac:dyDescent="0.2">
      <c r="A48" t="s">
        <v>79</v>
      </c>
      <c r="B48" s="16" t="s">
        <v>321</v>
      </c>
      <c r="C48" t="s">
        <v>322</v>
      </c>
    </row>
    <row r="49" spans="1:2" x14ac:dyDescent="0.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</hyperlinks>
  <pageMargins left="0.7" right="0.7" top="0.75" bottom="0.75" header="0.3" footer="0.3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7" x14ac:dyDescent="0.2">
      <c r="A1" s="12" t="s">
        <v>16</v>
      </c>
      <c r="B1" s="12" t="s">
        <v>55</v>
      </c>
      <c r="C1" s="12" t="s">
        <v>315</v>
      </c>
      <c r="D1" s="12" t="s">
        <v>324</v>
      </c>
      <c r="E1" s="12" t="s">
        <v>325</v>
      </c>
      <c r="F1" s="13" t="s">
        <v>317</v>
      </c>
      <c r="G1" s="13" t="s">
        <v>318</v>
      </c>
    </row>
    <row r="2" spans="1:7" x14ac:dyDescent="0.2">
      <c r="A2" t="s">
        <v>149</v>
      </c>
      <c r="B2" s="6" t="s">
        <v>149</v>
      </c>
      <c r="C2" s="7">
        <v>928.11108403402409</v>
      </c>
      <c r="D2" s="7"/>
      <c r="E2" s="7">
        <f>Table725[[#This Row],[Mil m3 '[2019']]]/1000</f>
        <v>0</v>
      </c>
      <c r="F2" s="14">
        <f>Table725[[#This Row],[TWh '[2019']]]*1000</f>
        <v>9067645.2910124157</v>
      </c>
      <c r="G2" s="3">
        <f>IF(Table725[[#This Row],[Mil m3 '[2019']]]&gt;0,Table725[[#This Row],[Mrd m3 '[2019']2]],Table725[[#This Row],[Mrd m3 '[2019']]])*9.77</f>
        <v>9067.6452910124153</v>
      </c>
    </row>
    <row r="3" spans="1:7" x14ac:dyDescent="0.2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'[2019']]]/1000</f>
        <v>0</v>
      </c>
      <c r="F3" s="2">
        <f>Table725[[#This Row],[TWh '[2019']]]*1000</f>
        <v>2015921.2271311206</v>
      </c>
      <c r="G3" s="3">
        <f>IF(Table725[[#This Row],[Mil m3 '[2019']]]&gt;0,Table725[[#This Row],[Mrd m3 '[2019']2]],Table725[[#This Row],[Mrd m3 '[2019']]])*9.77</f>
        <v>2015.9212271311205</v>
      </c>
    </row>
    <row r="4" spans="1:7" x14ac:dyDescent="0.2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'[2019']]]/1000</f>
        <v>0</v>
      </c>
      <c r="F4" s="2">
        <f>Table725[[#This Row],[TWh '[2019']]]*1000</f>
        <v>1342395.1704105872</v>
      </c>
      <c r="G4" s="3">
        <f>IF(Table725[[#This Row],[Mil m3 '[2019']]]&gt;0,Table725[[#This Row],[Mrd m3 '[2019']2]],Table725[[#This Row],[Mrd m3 '[2019']]])*9.77</f>
        <v>1342.3951704105873</v>
      </c>
    </row>
    <row r="5" spans="1:7" x14ac:dyDescent="0.2">
      <c r="A5" t="s">
        <v>151</v>
      </c>
      <c r="B5" t="s">
        <v>162</v>
      </c>
      <c r="C5">
        <v>34.560890496463003</v>
      </c>
      <c r="E5" s="2">
        <f>Table725[[#This Row],[Mil m3 '[2019']]]/1000</f>
        <v>0</v>
      </c>
      <c r="F5" s="2">
        <f>Table725[[#This Row],[TWh '[2019']]]*1000</f>
        <v>337659.90015044354</v>
      </c>
      <c r="G5" s="3">
        <f>IF(Table725[[#This Row],[Mil m3 '[2019']]]&gt;0,Table725[[#This Row],[Mrd m3 '[2019']2]],Table725[[#This Row],[Mrd m3 '[2019']]])*9.77</f>
        <v>337.65990015044355</v>
      </c>
    </row>
    <row r="6" spans="1:7" x14ac:dyDescent="0.2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'[2019']]]/1000</f>
        <v>0</v>
      </c>
      <c r="F6" s="2">
        <f>Table725[[#This Row],[TWh '[2019']]]*1000</f>
        <v>4728284.2219143603</v>
      </c>
      <c r="G6" s="3">
        <f>IF(Table725[[#This Row],[Mil m3 '[2019']]]&gt;0,Table725[[#This Row],[Mrd m3 '[2019']2]],Table725[[#This Row],[Mrd m3 '[2019']]])*9.77</f>
        <v>4728.2842219143604</v>
      </c>
    </row>
    <row r="7" spans="1:7" x14ac:dyDescent="0.2">
      <c r="A7" t="s">
        <v>153</v>
      </c>
      <c r="B7" t="s">
        <v>174</v>
      </c>
      <c r="C7">
        <v>177.152465500793</v>
      </c>
      <c r="E7" s="2">
        <f>Table725[[#This Row],[Mil m3 '[2019']]]/1000</f>
        <v>0</v>
      </c>
      <c r="F7" s="2">
        <f>Table725[[#This Row],[TWh '[2019']]]*1000</f>
        <v>1730779.5879427476</v>
      </c>
      <c r="G7" s="3">
        <f>IF(Table725[[#This Row],[Mil m3 '[2019']]]&gt;0,Table725[[#This Row],[Mrd m3 '[2019']2]],Table725[[#This Row],[Mrd m3 '[2019']]])*9.77</f>
        <v>1730.7795879427476</v>
      </c>
    </row>
    <row r="8" spans="1:7" x14ac:dyDescent="0.2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'[2019']]]/1000</f>
        <v>0</v>
      </c>
      <c r="F8" s="2">
        <f>Table725[[#This Row],[TWh '[2019']]]*1000</f>
        <v>740967.62792825396</v>
      </c>
      <c r="G8" s="3">
        <f>IF(Table725[[#This Row],[Mil m3 '[2019']]]&gt;0,Table725[[#This Row],[Mrd m3 '[2019']2]],Table725[[#This Row],[Mrd m3 '[2019']]])*9.77</f>
        <v>740.96762792825393</v>
      </c>
    </row>
    <row r="9" spans="1:7" x14ac:dyDescent="0.2">
      <c r="A9" t="s">
        <v>96</v>
      </c>
      <c r="B9" t="s">
        <v>175</v>
      </c>
      <c r="C9" s="2">
        <v>0.09</v>
      </c>
      <c r="E9" s="2">
        <f>Table725[[#This Row],[Mil m3 '[2019']]]/1000</f>
        <v>0</v>
      </c>
      <c r="F9" s="2">
        <f>Table725[[#This Row],[TWh '[2019']]]*1000</f>
        <v>879.3</v>
      </c>
      <c r="G9" s="3">
        <f>IF(Table725[[#This Row],[Mil m3 '[2019']]]&gt;0,Table725[[#This Row],[Mrd m3 '[2019']2]],Table725[[#This Row],[Mrd m3 '[2019']]])*9.77</f>
        <v>0.87929999999999997</v>
      </c>
    </row>
    <row r="10" spans="1:7" x14ac:dyDescent="0.2">
      <c r="A10" t="s">
        <v>155</v>
      </c>
      <c r="B10" t="s">
        <v>165</v>
      </c>
      <c r="C10">
        <v>146.10238801538463</v>
      </c>
      <c r="E10" s="2">
        <f>Table725[[#This Row],[Mil m3 '[2019']]]/1000</f>
        <v>0</v>
      </c>
      <c r="F10" s="2">
        <f>Table725[[#This Row],[TWh '[2019']]]*1000</f>
        <v>1427420.3309103078</v>
      </c>
      <c r="G10" s="3">
        <f>IF(Table725[[#This Row],[Mil m3 '[2019']]]&gt;0,Table725[[#This Row],[Mrd m3 '[2019']2]],Table725[[#This Row],[Mrd m3 '[2019']]])*9.77</f>
        <v>1427.4203309103077</v>
      </c>
    </row>
    <row r="11" spans="1:7" x14ac:dyDescent="0.2">
      <c r="A11" t="s">
        <v>156</v>
      </c>
      <c r="B11" t="s">
        <v>166</v>
      </c>
      <c r="C11">
        <v>176.74144542772859</v>
      </c>
      <c r="E11" s="2">
        <f>Table725[[#This Row],[Mil m3 '[2019']]]/1000</f>
        <v>0</v>
      </c>
      <c r="F11" s="2">
        <f>Table725[[#This Row],[TWh '[2019']]]*1000</f>
        <v>1726763.9218289081</v>
      </c>
      <c r="G11" s="3">
        <f>IF(Table725[[#This Row],[Mil m3 '[2019']]]&gt;0,Table725[[#This Row],[Mrd m3 '[2019']2]],Table725[[#This Row],[Mrd m3 '[2019']]])*9.77</f>
        <v>1726.7639218289082</v>
      </c>
    </row>
    <row r="12" spans="1:7" x14ac:dyDescent="0.2">
      <c r="A12" t="s">
        <v>157</v>
      </c>
      <c r="B12" t="s">
        <v>167</v>
      </c>
      <c r="C12">
        <v>0</v>
      </c>
      <c r="E12" s="2">
        <f>Table725[[#This Row],[Mil m3 '[2019']]]/1000</f>
        <v>0</v>
      </c>
      <c r="F12" s="2">
        <f>Table725[[#This Row],[TWh '[2019']]]*1000</f>
        <v>0</v>
      </c>
      <c r="G12" s="3">
        <f>IF(Table725[[#This Row],[Mil m3 '[2019']]]&gt;0,Table725[[#This Row],[Mrd m3 '[2019']2]],Table725[[#This Row],[Mrd m3 '[2019']]])*9.77</f>
        <v>0</v>
      </c>
    </row>
    <row r="13" spans="1:7" x14ac:dyDescent="0.2">
      <c r="A13" t="s">
        <v>158</v>
      </c>
      <c r="B13" t="s">
        <v>168</v>
      </c>
      <c r="C13">
        <v>26.905523886957724</v>
      </c>
      <c r="E13" s="2">
        <f>Table725[[#This Row],[Mil m3 '[2019']]]/1000</f>
        <v>0</v>
      </c>
      <c r="F13" s="2">
        <f>Table725[[#This Row],[TWh '[2019']]]*1000</f>
        <v>262866.96837557695</v>
      </c>
      <c r="G13" s="3">
        <f>IF(Table725[[#This Row],[Mil m3 '[2019']]]&gt;0,Table725[[#This Row],[Mrd m3 '[2019']2]],Table725[[#This Row],[Mrd m3 '[2019']]])*9.77</f>
        <v>262.86696837557696</v>
      </c>
    </row>
    <row r="14" spans="1:7" x14ac:dyDescent="0.2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'[2019']]]/1000</f>
        <v>0</v>
      </c>
      <c r="F14" s="2">
        <f>Table725[[#This Row],[TWh '[2019']]]*1000</f>
        <v>1599437.4243825455</v>
      </c>
      <c r="G14" s="3">
        <f>IF(Table725[[#This Row],[Mil m3 '[2019']]]&gt;0,Table725[[#This Row],[Mrd m3 '[2019']2]],Table725[[#This Row],[Mrd m3 '[2019']]])*9.77</f>
        <v>1599.4374243825455</v>
      </c>
    </row>
    <row r="15" spans="1:7" x14ac:dyDescent="0.2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'[2019']]]/1000</f>
        <v>0</v>
      </c>
      <c r="F15" s="2">
        <f>Table725[[#This Row],[TWh '[2019']]]*1000</f>
        <v>2139166.6848532795</v>
      </c>
      <c r="G15" s="3">
        <f>IF(Table725[[#This Row],[Mil m3 '[2019']]]&gt;0,Table725[[#This Row],[Mrd m3 '[2019']2]],Table725[[#This Row],[Mrd m3 '[2019']]])*9.77</f>
        <v>2139.1666848532795</v>
      </c>
    </row>
    <row r="16" spans="1:7" x14ac:dyDescent="0.2">
      <c r="A16" t="s">
        <v>177</v>
      </c>
      <c r="B16" t="s">
        <v>178</v>
      </c>
      <c r="C16">
        <v>64.938748950195304</v>
      </c>
      <c r="E16" s="2">
        <f>Table725[[#This Row],[Mil m3 '[2019']]]/1000</f>
        <v>0</v>
      </c>
      <c r="F16" s="2">
        <f>Table725[[#This Row],[TWh '[2019']]]*1000</f>
        <v>634451.57724340807</v>
      </c>
      <c r="G16" s="3">
        <f>IF(Table725[[#This Row],[Mil m3 '[2019']]]&gt;0,Table725[[#This Row],[Mrd m3 '[2019']2]],Table725[[#This Row],[Mrd m3 '[2019']]])*9.77</f>
        <v>634.45157724340811</v>
      </c>
    </row>
    <row r="17" spans="1:7" x14ac:dyDescent="0.2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'[2019']]]/1000</f>
        <v>0</v>
      </c>
      <c r="F17" s="2">
        <f>Table725[[#This Row],[TWh '[2019']]]*1000</f>
        <v>1417278.0823587528</v>
      </c>
      <c r="G17" s="3">
        <f>IF(Table725[[#This Row],[Mil m3 '[2019']]]&gt;0,Table725[[#This Row],[Mrd m3 '[2019']2]],Table725[[#This Row],[Mrd m3 '[2019']]])*9.77</f>
        <v>1417.278082358753</v>
      </c>
    </row>
    <row r="20" spans="1:7" x14ac:dyDescent="0.2">
      <c r="A20" t="s">
        <v>132</v>
      </c>
    </row>
    <row r="21" spans="1:7" x14ac:dyDescent="0.2">
      <c r="A21" s="16" t="s">
        <v>319</v>
      </c>
      <c r="B21" t="s">
        <v>273</v>
      </c>
      <c r="C21" t="s">
        <v>320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3" workbookViewId="0">
      <selection activeCell="C37" sqref="C37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14" x14ac:dyDescent="0.2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 x14ac:dyDescent="0.2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 x14ac:dyDescent="0.2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 x14ac:dyDescent="0.2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 x14ac:dyDescent="0.2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 x14ac:dyDescent="0.2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 x14ac:dyDescent="0.2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 x14ac:dyDescent="0.2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 x14ac:dyDescent="0.2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 x14ac:dyDescent="0.2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 x14ac:dyDescent="0.2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 x14ac:dyDescent="0.2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 x14ac:dyDescent="0.2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 x14ac:dyDescent="0.2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 x14ac:dyDescent="0.2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 x14ac:dyDescent="0.2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 x14ac:dyDescent="0.2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 x14ac:dyDescent="0.2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 x14ac:dyDescent="0.2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 x14ac:dyDescent="0.2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 x14ac:dyDescent="0.2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 x14ac:dyDescent="0.2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 x14ac:dyDescent="0.2">
      <c r="E45" s="2"/>
      <c r="F45" s="2"/>
    </row>
    <row r="47" spans="1:14" x14ac:dyDescent="0.2">
      <c r="A47" t="s">
        <v>132</v>
      </c>
    </row>
    <row r="48" spans="1:14" x14ac:dyDescent="0.2">
      <c r="A48" t="s">
        <v>79</v>
      </c>
      <c r="B48" t="s">
        <v>89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 x14ac:dyDescent="0.2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 x14ac:dyDescent="0.2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 x14ac:dyDescent="0.2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 x14ac:dyDescent="0.2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 x14ac:dyDescent="0.2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 x14ac:dyDescent="0.2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 x14ac:dyDescent="0.2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 x14ac:dyDescent="0.2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 x14ac:dyDescent="0.2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 x14ac:dyDescent="0.2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 x14ac:dyDescent="0.2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 x14ac:dyDescent="0.2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 x14ac:dyDescent="0.2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 x14ac:dyDescent="0.2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 x14ac:dyDescent="0.2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 x14ac:dyDescent="0.2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 x14ac:dyDescent="0.2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 x14ac:dyDescent="0.2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 x14ac:dyDescent="0.2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 x14ac:dyDescent="0.2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 x14ac:dyDescent="0.2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 x14ac:dyDescent="0.2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 x14ac:dyDescent="0.2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 x14ac:dyDescent="0.2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 x14ac:dyDescent="0.2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 x14ac:dyDescent="0.2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 x14ac:dyDescent="0.2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 x14ac:dyDescent="0.2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 x14ac:dyDescent="0.2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 x14ac:dyDescent="0.2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 x14ac:dyDescent="0.2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 x14ac:dyDescent="0.2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 x14ac:dyDescent="0.2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 x14ac:dyDescent="0.2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 x14ac:dyDescent="0.2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 x14ac:dyDescent="0.2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 x14ac:dyDescent="0.2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 x14ac:dyDescent="0.2">
      <c r="E45" s="2"/>
      <c r="F45" s="2"/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 x14ac:dyDescent="0.2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 x14ac:dyDescent="0.2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 x14ac:dyDescent="0.2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 x14ac:dyDescent="0.2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 x14ac:dyDescent="0.2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 x14ac:dyDescent="0.2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 x14ac:dyDescent="0.2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 x14ac:dyDescent="0.2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 x14ac:dyDescent="0.2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 x14ac:dyDescent="0.2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 x14ac:dyDescent="0.2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 x14ac:dyDescent="0.2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 x14ac:dyDescent="0.2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 x14ac:dyDescent="0.2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 x14ac:dyDescent="0.2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 x14ac:dyDescent="0.2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1" max="11" width="9.1640625" bestFit="1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 x14ac:dyDescent="0.2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 x14ac:dyDescent="0.2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 x14ac:dyDescent="0.2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 x14ac:dyDescent="0.2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 x14ac:dyDescent="0.2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 x14ac:dyDescent="0.2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 x14ac:dyDescent="0.2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 x14ac:dyDescent="0.2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 x14ac:dyDescent="0.2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 x14ac:dyDescent="0.2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 x14ac:dyDescent="0.2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 x14ac:dyDescent="0.2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 x14ac:dyDescent="0.2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 x14ac:dyDescent="0.2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 x14ac:dyDescent="0.2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 x14ac:dyDescent="0.2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 x14ac:dyDescent="0.2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 x14ac:dyDescent="0.2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 x14ac:dyDescent="0.2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 x14ac:dyDescent="0.2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 x14ac:dyDescent="0.2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 x14ac:dyDescent="0.2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 x14ac:dyDescent="0.2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 x14ac:dyDescent="0.2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 x14ac:dyDescent="0.2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 x14ac:dyDescent="0.2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 x14ac:dyDescent="0.2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 x14ac:dyDescent="0.2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 x14ac:dyDescent="0.2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 x14ac:dyDescent="0.2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 x14ac:dyDescent="0.2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 x14ac:dyDescent="0.2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 x14ac:dyDescent="0.2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 x14ac:dyDescent="0.2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 x14ac:dyDescent="0.2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 x14ac:dyDescent="0.2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 x14ac:dyDescent="0.2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 x14ac:dyDescent="0.2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 x14ac:dyDescent="0.2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 x14ac:dyDescent="0.2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 x14ac:dyDescent="0.2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 x14ac:dyDescent="0.2">
      <c r="C45" s="3">
        <f>C44-C37-C31-C3-C21-C5</f>
        <v>181.00000000000011</v>
      </c>
      <c r="E45" s="2"/>
      <c r="F45" s="2"/>
    </row>
    <row r="46" spans="1:14" x14ac:dyDescent="0.2">
      <c r="A46" t="s">
        <v>295</v>
      </c>
      <c r="B46" t="s">
        <v>296</v>
      </c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1" max="11" width="9.1640625" bestFit="1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 x14ac:dyDescent="0.2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 x14ac:dyDescent="0.2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 x14ac:dyDescent="0.2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 x14ac:dyDescent="0.2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 x14ac:dyDescent="0.2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 x14ac:dyDescent="0.2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 x14ac:dyDescent="0.2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 x14ac:dyDescent="0.2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 x14ac:dyDescent="0.2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 x14ac:dyDescent="0.2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 x14ac:dyDescent="0.2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 x14ac:dyDescent="0.2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 x14ac:dyDescent="0.2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 x14ac:dyDescent="0.2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 x14ac:dyDescent="0.2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 x14ac:dyDescent="0.2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 x14ac:dyDescent="0.2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 x14ac:dyDescent="0.2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 x14ac:dyDescent="0.2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 x14ac:dyDescent="0.2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 x14ac:dyDescent="0.2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 x14ac:dyDescent="0.2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 x14ac:dyDescent="0.2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 x14ac:dyDescent="0.2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 x14ac:dyDescent="0.2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 x14ac:dyDescent="0.2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 x14ac:dyDescent="0.2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 x14ac:dyDescent="0.2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 x14ac:dyDescent="0.2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 x14ac:dyDescent="0.2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 x14ac:dyDescent="0.2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 x14ac:dyDescent="0.2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 x14ac:dyDescent="0.2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 x14ac:dyDescent="0.2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 x14ac:dyDescent="0.2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 x14ac:dyDescent="0.2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 x14ac:dyDescent="0.2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 x14ac:dyDescent="0.2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 x14ac:dyDescent="0.2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 x14ac:dyDescent="0.2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 x14ac:dyDescent="0.2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 x14ac:dyDescent="0.2">
      <c r="C45" s="3">
        <f>C44-C37-C31-C3-C21-C5</f>
        <v>126.9999999999999</v>
      </c>
      <c r="E45" s="2"/>
      <c r="F45" s="2"/>
    </row>
    <row r="46" spans="1:14" x14ac:dyDescent="0.2">
      <c r="A46" t="s">
        <v>295</v>
      </c>
      <c r="B46" t="s">
        <v>296</v>
      </c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 x14ac:dyDescent="0.2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 x14ac:dyDescent="0.2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 x14ac:dyDescent="0.2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 x14ac:dyDescent="0.2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 x14ac:dyDescent="0.2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 x14ac:dyDescent="0.2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 x14ac:dyDescent="0.2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 x14ac:dyDescent="0.2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 x14ac:dyDescent="0.2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 x14ac:dyDescent="0.2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 x14ac:dyDescent="0.2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 x14ac:dyDescent="0.2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 x14ac:dyDescent="0.2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 x14ac:dyDescent="0.2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 x14ac:dyDescent="0.2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 x14ac:dyDescent="0.2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 x14ac:dyDescent="0.2">
      <c r="A19" t="s">
        <v>295</v>
      </c>
      <c r="B19" t="s">
        <v>296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topLeftCell="A17" workbookViewId="0">
      <selection activeCell="F1" sqref="F1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3" width="15" customWidth="1"/>
    <col min="4" max="4" width="12" customWidth="1"/>
    <col min="5" max="5" width="22.1640625" customWidth="1"/>
    <col min="14" max="14" width="11.83203125" bestFit="1" customWidth="1"/>
  </cols>
  <sheetData>
    <row r="1" spans="1:7" x14ac:dyDescent="0.2">
      <c r="A1" t="s">
        <v>16</v>
      </c>
      <c r="B1" t="s">
        <v>55</v>
      </c>
      <c r="C1" t="s">
        <v>315</v>
      </c>
      <c r="D1" t="s">
        <v>318</v>
      </c>
      <c r="E1" t="s">
        <v>323</v>
      </c>
      <c r="F1" t="s">
        <v>118</v>
      </c>
      <c r="G1" t="s">
        <v>317</v>
      </c>
    </row>
    <row r="2" spans="1:7" x14ac:dyDescent="0.2">
      <c r="A2" t="s">
        <v>41</v>
      </c>
      <c r="B2" t="s">
        <v>73</v>
      </c>
      <c r="C2" s="2"/>
      <c r="D2">
        <f>Table126[[#This Row],[Mrd m3 '[2019']]]*9.77*-1</f>
        <v>0</v>
      </c>
      <c r="E2">
        <v>2862.4</v>
      </c>
      <c r="F2">
        <f>IF(Table126[[#This Row],[TWh '[2019']]]=0,$D$27*(E2/$E$27),0)</f>
        <v>-7.7379100801224432</v>
      </c>
      <c r="G2">
        <f>MIN(Table126[[#This Row],[TWh '[2019']]],Table126[[#This Row],[TWh by share]])*1000</f>
        <v>-7737.9100801224431</v>
      </c>
    </row>
    <row r="3" spans="1:7" x14ac:dyDescent="0.2">
      <c r="A3" t="s">
        <v>20</v>
      </c>
      <c r="B3" t="s">
        <v>57</v>
      </c>
      <c r="C3" s="2">
        <v>8.9004410370900011</v>
      </c>
      <c r="D3">
        <f>Table126[[#This Row],[Mrd m3 '[2019']]]*9.77*-1</f>
        <v>-86.957308932369301</v>
      </c>
      <c r="E3">
        <v>8858.7999999999993</v>
      </c>
      <c r="F3">
        <f>IF(Table126[[#This Row],[TWh '[2019']]]=0,$D$27*(E3/$E$27),0)</f>
        <v>0</v>
      </c>
      <c r="G3">
        <f>MIN(Table126[[#This Row],[TWh '[2019']]],Table126[[#This Row],[TWh by share]])*1000</f>
        <v>-86957.308932369298</v>
      </c>
    </row>
    <row r="4" spans="1:7" x14ac:dyDescent="0.2">
      <c r="A4" t="s">
        <v>17</v>
      </c>
      <c r="B4" t="s">
        <v>0</v>
      </c>
      <c r="C4" s="2">
        <v>17.386897499999996</v>
      </c>
      <c r="D4">
        <f>Table126[[#This Row],[Mrd m3 '[2019']]]*9.77*-1</f>
        <v>-169.86998857499995</v>
      </c>
      <c r="E4">
        <v>11455.5</v>
      </c>
      <c r="F4">
        <f>IF(Table126[[#This Row],[TWh '[2019']]]=0,$D$27*(E4/$E$27),0)</f>
        <v>0</v>
      </c>
      <c r="G4">
        <f>MIN(Table126[[#This Row],[TWh '[2019']]],Table126[[#This Row],[TWh by share]])*1000</f>
        <v>-169869.98857499994</v>
      </c>
    </row>
    <row r="5" spans="1:7" x14ac:dyDescent="0.2">
      <c r="A5" t="s">
        <v>44</v>
      </c>
      <c r="B5" t="s">
        <v>75</v>
      </c>
      <c r="C5" s="2"/>
      <c r="D5">
        <f>Table126[[#This Row],[Mrd m3 '[2019']]]*9.77*-1</f>
        <v>0</v>
      </c>
      <c r="E5">
        <v>3492</v>
      </c>
      <c r="F5">
        <f>IF(Table126[[#This Row],[TWh '[2019']]]=0,$D$27*(E5/$E$27),0)</f>
        <v>-9.4399042760577032</v>
      </c>
      <c r="G5">
        <v>-5110</v>
      </c>
    </row>
    <row r="6" spans="1:7" x14ac:dyDescent="0.2">
      <c r="A6" t="s">
        <v>32</v>
      </c>
      <c r="B6" t="s">
        <v>64</v>
      </c>
      <c r="C6" s="2">
        <v>2.8308749999999998</v>
      </c>
      <c r="D6">
        <f>Table126[[#This Row],[Mrd m3 '[2019']]]*9.77*-1</f>
        <v>-27.657648749999996</v>
      </c>
      <c r="E6">
        <v>7000</v>
      </c>
      <c r="F6">
        <f>IF(Table126[[#This Row],[TWh '[2019']]]=0,$D$27*(E6/$E$27),0)</f>
        <v>0</v>
      </c>
      <c r="G6">
        <f>MIN(Table126[[#This Row],[TWh '[2019']]],Table126[[#This Row],[TWh by share]])*1000</f>
        <v>-27657.648749999997</v>
      </c>
    </row>
    <row r="7" spans="1:7" x14ac:dyDescent="0.2">
      <c r="A7" t="s">
        <v>24</v>
      </c>
      <c r="B7" t="s">
        <v>5</v>
      </c>
      <c r="C7" s="2">
        <v>2.7981422222222223</v>
      </c>
      <c r="D7">
        <f>Table126[[#This Row],[Mrd m3 '[2019']]]*9.77*-1</f>
        <v>-27.337849511111109</v>
      </c>
      <c r="E7">
        <v>4076.2</v>
      </c>
      <c r="F7">
        <f>IF(Table126[[#This Row],[TWh '[2019']]]=0,$D$27*(E7/$E$27),0)</f>
        <v>0</v>
      </c>
      <c r="G7">
        <f>MIN(Table126[[#This Row],[TWh '[2019']]],Table126[[#This Row],[TWh by share]])*1000</f>
        <v>-27337.849511111108</v>
      </c>
    </row>
    <row r="8" spans="1:7" x14ac:dyDescent="0.2">
      <c r="A8" t="s">
        <v>28</v>
      </c>
      <c r="B8" t="s">
        <v>61</v>
      </c>
      <c r="C8" s="2">
        <v>8.3249499999999976</v>
      </c>
      <c r="D8">
        <f>Table126[[#This Row],[Mrd m3 '[2019']]]*9.77*-1</f>
        <v>-81.334761499999971</v>
      </c>
      <c r="E8">
        <v>10649.8</v>
      </c>
      <c r="F8">
        <f>IF(Table126[[#This Row],[TWh '[2019']]]=0,$D$27*(E8/$E$27),0)</f>
        <v>0</v>
      </c>
      <c r="G8">
        <f>MIN(Table126[[#This Row],[TWh '[2019']]],Table126[[#This Row],[TWh by share]])*1000</f>
        <v>-81334.761499999964</v>
      </c>
    </row>
    <row r="9" spans="1:7" x14ac:dyDescent="0.2">
      <c r="A9" t="s">
        <v>26</v>
      </c>
      <c r="B9" t="s">
        <v>60</v>
      </c>
      <c r="C9" s="2">
        <v>2.8977778452312215</v>
      </c>
      <c r="D9">
        <f>Table126[[#This Row],[Mrd m3 '[2019']]]*9.77*-1</f>
        <v>-28.311289547909034</v>
      </c>
      <c r="E9">
        <v>5806.1</v>
      </c>
      <c r="F9">
        <f>IF(Table126[[#This Row],[TWh '[2019']]]=0,$D$27*(E9/$E$27),0)</f>
        <v>0</v>
      </c>
      <c r="G9">
        <f>MIN(Table126[[#This Row],[TWh '[2019']]],Table126[[#This Row],[TWh by share]])*1000</f>
        <v>-28311.289547909033</v>
      </c>
    </row>
    <row r="10" spans="1:7" x14ac:dyDescent="0.2">
      <c r="A10" t="s">
        <v>53</v>
      </c>
      <c r="B10" t="s">
        <v>66</v>
      </c>
      <c r="C10" s="2">
        <v>0.46605538888888887</v>
      </c>
      <c r="D10">
        <f>Table126[[#This Row],[Mrd m3 '[2019']]]*9.77*-1</f>
        <v>-4.5533611494444441</v>
      </c>
      <c r="E10">
        <v>1324.8</v>
      </c>
      <c r="F10">
        <f>IF(Table126[[#This Row],[TWh '[2019']]]=0,$D$27*(E10/$E$27),0)</f>
        <v>0</v>
      </c>
      <c r="G10">
        <f>MIN(Table126[[#This Row],[TWh '[2019']]],Table126[[#This Row],[TWh by share]])*1000</f>
        <v>-4553.361149444444</v>
      </c>
    </row>
    <row r="11" spans="1:7" x14ac:dyDescent="0.2">
      <c r="A11" t="s">
        <v>54</v>
      </c>
      <c r="B11" t="s">
        <v>85</v>
      </c>
      <c r="C11" s="2">
        <v>2.0338333333333334</v>
      </c>
      <c r="D11">
        <f>Table126[[#This Row],[Mrd m3 '[2019']]]*9.77*-1</f>
        <v>-19.870551666666668</v>
      </c>
      <c r="E11">
        <v>5517.9</v>
      </c>
      <c r="F11">
        <f>IF(Table126[[#This Row],[TWh '[2019']]]=0,$D$27*(E11/$E$27),0)</f>
        <v>0</v>
      </c>
      <c r="G11">
        <f>MIN(Table126[[#This Row],[TWh '[2019']]],Table126[[#This Row],[TWh by share]])*1000</f>
        <v>-19870.551666666666</v>
      </c>
    </row>
    <row r="12" spans="1:7" x14ac:dyDescent="0.2">
      <c r="A12" t="s">
        <v>25</v>
      </c>
      <c r="B12" t="s">
        <v>2</v>
      </c>
      <c r="C12" s="2">
        <v>43.662042325000002</v>
      </c>
      <c r="D12">
        <f>Table126[[#This Row],[Mrd m3 '[2019']]]*9.77*-1</f>
        <v>-426.57815351524999</v>
      </c>
      <c r="E12">
        <v>67012.899999999994</v>
      </c>
      <c r="F12">
        <f>IF(Table126[[#This Row],[TWh '[2019']]]=0,$D$27*(E12/$E$27),0)</f>
        <v>0</v>
      </c>
      <c r="G12">
        <f>MIN(Table126[[#This Row],[TWh '[2019']]],Table126[[#This Row],[TWh by share]])*1000</f>
        <v>-426578.15351525001</v>
      </c>
    </row>
    <row r="13" spans="1:7" x14ac:dyDescent="0.2">
      <c r="A13" t="s">
        <v>19</v>
      </c>
      <c r="B13" t="s">
        <v>56</v>
      </c>
      <c r="C13" s="2">
        <v>89.283027777777761</v>
      </c>
      <c r="D13">
        <f>Table126[[#This Row],[Mrd m3 '[2019']]]*9.77*-1</f>
        <v>-872.29518138888864</v>
      </c>
      <c r="E13">
        <v>83019.199999999997</v>
      </c>
      <c r="F13">
        <f>IF(Table126[[#This Row],[TWh '[2019']]]=0,$D$27*(E13/$E$27),0)</f>
        <v>0</v>
      </c>
      <c r="G13">
        <f>MIN(Table126[[#This Row],[TWh '[2019']]],Table126[[#This Row],[TWh by share]])*1000</f>
        <v>-872295.18138888862</v>
      </c>
    </row>
    <row r="14" spans="1:7" x14ac:dyDescent="0.2">
      <c r="A14" t="s">
        <v>264</v>
      </c>
      <c r="B14" t="s">
        <v>3</v>
      </c>
      <c r="C14" s="2">
        <v>5.7583000000000002</v>
      </c>
      <c r="D14">
        <f>Table126[[#This Row],[Mrd m3 '[2019']]]*9.77*-1</f>
        <v>-56.258591000000003</v>
      </c>
      <c r="E14">
        <v>10724.6</v>
      </c>
      <c r="F14">
        <f>IF(Table126[[#This Row],[TWh '[2019']]]=0,$D$27*(E14/$E$27),0)</f>
        <v>0</v>
      </c>
      <c r="G14">
        <f>MIN(Table126[[#This Row],[TWh '[2019']]],Table126[[#This Row],[TWh by share]])*1000</f>
        <v>-56258.591</v>
      </c>
    </row>
    <row r="15" spans="1:7" x14ac:dyDescent="0.2">
      <c r="A15" t="s">
        <v>30</v>
      </c>
      <c r="B15" t="s">
        <v>63</v>
      </c>
      <c r="C15" s="2">
        <v>9.8440000000000012</v>
      </c>
      <c r="D15">
        <f>Table126[[#This Row],[Mrd m3 '[2019']]]*9.77*-1</f>
        <v>-96.175880000000006</v>
      </c>
      <c r="E15">
        <v>9772.7999999999993</v>
      </c>
      <c r="F15">
        <f>IF(Table126[[#This Row],[TWh '[2019']]]=0,$D$27*(E15/$E$27),0)</f>
        <v>0</v>
      </c>
      <c r="G15">
        <f>MIN(Table126[[#This Row],[TWh '[2019']]],Table126[[#This Row],[TWh by share]])*1000</f>
        <v>-96175.88</v>
      </c>
    </row>
    <row r="16" spans="1:7" x14ac:dyDescent="0.2">
      <c r="A16" t="s">
        <v>43</v>
      </c>
      <c r="B16" t="s">
        <v>74</v>
      </c>
      <c r="C16" s="2">
        <v>5.3158846996854026</v>
      </c>
      <c r="D16">
        <f>Table126[[#This Row],[Mrd m3 '[2019']]]*9.77*-1</f>
        <v>-51.936193515926384</v>
      </c>
      <c r="E16">
        <v>4904.2</v>
      </c>
      <c r="F16">
        <f>IF(Table126[[#This Row],[TWh '[2019']]]=0,$D$27*(E16/$E$27),0)</f>
        <v>0</v>
      </c>
      <c r="G16">
        <f>MIN(Table126[[#This Row],[TWh '[2019']]],Table126[[#This Row],[TWh by share]])*1000</f>
        <v>-51936.193515926381</v>
      </c>
    </row>
    <row r="17" spans="1:7" x14ac:dyDescent="0.2">
      <c r="A17" t="s">
        <v>21</v>
      </c>
      <c r="B17" t="s">
        <v>4</v>
      </c>
      <c r="C17" s="2">
        <v>70.790614719901285</v>
      </c>
      <c r="D17">
        <f>Table126[[#This Row],[Mrd m3 '[2019']]]*9.77*-1</f>
        <v>-691.62430581343551</v>
      </c>
      <c r="E17">
        <v>60359.5</v>
      </c>
      <c r="F17">
        <f>IF(Table126[[#This Row],[TWh '[2019']]]=0,$D$27*(E17/$E$27),0)</f>
        <v>0</v>
      </c>
      <c r="G17">
        <f>MIN(Table126[[#This Row],[TWh '[2019']]],Table126[[#This Row],[TWh by share]])*1000</f>
        <v>-691624.30581343547</v>
      </c>
    </row>
    <row r="18" spans="1:7" x14ac:dyDescent="0.2">
      <c r="A18" t="s">
        <v>35</v>
      </c>
      <c r="B18" t="s">
        <v>65</v>
      </c>
      <c r="C18" s="2">
        <v>1.3118874999999999</v>
      </c>
      <c r="D18">
        <f>Table126[[#This Row],[Mrd m3 '[2019']]]*9.77*-1</f>
        <v>-12.817140874999998</v>
      </c>
      <c r="E18">
        <v>1920</v>
      </c>
      <c r="F18">
        <f>IF(Table126[[#This Row],[TWh '[2019']]]=0,$D$27*(E18/$E$27),0)</f>
        <v>0</v>
      </c>
      <c r="G18">
        <f>MIN(Table126[[#This Row],[TWh '[2019']]],Table126[[#This Row],[TWh by share]])*1000</f>
        <v>-12817.140874999997</v>
      </c>
    </row>
    <row r="19" spans="1:7" x14ac:dyDescent="0.2">
      <c r="A19" t="s">
        <v>34</v>
      </c>
      <c r="B19" t="s">
        <v>6</v>
      </c>
      <c r="C19" s="2">
        <v>2.1571560000000001</v>
      </c>
      <c r="D19">
        <f>Table126[[#This Row],[Mrd m3 '[2019']]]*9.77*-1</f>
        <v>-21.075414120000001</v>
      </c>
      <c r="E19">
        <v>2794.2</v>
      </c>
      <c r="F19">
        <f>IF(Table126[[#This Row],[TWh '[2019']]]=0,$D$27*(E19/$E$27),0)</f>
        <v>0</v>
      </c>
      <c r="G19">
        <f>MIN(Table126[[#This Row],[TWh '[2019']]],Table126[[#This Row],[TWh by share]])*1000</f>
        <v>-21075.414120000001</v>
      </c>
    </row>
    <row r="20" spans="1:7" x14ac:dyDescent="0.2">
      <c r="A20" t="s">
        <v>42</v>
      </c>
      <c r="B20" t="s">
        <v>70</v>
      </c>
      <c r="C20" s="2">
        <v>0.79555880000000001</v>
      </c>
      <c r="D20">
        <f>Table126[[#This Row],[Mrd m3 '[2019']]]*9.77*-1</f>
        <v>-7.7726094759999995</v>
      </c>
      <c r="E20">
        <v>613</v>
      </c>
      <c r="F20">
        <f>IF(Table126[[#This Row],[TWh '[2019']]]=0,$D$27*(E20/$E$27),0)</f>
        <v>0</v>
      </c>
      <c r="G20">
        <f>MIN(Table126[[#This Row],[TWh '[2019']]],Table126[[#This Row],[TWh by share]])*1000</f>
        <v>-7772.6094759999996</v>
      </c>
    </row>
    <row r="21" spans="1:7" x14ac:dyDescent="0.2">
      <c r="A21" t="s">
        <v>110</v>
      </c>
      <c r="B21" t="s">
        <v>91</v>
      </c>
      <c r="C21" s="2"/>
      <c r="D21">
        <f>Table126[[#This Row],[Mrd m3 '[2019']]]*9.77*-1</f>
        <v>0</v>
      </c>
      <c r="E21">
        <v>493.6</v>
      </c>
      <c r="F21">
        <f>IF(Table126[[#This Row],[TWh '[2019']]]=0,$D$27*(E21/$E$27),0)</f>
        <v>-1.3343461485286605</v>
      </c>
      <c r="G21">
        <f>MIN(Table126[[#This Row],[TWh '[2019']]],Table126[[#This Row],[TWh by share]])*1000</f>
        <v>-1334.3461485286605</v>
      </c>
    </row>
    <row r="22" spans="1:7" x14ac:dyDescent="0.2">
      <c r="A22" t="s">
        <v>39</v>
      </c>
      <c r="B22" t="s">
        <v>68</v>
      </c>
      <c r="C22" s="2"/>
      <c r="D22">
        <f>Table126[[#This Row],[Mrd m3 '[2019']]]*9.77*-1</f>
        <v>0</v>
      </c>
      <c r="E22" s="17">
        <v>2729.634</v>
      </c>
      <c r="F22">
        <f>IF(Table126[[#This Row],[TWh '[2019']]]=0,$D$27*(E22/$E$27),0)</f>
        <v>-7.3790044870196141</v>
      </c>
      <c r="G22">
        <f>MIN(Table126[[#This Row],[TWh '[2019']]],Table126[[#This Row],[TWh by share]])*1000</f>
        <v>-7379.0044870196143</v>
      </c>
    </row>
    <row r="23" spans="1:7" x14ac:dyDescent="0.2">
      <c r="B23" t="s">
        <v>111</v>
      </c>
      <c r="C23" s="2"/>
      <c r="D23">
        <f>Table126[[#This Row],[Mrd m3 '[2019']]]*9.77*-1</f>
        <v>0</v>
      </c>
      <c r="E23">
        <v>622.20000000000005</v>
      </c>
      <c r="F23">
        <f>IF(Table126[[#This Row],[TWh '[2019']]]=0,$D$27*(E23/$E$27),0)</f>
        <v>-1.6819898168851957</v>
      </c>
      <c r="G23">
        <f>MIN(Table126[[#This Row],[TWh '[2019']]],Table126[[#This Row],[TWh by share]])*1000</f>
        <v>-1681.9898168851958</v>
      </c>
    </row>
    <row r="24" spans="1:7" x14ac:dyDescent="0.2">
      <c r="A24" t="s">
        <v>18</v>
      </c>
      <c r="B24" t="s">
        <v>7</v>
      </c>
      <c r="C24" s="2">
        <v>37.161111111111111</v>
      </c>
      <c r="D24">
        <f>Table126[[#This Row],[Mrd m3 '[2019']]]*9.77*-1</f>
        <v>-363.06405555555557</v>
      </c>
      <c r="E24">
        <v>17282.2</v>
      </c>
      <c r="F24">
        <f>IF(Table126[[#This Row],[TWh '[2019']]]=0,$D$27*(E24/$E$27),0)</f>
        <v>0</v>
      </c>
      <c r="G24">
        <f>MIN(Table126[[#This Row],[TWh '[2019']]],Table126[[#This Row],[TWh by share]])*1000</f>
        <v>-363064.05555555556</v>
      </c>
    </row>
    <row r="25" spans="1:7" x14ac:dyDescent="0.2">
      <c r="A25" t="s">
        <v>45</v>
      </c>
      <c r="B25" t="s">
        <v>76</v>
      </c>
      <c r="C25" s="2">
        <v>0.28388059279900002</v>
      </c>
      <c r="D25">
        <f>Table126[[#This Row],[Mrd m3 '[2019']]]*9.77*-1</f>
        <v>-2.77351339164623</v>
      </c>
      <c r="E25">
        <v>2077.1</v>
      </c>
      <c r="F25">
        <f>IF(Table126[[#This Row],[TWh '[2019']]]=0,$D$27*(E25/$E$27),0)</f>
        <v>0</v>
      </c>
      <c r="G25">
        <f>MIN(Table126[[#This Row],[TWh '[2019']]],Table126[[#This Row],[TWh by share]])*1000</f>
        <v>-2773.51339164623</v>
      </c>
    </row>
    <row r="26" spans="1:7" x14ac:dyDescent="0.2">
      <c r="A26" t="s">
        <v>48</v>
      </c>
      <c r="B26" t="s">
        <v>71</v>
      </c>
      <c r="C26" s="2">
        <v>4.6099329058774998</v>
      </c>
      <c r="D26">
        <f>Table126[[#This Row],[Mrd m3 '[2019']]]*9.77*-1</f>
        <v>-45.039044490423173</v>
      </c>
      <c r="E26">
        <v>5328.2</v>
      </c>
      <c r="F26">
        <f>IF(Table126[[#This Row],[TWh '[2019']]]=0,$D$27*(E26/$E$27),0)</f>
        <v>0</v>
      </c>
      <c r="G26">
        <f>MIN(Table126[[#This Row],[TWh '[2019']]],Table126[[#This Row],[TWh by share]])*1000</f>
        <v>-45039.04449042317</v>
      </c>
    </row>
    <row r="27" spans="1:7" x14ac:dyDescent="0.2">
      <c r="A27" t="s">
        <v>87</v>
      </c>
      <c r="B27" t="s">
        <v>88</v>
      </c>
      <c r="C27" s="2">
        <v>5.4844875306336451</v>
      </c>
      <c r="D27">
        <f>Table126[[#This Row],[Mrd m3 '[2019']]]*9.77*-1</f>
        <v>-53.583443174290707</v>
      </c>
      <c r="E27">
        <f>SUMIF(D2:D26,"=0",E2:E26)+SUMIF(D28:D42,"=0",E28:E42)</f>
        <v>19821.534</v>
      </c>
      <c r="F27">
        <f>IF(Table126[[#This Row],[TWh '[2019']]]=0,$D$27*(E27/$E$27),0)</f>
        <v>0</v>
      </c>
      <c r="G27">
        <f>MIN(Table126[[#This Row],[TWh '[2019']]],Table126[[#This Row],[TWh by share]])*1000</f>
        <v>-53583.443174290704</v>
      </c>
    </row>
    <row r="28" spans="1:7" x14ac:dyDescent="0.2">
      <c r="A28" t="s">
        <v>27</v>
      </c>
      <c r="B28" t="s">
        <v>8</v>
      </c>
      <c r="C28" s="2">
        <v>20.888777777777779</v>
      </c>
      <c r="D28">
        <f>Table126[[#This Row],[Mrd m3 '[2019']]]*9.77*-1</f>
        <v>-204.08335888888888</v>
      </c>
      <c r="E28">
        <v>37972.800000000003</v>
      </c>
      <c r="F28">
        <f>IF(Table126[[#This Row],[TWh '[2019']]]=0,$D$27*(E28/$E$27),0)</f>
        <v>0</v>
      </c>
      <c r="G28">
        <f>MIN(Table126[[#This Row],[TWh '[2019']]],Table126[[#This Row],[TWh by share]])*1000</f>
        <v>-204083.35888888888</v>
      </c>
    </row>
    <row r="29" spans="1:7" x14ac:dyDescent="0.2">
      <c r="A29" t="s">
        <v>37</v>
      </c>
      <c r="B29" t="s">
        <v>1</v>
      </c>
      <c r="C29" s="2">
        <v>6.1350219971505</v>
      </c>
      <c r="D29">
        <f>Table126[[#This Row],[Mrd m3 '[2019']]]*9.77*-1</f>
        <v>-59.939164912160379</v>
      </c>
      <c r="E29">
        <v>10276.6</v>
      </c>
      <c r="F29">
        <f>IF(Table126[[#This Row],[TWh '[2019']]]=0,$D$27*(E29/$E$27),0)</f>
        <v>0</v>
      </c>
      <c r="G29">
        <f>MIN(Table126[[#This Row],[TWh '[2019']]],Table126[[#This Row],[TWh by share]])*1000</f>
        <v>-59939.164912160377</v>
      </c>
    </row>
    <row r="30" spans="1:7" x14ac:dyDescent="0.2">
      <c r="A30" t="s">
        <v>33</v>
      </c>
      <c r="B30" t="s">
        <v>86</v>
      </c>
      <c r="C30" s="2">
        <v>10.774980138888889</v>
      </c>
      <c r="D30">
        <f>Table126[[#This Row],[Mrd m3 '[2019']]]*9.77*-1</f>
        <v>-105.27155595694444</v>
      </c>
      <c r="E30">
        <v>10414.5</v>
      </c>
      <c r="F30">
        <f>IF(Table126[[#This Row],[TWh '[2019']]]=0,$D$27*(E30/$E$27),0)</f>
        <v>0</v>
      </c>
      <c r="G30">
        <f>MIN(Table126[[#This Row],[TWh '[2019']]],Table126[[#This Row],[TWh by share]])*1000</f>
        <v>-105271.55595694444</v>
      </c>
    </row>
    <row r="31" spans="1:7" x14ac:dyDescent="0.2">
      <c r="A31" t="s">
        <v>47</v>
      </c>
      <c r="B31" t="s">
        <v>77</v>
      </c>
      <c r="C31" s="2"/>
      <c r="D31">
        <f>Table126[[#This Row],[Mrd m3 '[2019']]]*9.77*-1</f>
        <v>0</v>
      </c>
      <c r="E31">
        <v>0</v>
      </c>
      <c r="F31">
        <f>IF(Table126[[#This Row],[TWh '[2019']]]=0,$D$27*(E31/$E$27),0)</f>
        <v>0</v>
      </c>
      <c r="G31">
        <f>MIN(Table126[[#This Row],[TWh '[2019']]],Table126[[#This Row],[TWh by share]])*1000</f>
        <v>0</v>
      </c>
    </row>
    <row r="32" spans="1:7" x14ac:dyDescent="0.2">
      <c r="A32" t="s">
        <v>31</v>
      </c>
      <c r="B32" t="s">
        <v>72</v>
      </c>
      <c r="C32" s="2"/>
      <c r="D32">
        <f>Table126[[#This Row],[Mrd m3 '[2019']]]*9.77*-1</f>
        <v>0</v>
      </c>
      <c r="E32">
        <v>6963.8</v>
      </c>
      <c r="F32">
        <f>IF(Table126[[#This Row],[TWh '[2019']]]=0,$D$27*(E32/$E$27),0)</f>
        <v>-18.825202003897662</v>
      </c>
      <c r="G32">
        <f>MIN(Table126[[#This Row],[TWh '[2019']]],Table126[[#This Row],[TWh by share]])*1000</f>
        <v>-18825.202003897663</v>
      </c>
    </row>
    <row r="33" spans="1:7" x14ac:dyDescent="0.2">
      <c r="A33" t="s">
        <v>29</v>
      </c>
      <c r="B33" t="s">
        <v>62</v>
      </c>
      <c r="C33" s="2">
        <v>4.7522778333333342</v>
      </c>
      <c r="D33">
        <f>Table126[[#This Row],[Mrd m3 '[2019']]]*9.77*-1</f>
        <v>-46.429754431666673</v>
      </c>
      <c r="E33">
        <v>5450.4</v>
      </c>
      <c r="F33">
        <f>IF(Table126[[#This Row],[TWh '[2019']]]=0,$D$27*(E33/$E$27),0)</f>
        <v>0</v>
      </c>
      <c r="G33">
        <f>MIN(Table126[[#This Row],[TWh '[2019']]],Table126[[#This Row],[TWh by share]])*1000</f>
        <v>-46429.754431666675</v>
      </c>
    </row>
    <row r="34" spans="1:7" x14ac:dyDescent="0.2">
      <c r="A34" t="s">
        <v>23</v>
      </c>
      <c r="B34" t="s">
        <v>59</v>
      </c>
      <c r="C34" s="2">
        <v>0.85671100001904998</v>
      </c>
      <c r="D34">
        <f>Table126[[#This Row],[Mrd m3 '[2019']]]*9.77*-1</f>
        <v>-8.3700664701861172</v>
      </c>
      <c r="E34">
        <v>2080.9</v>
      </c>
      <c r="F34">
        <f>IF(Table126[[#This Row],[TWh '[2019']]]=0,$D$27*(E34/$E$27),0)</f>
        <v>0</v>
      </c>
      <c r="G34">
        <f>MIN(Table126[[#This Row],[TWh '[2019']]],Table126[[#This Row],[TWh by share]])*1000</f>
        <v>-8370.0664701861169</v>
      </c>
    </row>
    <row r="35" spans="1:7" x14ac:dyDescent="0.2">
      <c r="A35" t="s">
        <v>36</v>
      </c>
      <c r="B35" t="s">
        <v>9</v>
      </c>
      <c r="C35" s="2">
        <v>35.974474240000006</v>
      </c>
      <c r="D35">
        <f>Table126[[#This Row],[Mrd m3 '[2019']]]*9.77*-1</f>
        <v>-351.47061332480007</v>
      </c>
      <c r="E35">
        <v>46937.1</v>
      </c>
      <c r="F35">
        <f>IF(Table126[[#This Row],[TWh '[2019']]]=0,$D$27*(E35/$E$27),0)</f>
        <v>0</v>
      </c>
      <c r="G35">
        <f>MIN(Table126[[#This Row],[TWh '[2019']]],Table126[[#This Row],[TWh by share]])*1000</f>
        <v>-351470.61332480004</v>
      </c>
    </row>
    <row r="36" spans="1:7" x14ac:dyDescent="0.2">
      <c r="A36" t="s">
        <v>82</v>
      </c>
      <c r="B36" t="s">
        <v>83</v>
      </c>
      <c r="C36" s="2">
        <v>1.0279</v>
      </c>
      <c r="D36">
        <f>Table126[[#This Row],[Mrd m3 '[2019']]]*9.77*-1</f>
        <v>-10.042583</v>
      </c>
      <c r="E36">
        <v>10230.200000000001</v>
      </c>
      <c r="F36">
        <f>IF(Table126[[#This Row],[TWh '[2019']]]=0,$D$27*(E36/$E$27),0)</f>
        <v>0</v>
      </c>
      <c r="G36">
        <f>MIN(Table126[[#This Row],[TWh '[2019']]],Table126[[#This Row],[TWh by share]])*1000</f>
        <v>-10042.583000000001</v>
      </c>
    </row>
    <row r="37" spans="1:7" x14ac:dyDescent="0.2">
      <c r="A37" t="s">
        <v>22</v>
      </c>
      <c r="B37" t="s">
        <v>58</v>
      </c>
      <c r="C37" s="2">
        <v>3.4058333333333337</v>
      </c>
      <c r="D37">
        <f>Table126[[#This Row],[Mrd m3 '[2019']]]*9.77*-1</f>
        <v>-33.274991666666672</v>
      </c>
      <c r="E37">
        <v>8544.5</v>
      </c>
      <c r="F37">
        <f>IF(Table126[[#This Row],[TWh '[2019']]]=0,$D$27*(E37/$E$27),0)</f>
        <v>0</v>
      </c>
      <c r="G37">
        <f>MIN(Table126[[#This Row],[TWh '[2019']]],Table126[[#This Row],[TWh by share]])*1000</f>
        <v>-33274.991666666669</v>
      </c>
    </row>
    <row r="38" spans="1:7" x14ac:dyDescent="0.2">
      <c r="A38" t="s">
        <v>46</v>
      </c>
      <c r="B38" t="s">
        <v>10</v>
      </c>
      <c r="C38" s="2">
        <v>43.361345000000007</v>
      </c>
      <c r="D38">
        <f>Table126[[#This Row],[Mrd m3 '[2019']]]*9.77*-1</f>
        <v>-423.64034065000004</v>
      </c>
      <c r="E38">
        <v>82003.899999999994</v>
      </c>
      <c r="F38">
        <f>IF(Table126[[#This Row],[TWh '[2019']]]=0,$D$27*(E38/$E$27),0)</f>
        <v>0</v>
      </c>
      <c r="G38">
        <f>MIN(Table126[[#This Row],[TWh '[2019']]],Table126[[#This Row],[TWh by share]])*1000</f>
        <v>-423640.34065000003</v>
      </c>
    </row>
    <row r="39" spans="1:7" x14ac:dyDescent="0.2">
      <c r="A39" t="s">
        <v>11</v>
      </c>
      <c r="B39" t="s">
        <v>11</v>
      </c>
      <c r="C39" s="2">
        <v>77.873757299999994</v>
      </c>
      <c r="D39">
        <f>Table126[[#This Row],[Mrd m3 '[2019']]]*9.77*-1</f>
        <v>-760.82660882099992</v>
      </c>
      <c r="E39">
        <v>66647.100000000006</v>
      </c>
      <c r="F39">
        <f>IF(Table126[[#This Row],[TWh '[2019']]]=0,$D$27*(E39/$E$27),0)</f>
        <v>0</v>
      </c>
      <c r="G39">
        <f>MIN(Table126[[#This Row],[TWh '[2019']]],Table126[[#This Row],[TWh by share]])*1000</f>
        <v>-760826.60882099997</v>
      </c>
    </row>
    <row r="40" spans="1:7" x14ac:dyDescent="0.2">
      <c r="A40" t="s">
        <v>38</v>
      </c>
      <c r="B40" t="s">
        <v>67</v>
      </c>
      <c r="C40" s="2">
        <v>28.297689282202555</v>
      </c>
      <c r="D40">
        <f>Table126[[#This Row],[Mrd m3 '[2019']]]*9.77*-1</f>
        <v>-276.46842428711892</v>
      </c>
      <c r="E40">
        <v>41983.563999999998</v>
      </c>
      <c r="F40">
        <f>IF(Table126[[#This Row],[TWh '[2019']]]=0,$D$27*(E40/$E$27),0)</f>
        <v>0</v>
      </c>
      <c r="G40">
        <f>MIN(Table126[[#This Row],[TWh '[2019']]],Table126[[#This Row],[TWh by share]])*1000</f>
        <v>-276468.42428711895</v>
      </c>
    </row>
    <row r="41" spans="1:7" x14ac:dyDescent="0.2">
      <c r="A41" t="s">
        <v>108</v>
      </c>
      <c r="B41" t="s">
        <v>109</v>
      </c>
      <c r="C41" s="2"/>
      <c r="D41">
        <f>Table126[[#This Row],[Mrd m3 '[2019']]]*9.77*-1</f>
        <v>0</v>
      </c>
      <c r="E41">
        <v>875.9</v>
      </c>
      <c r="F41">
        <f>IF(Table126[[#This Row],[TWh '[2019']]]=0,$D$27*(E41/$E$27),0)</f>
        <v>-2.3678156229664782</v>
      </c>
      <c r="G41">
        <f>MIN(Table126[[#This Row],[TWh '[2019']]],Table126[[#This Row],[TWh by share]])*1000</f>
        <v>-2367.8156229664783</v>
      </c>
    </row>
    <row r="42" spans="1:7" x14ac:dyDescent="0.2">
      <c r="B42" t="s">
        <v>117</v>
      </c>
      <c r="C42" s="2"/>
      <c r="D42">
        <f>Table126[[#This Row],[Mrd m3 '[2019']]]*9.77*-1</f>
        <v>0</v>
      </c>
      <c r="E42">
        <v>1782</v>
      </c>
      <c r="F42">
        <f>IF(Table126[[#This Row],[TWh '[2019']]]=0,$D$27*(E42/$E$27),0)</f>
        <v>-4.817270738812951</v>
      </c>
      <c r="G42">
        <f>MIN(Table126[[#This Row],[TWh '[2019']]],Table126[[#This Row],[TWh by share]])*1000</f>
        <v>-4817.2707388129511</v>
      </c>
    </row>
    <row r="44" spans="1:7" x14ac:dyDescent="0.2">
      <c r="C44" s="2">
        <f>SUM(Table126[Mrd m3 '[2019']])</f>
        <v>555.44562419225667</v>
      </c>
    </row>
    <row r="50" spans="1:2" x14ac:dyDescent="0.2">
      <c r="A50" t="s">
        <v>132</v>
      </c>
    </row>
    <row r="51" spans="1:2" x14ac:dyDescent="0.2">
      <c r="A51" s="16" t="s">
        <v>112</v>
      </c>
    </row>
    <row r="52" spans="1:2" x14ac:dyDescent="0.2">
      <c r="A52" s="16" t="s">
        <v>113</v>
      </c>
      <c r="B52" t="s">
        <v>114</v>
      </c>
    </row>
    <row r="53" spans="1:2" x14ac:dyDescent="0.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K35" sqref="K35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3" width="15" customWidth="1"/>
    <col min="4" max="4" width="12" customWidth="1"/>
    <col min="5" max="5" width="22.1640625" customWidth="1"/>
    <col min="14" max="14" width="11.83203125" bestFit="1" customWidth="1"/>
  </cols>
  <sheetData>
    <row r="1" spans="1:7" x14ac:dyDescent="0.2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 x14ac:dyDescent="0.2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 x14ac:dyDescent="0.2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 x14ac:dyDescent="0.2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 x14ac:dyDescent="0.2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 x14ac:dyDescent="0.2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 x14ac:dyDescent="0.2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 x14ac:dyDescent="0.2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 x14ac:dyDescent="0.2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 x14ac:dyDescent="0.2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 x14ac:dyDescent="0.2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 x14ac:dyDescent="0.2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 x14ac:dyDescent="0.2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 x14ac:dyDescent="0.2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 x14ac:dyDescent="0.2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 x14ac:dyDescent="0.2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 x14ac:dyDescent="0.2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 x14ac:dyDescent="0.2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 x14ac:dyDescent="0.2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 x14ac:dyDescent="0.2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 x14ac:dyDescent="0.2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 x14ac:dyDescent="0.2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 x14ac:dyDescent="0.2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 x14ac:dyDescent="0.2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 x14ac:dyDescent="0.2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 x14ac:dyDescent="0.2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 x14ac:dyDescent="0.2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 x14ac:dyDescent="0.2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 x14ac:dyDescent="0.2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 x14ac:dyDescent="0.2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 x14ac:dyDescent="0.2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 x14ac:dyDescent="0.2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 x14ac:dyDescent="0.2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 x14ac:dyDescent="0.2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 x14ac:dyDescent="0.2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 x14ac:dyDescent="0.2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 x14ac:dyDescent="0.2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 x14ac:dyDescent="0.2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 x14ac:dyDescent="0.2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 x14ac:dyDescent="0.2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 x14ac:dyDescent="0.2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 x14ac:dyDescent="0.2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 x14ac:dyDescent="0.2">
      <c r="C44" s="2">
        <f>SUM(Table1[Mrd m3 '[2020']])</f>
        <v>541.77584793709366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</cols>
  <sheetData>
    <row r="1" spans="1:7" x14ac:dyDescent="0.2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 x14ac:dyDescent="0.2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 x14ac:dyDescent="0.2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 x14ac:dyDescent="0.2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 x14ac:dyDescent="0.2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 x14ac:dyDescent="0.2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 x14ac:dyDescent="0.2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 x14ac:dyDescent="0.2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 x14ac:dyDescent="0.2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 x14ac:dyDescent="0.2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 x14ac:dyDescent="0.2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 x14ac:dyDescent="0.2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 x14ac:dyDescent="0.2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 x14ac:dyDescent="0.2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 x14ac:dyDescent="0.2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baseColWidth="10" defaultColWidth="8.83203125" defaultRowHeight="15" x14ac:dyDescent="0.2"/>
  <cols>
    <col min="1" max="1" width="9.5" customWidth="1"/>
    <col min="2" max="4" width="20.33203125" customWidth="1"/>
    <col min="5" max="5" width="15" customWidth="1"/>
    <col min="6" max="6" width="12" customWidth="1"/>
    <col min="7" max="7" width="22.1640625" customWidth="1"/>
    <col min="8" max="8" width="10.5" bestFit="1" customWidth="1"/>
    <col min="9" max="10" width="10.5" customWidth="1"/>
  </cols>
  <sheetData>
    <row r="1" spans="1:12" x14ac:dyDescent="0.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 x14ac:dyDescent="0.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 x14ac:dyDescent="0.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 x14ac:dyDescent="0.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 x14ac:dyDescent="0.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 x14ac:dyDescent="0.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 x14ac:dyDescent="0.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 x14ac:dyDescent="0.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 x14ac:dyDescent="0.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 x14ac:dyDescent="0.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 x14ac:dyDescent="0.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 x14ac:dyDescent="0.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 x14ac:dyDescent="0.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 x14ac:dyDescent="0.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 x14ac:dyDescent="0.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 x14ac:dyDescent="0.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 x14ac:dyDescent="0.2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 x14ac:dyDescent="0.2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 x14ac:dyDescent="0.2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 x14ac:dyDescent="0.2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 x14ac:dyDescent="0.2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 x14ac:dyDescent="0.2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 x14ac:dyDescent="0.2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 x14ac:dyDescent="0.2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 x14ac:dyDescent="0.2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 x14ac:dyDescent="0.2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 x14ac:dyDescent="0.2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 x14ac:dyDescent="0.2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 x14ac:dyDescent="0.2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 x14ac:dyDescent="0.2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 x14ac:dyDescent="0.2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 x14ac:dyDescent="0.2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 x14ac:dyDescent="0.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 x14ac:dyDescent="0.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 x14ac:dyDescent="0.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 x14ac:dyDescent="0.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 x14ac:dyDescent="0.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 x14ac:dyDescent="0.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 x14ac:dyDescent="0.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 x14ac:dyDescent="0.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 x14ac:dyDescent="0.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 x14ac:dyDescent="0.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 x14ac:dyDescent="0.2">
      <c r="G44" t="s">
        <v>298</v>
      </c>
      <c r="H44">
        <f>SUMIF(Table1515[EU],"1",Table1515[GWh '[2020']])</f>
        <v>-3119811.3731077109</v>
      </c>
    </row>
    <row r="45" spans="1:12" x14ac:dyDescent="0.2">
      <c r="G45" t="s">
        <v>299</v>
      </c>
      <c r="H45">
        <f>SUMIF(Table1515[EU],"0",Table1515[GWh '[2020']])</f>
        <v>-1468246.0985837034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  <row r="54" spans="1:2" x14ac:dyDescent="0.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  <col min="6" max="6" width="14.1640625" customWidth="1"/>
  </cols>
  <sheetData>
    <row r="1" spans="1:7" x14ac:dyDescent="0.2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 x14ac:dyDescent="0.2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 x14ac:dyDescent="0.2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 x14ac:dyDescent="0.2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 x14ac:dyDescent="0.2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 x14ac:dyDescent="0.2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 x14ac:dyDescent="0.2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 x14ac:dyDescent="0.2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 x14ac:dyDescent="0.2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 x14ac:dyDescent="0.2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 x14ac:dyDescent="0.2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 x14ac:dyDescent="0.2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 x14ac:dyDescent="0.2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 x14ac:dyDescent="0.2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 x14ac:dyDescent="0.2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  <col min="6" max="6" width="14.1640625" customWidth="1"/>
  </cols>
  <sheetData>
    <row r="1" spans="1:7" x14ac:dyDescent="0.2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 x14ac:dyDescent="0.2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 x14ac:dyDescent="0.2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 x14ac:dyDescent="0.2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 x14ac:dyDescent="0.2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 x14ac:dyDescent="0.2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 x14ac:dyDescent="0.2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 x14ac:dyDescent="0.2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 x14ac:dyDescent="0.2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 x14ac:dyDescent="0.2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 x14ac:dyDescent="0.2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 x14ac:dyDescent="0.2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 x14ac:dyDescent="0.2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 x14ac:dyDescent="0.2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 x14ac:dyDescent="0.2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opLeftCell="B1" workbookViewId="0">
      <selection activeCell="B32" sqref="B32"/>
    </sheetView>
  </sheetViews>
  <sheetFormatPr baseColWidth="10" defaultColWidth="9.83203125" defaultRowHeight="15" x14ac:dyDescent="0.2"/>
  <cols>
    <col min="2" max="2" width="90.83203125" bestFit="1" customWidth="1"/>
    <col min="3" max="3" width="15.5" bestFit="1" customWidth="1"/>
    <col min="4" max="4" width="14.83203125" bestFit="1" customWidth="1"/>
    <col min="5" max="5" width="16.5" bestFit="1" customWidth="1"/>
    <col min="6" max="6" width="13.1640625" bestFit="1" customWidth="1"/>
    <col min="7" max="7" width="12.83203125" bestFit="1" customWidth="1"/>
    <col min="9" max="9" width="6.83203125" bestFit="1" customWidth="1"/>
  </cols>
  <sheetData>
    <row r="1" spans="1:7" x14ac:dyDescent="0.2">
      <c r="A1" s="8" t="s">
        <v>16</v>
      </c>
      <c r="B1" s="9" t="s">
        <v>55</v>
      </c>
      <c r="C1" s="9" t="s">
        <v>315</v>
      </c>
      <c r="D1" s="9" t="s">
        <v>324</v>
      </c>
      <c r="E1" s="9" t="s">
        <v>325</v>
      </c>
      <c r="F1" s="9" t="s">
        <v>317</v>
      </c>
      <c r="G1" s="10" t="s">
        <v>318</v>
      </c>
    </row>
    <row r="2" spans="1:7" x14ac:dyDescent="0.2">
      <c r="A2" t="s">
        <v>149</v>
      </c>
      <c r="B2" s="6" t="s">
        <v>149</v>
      </c>
      <c r="C2" s="7">
        <v>850.99992679322679</v>
      </c>
      <c r="D2" s="7"/>
      <c r="E2" s="7">
        <f>Table7910[[#This Row],[Mil m3 '[2019']]]/1000</f>
        <v>0</v>
      </c>
      <c r="F2" s="14">
        <f>Table7910[[#This Row],[TWh '[2019']]]*1000</f>
        <v>-8314269.2847698256</v>
      </c>
      <c r="G2" s="3">
        <f>IF(Table7910[[#This Row],[Mil m3 '[2019']]]&gt;0,Table7910[[#This Row],[Mrd m3 '[2019']2]],Table7910[[#This Row],[Mrd m3 '[2019']]])*9.77*(-1)</f>
        <v>-8314.2692847698254</v>
      </c>
    </row>
    <row r="3" spans="1:7" x14ac:dyDescent="0.2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'[2019']]]/1000</f>
        <v>0</v>
      </c>
      <c r="F3" s="2">
        <f>Table7910[[#This Row],[TWh '[2019']]]*1000</f>
        <v>-2071665.9901538638</v>
      </c>
      <c r="G3" s="3">
        <f>IF(Table7910[[#This Row],[Mil m3 '[2019']]]&gt;0,Table7910[[#This Row],[Mrd m3 '[2019']2]],Table7910[[#This Row],[Mrd m3 '[2019']]])*9.77*(-1)</f>
        <v>-2071.6659901538637</v>
      </c>
    </row>
    <row r="4" spans="1:7" x14ac:dyDescent="0.2">
      <c r="A4" t="s">
        <v>150</v>
      </c>
      <c r="B4" t="s">
        <v>161</v>
      </c>
      <c r="C4">
        <f>162.515665637686-C5</f>
        <v>145.04234959353411</v>
      </c>
      <c r="E4" s="2">
        <f>Table7910[[#This Row],[Mil m3 '[2019']]]/1000</f>
        <v>0</v>
      </c>
      <c r="F4" s="2">
        <f>Table7910[[#This Row],[TWh '[2019']]]*1000</f>
        <v>-1417063.7555288284</v>
      </c>
      <c r="G4" s="3">
        <f>IF(Table7910[[#This Row],[Mil m3 '[2019']]]&gt;0,Table7910[[#This Row],[Mrd m3 '[2019']2]],Table7910[[#This Row],[Mrd m3 '[2019']]])*9.77*(-1)</f>
        <v>-1417.0637555288283</v>
      </c>
    </row>
    <row r="5" spans="1:7" x14ac:dyDescent="0.2">
      <c r="A5" t="s">
        <v>151</v>
      </c>
      <c r="B5" t="s">
        <v>162</v>
      </c>
      <c r="C5">
        <v>17.473316044151876</v>
      </c>
      <c r="E5" s="2">
        <f>Table7910[[#This Row],[Mil m3 '[2019']]]/1000</f>
        <v>0</v>
      </c>
      <c r="F5" s="2">
        <f>Table7910[[#This Row],[TWh '[2019']]]*1000</f>
        <v>-170714.29775136383</v>
      </c>
      <c r="G5" s="3">
        <f>IF(Table7910[[#This Row],[Mil m3 '[2019']]]&gt;0,Table7910[[#This Row],[Mrd m3 '[2019']2]],Table7910[[#This Row],[Mrd m3 '[2019']]])*9.77*(-1)</f>
        <v>-170.71429775136383</v>
      </c>
    </row>
    <row r="6" spans="1:7" x14ac:dyDescent="0.2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'[2019']]]/1000</f>
        <v>0</v>
      </c>
      <c r="F6" s="2">
        <f>Table7910[[#This Row],[TWh '[2019']]]*1000</f>
        <v>-4821161.7007560823</v>
      </c>
      <c r="G6" s="3">
        <f>IF(Table7910[[#This Row],[Mil m3 '[2019']]]&gt;0,Table7910[[#This Row],[Mrd m3 '[2019']2]],Table7910[[#This Row],[Mrd m3 '[2019']]])*9.77*(-1)</f>
        <v>-4821.1617007560826</v>
      </c>
    </row>
    <row r="7" spans="1:7" x14ac:dyDescent="0.2">
      <c r="A7" t="s">
        <v>153</v>
      </c>
      <c r="B7" t="s">
        <v>174</v>
      </c>
      <c r="C7">
        <v>41.366948101475543</v>
      </c>
      <c r="E7" s="2">
        <f>Table7910[[#This Row],[Mil m3 '[2019']]]/1000</f>
        <v>0</v>
      </c>
      <c r="F7" s="2">
        <f>Table7910[[#This Row],[TWh '[2019']]]*1000</f>
        <v>-404155.08295141603</v>
      </c>
      <c r="G7" s="3">
        <f>IF(Table7910[[#This Row],[Mil m3 '[2019']]]&gt;0,Table7910[[#This Row],[Mrd m3 '[2019']2]],Table7910[[#This Row],[Mrd m3 '[2019']]])*9.77*(-1)</f>
        <v>-404.15508295141603</v>
      </c>
    </row>
    <row r="8" spans="1:7" x14ac:dyDescent="0.2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'[2019']]]/1000</f>
        <v>0</v>
      </c>
      <c r="F8" s="2">
        <f>Table7910[[#This Row],[TWh '[2019']]]*1000</f>
        <v>-381104.56320273672</v>
      </c>
      <c r="G8" s="3">
        <f>IF(Table7910[[#This Row],[Mil m3 '[2019']]]&gt;0,Table7910[[#This Row],[Mrd m3 '[2019']2]],Table7910[[#This Row],[Mrd m3 '[2019']]])*9.77*(-1)</f>
        <v>-381.1045632027367</v>
      </c>
    </row>
    <row r="9" spans="1:7" x14ac:dyDescent="0.2">
      <c r="A9" t="s">
        <v>155</v>
      </c>
      <c r="B9" t="s">
        <v>165</v>
      </c>
      <c r="C9">
        <v>44.057039885341503</v>
      </c>
      <c r="E9" s="2">
        <f>Table7910[[#This Row],[Mil m3 '[2019']]]/1000</f>
        <v>0</v>
      </c>
      <c r="F9" s="2">
        <f>Table7910[[#This Row],[TWh '[2019']]]*1000</f>
        <v>-430437.27967978647</v>
      </c>
      <c r="G9" s="3">
        <f>IF(Table7910[[#This Row],[Mil m3 '[2019']]]&gt;0,Table7910[[#This Row],[Mrd m3 '[2019']2]],Table7910[[#This Row],[Mrd m3 '[2019']]])*9.77*(-1)</f>
        <v>-430.43727967978646</v>
      </c>
    </row>
    <row r="10" spans="1:7" x14ac:dyDescent="0.2">
      <c r="A10" t="s">
        <v>156</v>
      </c>
      <c r="B10" t="s">
        <v>166</v>
      </c>
      <c r="C10">
        <v>308.37684365781701</v>
      </c>
      <c r="E10" s="2">
        <f>Table7910[[#This Row],[Mil m3 '[2019']]]/1000</f>
        <v>0</v>
      </c>
      <c r="F10" s="2">
        <f>Table7910[[#This Row],[TWh '[2019']]]*1000</f>
        <v>-3012841.7625368722</v>
      </c>
      <c r="G10" s="3">
        <f>IF(Table7910[[#This Row],[Mil m3 '[2019']]]&gt;0,Table7910[[#This Row],[Mrd m3 '[2019']2]],Table7910[[#This Row],[Mrd m3 '[2019']]])*9.77*(-1)</f>
        <v>-3012.841762536872</v>
      </c>
    </row>
    <row r="11" spans="1:7" x14ac:dyDescent="0.2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'[2019']]]/1000</f>
        <v>0</v>
      </c>
      <c r="F11" s="2">
        <f>Table7910[[#This Row],[TWh '[2019']]]*1000</f>
        <v>-1603814.9240221458</v>
      </c>
      <c r="G11" s="3">
        <f>IF(Table7910[[#This Row],[Mil m3 '[2019']]]&gt;0,Table7910[[#This Row],[Mrd m3 '[2019']2]],Table7910[[#This Row],[Mrd m3 '[2019']]])*9.77*(-1)</f>
        <v>-1603.8149240221458</v>
      </c>
    </row>
    <row r="12" spans="1:7" x14ac:dyDescent="0.2">
      <c r="A12" t="s">
        <v>158</v>
      </c>
      <c r="B12" t="s">
        <v>168</v>
      </c>
      <c r="C12">
        <v>59.249841718906403</v>
      </c>
      <c r="E12" s="2">
        <f>Table7910[[#This Row],[Mil m3 '[2019']]]/1000</f>
        <v>0</v>
      </c>
      <c r="F12" s="2">
        <f>Table7910[[#This Row],[TWh '[2019']]]*1000</f>
        <v>-578870.95359371556</v>
      </c>
      <c r="G12" s="3">
        <f>IF(Table7910[[#This Row],[Mil m3 '[2019']]]&gt;0,Table7910[[#This Row],[Mrd m3 '[2019']2]],Table7910[[#This Row],[Mrd m3 '[2019']]])*9.77*(-1)</f>
        <v>-578.87095359371551</v>
      </c>
    </row>
    <row r="13" spans="1:7" x14ac:dyDescent="0.2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'[2019']]]/1000</f>
        <v>0</v>
      </c>
      <c r="F13" s="2">
        <f>Table7910[[#This Row],[TWh '[2019']]]*1000</f>
        <v>-1910659.3870490955</v>
      </c>
      <c r="G13" s="3">
        <f>IF(Table7910[[#This Row],[Mil m3 '[2019']]]&gt;0,Table7910[[#This Row],[Mrd m3 '[2019']2]],Table7910[[#This Row],[Mrd m3 '[2019']]])*9.77*(-1)</f>
        <v>-1910.6593870490954</v>
      </c>
    </row>
    <row r="14" spans="1:7" x14ac:dyDescent="0.2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'[2019']]]/1000</f>
        <v>0</v>
      </c>
      <c r="F14" s="2">
        <f>Table7910[[#This Row],[TWh '[2019']]]*1000</f>
        <v>-1068752.5791939292</v>
      </c>
      <c r="G14" s="3">
        <f>IF(Table7910[[#This Row],[Mil m3 '[2019']]]&gt;0,Table7910[[#This Row],[Mrd m3 '[2019']2]],Table7910[[#This Row],[Mrd m3 '[2019']]])*9.77*(-1)</f>
        <v>-1068.7525791939293</v>
      </c>
    </row>
    <row r="15" spans="1:7" x14ac:dyDescent="0.2">
      <c r="A15" t="s">
        <v>40</v>
      </c>
      <c r="B15" t="s">
        <v>69</v>
      </c>
      <c r="C15">
        <v>444.31272123893802</v>
      </c>
      <c r="E15" s="2">
        <f>Table7910[[#This Row],[Mil m3 '[2019']]]/1000</f>
        <v>0</v>
      </c>
      <c r="F15" s="2">
        <f>Table7910[[#This Row],[TWh '[2019']]]*1000</f>
        <v>-4340935.2865044251</v>
      </c>
      <c r="G15" s="3">
        <f>IF(Table7910[[#This Row],[Mil m3 '[2019']]]&gt;0,Table7910[[#This Row],[Mrd m3 '[2019']2]],Table7910[[#This Row],[Mrd m3 '[2019']]])*9.77*(-1)</f>
        <v>-4340.9352865044248</v>
      </c>
    </row>
    <row r="16" spans="1:7" x14ac:dyDescent="0.2">
      <c r="A16" t="s">
        <v>49</v>
      </c>
      <c r="B16" t="s">
        <v>78</v>
      </c>
      <c r="C16">
        <v>45.054625000000001</v>
      </c>
      <c r="E16" s="2">
        <f>Table7910[[#This Row],[Mil m3 '[2019']]]/1000</f>
        <v>0</v>
      </c>
      <c r="F16" s="2">
        <f>Table7910[[#This Row],[TWh '[2019']]]*1000</f>
        <v>-440183.68624999997</v>
      </c>
      <c r="G16" s="3">
        <f>IF(Table7910[[#This Row],[Mil m3 '[2019']]]&gt;0,Table7910[[#This Row],[Mrd m3 '[2019']2]],Table7910[[#This Row],[Mrd m3 '[2019']]])*9.77*(-1)</f>
        <v>-440.18368624999999</v>
      </c>
    </row>
    <row r="17" spans="1:7" x14ac:dyDescent="0.2">
      <c r="A17" t="s">
        <v>51</v>
      </c>
      <c r="B17" t="s">
        <v>80</v>
      </c>
      <c r="C17" s="19">
        <v>8.4</v>
      </c>
      <c r="E17" s="2">
        <f>Table7910[[#This Row],[Mil m3 '[2019']]]/1000</f>
        <v>0</v>
      </c>
      <c r="F17" s="2">
        <f>Table7910[[#This Row],[TWh '[2019']]]*1000</f>
        <v>-82068</v>
      </c>
      <c r="G17" s="3">
        <f>IF(Table7910[[#This Row],[Mil m3 '[2019']]]&gt;0,Table7910[[#This Row],[Mrd m3 '[2019']2]],Table7910[[#This Row],[Mrd m3 '[2019']]])*9.77*(-1)</f>
        <v>-82.067999999999998</v>
      </c>
    </row>
    <row r="18" spans="1:7" x14ac:dyDescent="0.2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'[2019']]]/1000</f>
        <v>0</v>
      </c>
      <c r="F18" s="2">
        <f>Table7910[[#This Row],[TWh '[2019']]]*1000</f>
        <v>-50191.615422999988</v>
      </c>
      <c r="G18" s="3">
        <f>IF(Table7910[[#This Row],[Mil m3 '[2019']]]&gt;0,Table7910[[#This Row],[Mrd m3 '[2019']2]],Table7910[[#This Row],[Mrd m3 '[2019']]])*9.77*(-1)</f>
        <v>-50.191615422999988</v>
      </c>
    </row>
    <row r="19" spans="1:7" x14ac:dyDescent="0.2">
      <c r="A19" t="s">
        <v>96</v>
      </c>
      <c r="B19" t="s">
        <v>175</v>
      </c>
      <c r="C19">
        <v>1.0126818444677308</v>
      </c>
      <c r="E19" s="2">
        <f>Table7910[[#This Row],[Mil m3 '[2019']]]/1000</f>
        <v>0</v>
      </c>
      <c r="F19" s="2">
        <f>Table7910[[#This Row],[TWh '[2019']]]*1000</f>
        <v>-9893.9016204497311</v>
      </c>
      <c r="G19" s="3">
        <f>IF(Table7910[[#This Row],[Mil m3 '[2019']]]&gt;0,Table7910[[#This Row],[Mrd m3 '[2019']2]],Table7910[[#This Row],[Mrd m3 '[2019']]])*9.77*(-1)</f>
        <v>-9.8939016204497303</v>
      </c>
    </row>
    <row r="20" spans="1:7" x14ac:dyDescent="0.2">
      <c r="A20" t="s">
        <v>177</v>
      </c>
      <c r="B20" t="s">
        <v>178</v>
      </c>
      <c r="C20">
        <v>59.038678568273127</v>
      </c>
      <c r="E20" s="2">
        <f>Table7910[[#This Row],[Mil m3 '[2019']]]/1000</f>
        <v>0</v>
      </c>
      <c r="F20" s="2">
        <f>Table7910[[#This Row],[TWh '[2019']]]*1000</f>
        <v>-576807.88961202849</v>
      </c>
      <c r="G20" s="3">
        <f>IF(Table7910[[#This Row],[Mil m3 '[2019']]]&gt;0,Table7910[[#This Row],[Mrd m3 '[2019']2]],Table7910[[#This Row],[Mrd m3 '[2019']]])*9.77*(-1)</f>
        <v>-576.80788961202848</v>
      </c>
    </row>
    <row r="21" spans="1:7" x14ac:dyDescent="0.2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'[2019']]]/1000</f>
        <v>0</v>
      </c>
      <c r="F21" s="2">
        <f>Table7910[[#This Row],[TWh '[2019']]]*1000</f>
        <v>-885978.31796099606</v>
      </c>
      <c r="G21" s="3">
        <f>IF(Table7910[[#This Row],[Mil m3 '[2019']]]&gt;0,Table7910[[#This Row],[Mrd m3 '[2019']2]],Table7910[[#This Row],[Mrd m3 '[2019']]])*9.77*(-1)</f>
        <v>-885.97831796099604</v>
      </c>
    </row>
    <row r="22" spans="1:7" x14ac:dyDescent="0.2">
      <c r="A22" t="s">
        <v>52</v>
      </c>
      <c r="B22" t="s">
        <v>81</v>
      </c>
      <c r="C22">
        <v>19.164499508357899</v>
      </c>
      <c r="E22" s="2">
        <f>Table7910[[#This Row],[Mil m3 '[2019']]]/1000</f>
        <v>0</v>
      </c>
      <c r="F22" s="2">
        <f>Table7910[[#This Row],[TWh '[2019']]]*1000</f>
        <v>-187237.16019665668</v>
      </c>
      <c r="G22" s="3">
        <f>IF(Table7910[[#This Row],[Mil m3 '[2019']]]&gt;0,Table7910[[#This Row],[Mrd m3 '[2019']2]],Table7910[[#This Row],[Mrd m3 '[2019']]])*9.77*(-1)</f>
        <v>-187.23716019665667</v>
      </c>
    </row>
    <row r="24" spans="1:7" x14ac:dyDescent="0.2">
      <c r="A24" t="s">
        <v>79</v>
      </c>
      <c r="B24" s="16" t="s">
        <v>321</v>
      </c>
      <c r="C24" t="s">
        <v>327</v>
      </c>
    </row>
    <row r="25" spans="1:7" x14ac:dyDescent="0.2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baseColWidth="10" defaultColWidth="10.1640625" defaultRowHeight="15" x14ac:dyDescent="0.2"/>
  <cols>
    <col min="1" max="1" width="9.83203125" bestFit="1" customWidth="1"/>
    <col min="2" max="2" width="90.83203125" bestFit="1" customWidth="1"/>
    <col min="3" max="3" width="15.5" bestFit="1" customWidth="1"/>
    <col min="4" max="4" width="14.83203125" bestFit="1" customWidth="1"/>
    <col min="5" max="5" width="16.5" bestFit="1" customWidth="1"/>
    <col min="6" max="6" width="13.1640625" bestFit="1" customWidth="1"/>
    <col min="7" max="7" width="12.83203125" bestFit="1" customWidth="1"/>
    <col min="9" max="9" width="6.83203125" bestFit="1" customWidth="1"/>
  </cols>
  <sheetData>
    <row r="1" spans="1:7" x14ac:dyDescent="0.2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 x14ac:dyDescent="0.2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 x14ac:dyDescent="0.2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 x14ac:dyDescent="0.2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 x14ac:dyDescent="0.2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 x14ac:dyDescent="0.2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 x14ac:dyDescent="0.2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 x14ac:dyDescent="0.2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 x14ac:dyDescent="0.2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 x14ac:dyDescent="0.2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 x14ac:dyDescent="0.2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 x14ac:dyDescent="0.2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 x14ac:dyDescent="0.2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 x14ac:dyDescent="0.2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 x14ac:dyDescent="0.2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 x14ac:dyDescent="0.2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 x14ac:dyDescent="0.2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 x14ac:dyDescent="0.2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 x14ac:dyDescent="0.2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 x14ac:dyDescent="0.2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 x14ac:dyDescent="0.2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 x14ac:dyDescent="0.2">
      <c r="A24" t="s">
        <v>79</v>
      </c>
      <c r="B24" s="16" t="s">
        <v>136</v>
      </c>
      <c r="I24" t="s">
        <v>137</v>
      </c>
    </row>
    <row r="25" spans="1:9" x14ac:dyDescent="0.2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6" width="22.1640625" customWidth="1"/>
    <col min="7" max="7" width="12.83203125" customWidth="1"/>
  </cols>
  <sheetData>
    <row r="1" spans="1:7" x14ac:dyDescent="0.2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 x14ac:dyDescent="0.2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 x14ac:dyDescent="0.2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 x14ac:dyDescent="0.2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 x14ac:dyDescent="0.2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 x14ac:dyDescent="0.2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 x14ac:dyDescent="0.2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 x14ac:dyDescent="0.2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 x14ac:dyDescent="0.2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 x14ac:dyDescent="0.2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 x14ac:dyDescent="0.2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 x14ac:dyDescent="0.2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 x14ac:dyDescent="0.2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 x14ac:dyDescent="0.2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 x14ac:dyDescent="0.2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 x14ac:dyDescent="0.2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 x14ac:dyDescent="0.2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 x14ac:dyDescent="0.2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 x14ac:dyDescent="0.2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 x14ac:dyDescent="0.2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 x14ac:dyDescent="0.2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 x14ac:dyDescent="0.2">
      <c r="A24" t="s">
        <v>79</v>
      </c>
      <c r="B24" t="s">
        <v>136</v>
      </c>
    </row>
    <row r="25" spans="1:7" x14ac:dyDescent="0.2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6" width="22.1640625" customWidth="1"/>
    <col min="7" max="7" width="12.83203125" customWidth="1"/>
  </cols>
  <sheetData>
    <row r="1" spans="1:7" x14ac:dyDescent="0.2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 x14ac:dyDescent="0.2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 x14ac:dyDescent="0.2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 x14ac:dyDescent="0.2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 x14ac:dyDescent="0.2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 x14ac:dyDescent="0.2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 x14ac:dyDescent="0.2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 x14ac:dyDescent="0.2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 x14ac:dyDescent="0.2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 x14ac:dyDescent="0.2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 x14ac:dyDescent="0.2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 x14ac:dyDescent="0.2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 x14ac:dyDescent="0.2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 x14ac:dyDescent="0.2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 x14ac:dyDescent="0.2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 x14ac:dyDescent="0.2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 x14ac:dyDescent="0.2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 x14ac:dyDescent="0.2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 x14ac:dyDescent="0.2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 x14ac:dyDescent="0.2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 x14ac:dyDescent="0.2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 x14ac:dyDescent="0.2">
      <c r="A23" t="s">
        <v>295</v>
      </c>
      <c r="B23" t="s">
        <v>296</v>
      </c>
      <c r="E23" s="2"/>
      <c r="F23" s="2"/>
      <c r="G23" s="3"/>
    </row>
    <row r="24" spans="1:7" x14ac:dyDescent="0.2">
      <c r="A24" t="s">
        <v>79</v>
      </c>
      <c r="B24" t="s">
        <v>136</v>
      </c>
    </row>
    <row r="25" spans="1:7" x14ac:dyDescent="0.2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C34" sqref="C34"/>
    </sheetView>
  </sheetViews>
  <sheetFormatPr baseColWidth="10" defaultColWidth="8.83203125" defaultRowHeight="15" x14ac:dyDescent="0.2"/>
  <sheetData>
    <row r="1" spans="1:5" x14ac:dyDescent="0.2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 x14ac:dyDescent="0.2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 x14ac:dyDescent="0.2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 x14ac:dyDescent="0.2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2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2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2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2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2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2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2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2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2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2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2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2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2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2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2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2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2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2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2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2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2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2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2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2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 x14ac:dyDescent="0.2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 x14ac:dyDescent="0.2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 x14ac:dyDescent="0.2">
      <c r="A31" t="s">
        <v>40</v>
      </c>
      <c r="B31" t="s">
        <v>52</v>
      </c>
      <c r="F31" t="s">
        <v>126</v>
      </c>
    </row>
    <row r="33" spans="1:6" x14ac:dyDescent="0.2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 x14ac:dyDescent="0.2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 x14ac:dyDescent="0.2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workbookViewId="0">
      <selection activeCell="H25" sqref="H25"/>
    </sheetView>
  </sheetViews>
  <sheetFormatPr baseColWidth="10" defaultColWidth="9" defaultRowHeight="15" x14ac:dyDescent="0.2"/>
  <cols>
    <col min="1" max="1" width="7.6640625" bestFit="1" customWidth="1"/>
    <col min="2" max="2" width="5.5" bestFit="1" customWidth="1"/>
    <col min="3" max="3" width="21.1640625" bestFit="1" customWidth="1"/>
    <col min="4" max="4" width="21.5" style="18" bestFit="1" customWidth="1"/>
    <col min="5" max="5" width="25" style="18" bestFit="1" customWidth="1"/>
    <col min="6" max="7" width="12.1640625" bestFit="1" customWidth="1"/>
    <col min="8" max="8" width="45" bestFit="1" customWidth="1"/>
  </cols>
  <sheetData>
    <row r="1" spans="1:8" x14ac:dyDescent="0.2">
      <c r="A1" t="s">
        <v>92</v>
      </c>
      <c r="B1" t="s">
        <v>93</v>
      </c>
      <c r="C1" t="s">
        <v>138</v>
      </c>
      <c r="D1" s="20" t="s">
        <v>139</v>
      </c>
      <c r="E1" s="20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0</v>
      </c>
      <c r="D2" s="18">
        <v>549.9</v>
      </c>
      <c r="F2">
        <f>MIN(Table329[[#This Row],[GWh/d '[capacity map']]:[GWh/d '[transparency map']]])*365</f>
        <v>0</v>
      </c>
      <c r="G2">
        <f t="shared" ref="G2:G65" si="0">F2/1000</f>
        <v>0</v>
      </c>
    </row>
    <row r="3" spans="1:8" x14ac:dyDescent="0.2">
      <c r="A3" t="s">
        <v>20</v>
      </c>
      <c r="B3" t="s">
        <v>19</v>
      </c>
      <c r="C3">
        <v>635.44560000000001</v>
      </c>
      <c r="F3">
        <f>MIN(Table329[[#This Row],[GWh/d '[capacity map']]:[GWh/d '[transparency map']]])*365</f>
        <v>231937.644</v>
      </c>
      <c r="G3">
        <f t="shared" si="0"/>
        <v>231.93764400000001</v>
      </c>
    </row>
    <row r="4" spans="1:8" x14ac:dyDescent="0.2">
      <c r="A4" t="s">
        <v>20</v>
      </c>
      <c r="B4" t="s">
        <v>30</v>
      </c>
      <c r="C4">
        <v>153.1</v>
      </c>
      <c r="F4">
        <f>MIN(Table329[[#This Row],[GWh/d '[capacity map']]:[GWh/d '[transparency map']]])*365</f>
        <v>55881.5</v>
      </c>
      <c r="G4">
        <f t="shared" si="0"/>
        <v>55.881500000000003</v>
      </c>
    </row>
    <row r="5" spans="1:8" x14ac:dyDescent="0.2">
      <c r="A5" t="s">
        <v>20</v>
      </c>
      <c r="B5" t="s">
        <v>21</v>
      </c>
      <c r="C5">
        <v>1148.8</v>
      </c>
      <c r="F5">
        <f>MIN(Table329[[#This Row],[GWh/d '[capacity map']]:[GWh/d '[transparency map']]])*365</f>
        <v>419312</v>
      </c>
      <c r="G5">
        <f t="shared" si="0"/>
        <v>419.31200000000001</v>
      </c>
    </row>
    <row r="6" spans="1:8" x14ac:dyDescent="0.2">
      <c r="A6" t="s">
        <v>20</v>
      </c>
      <c r="B6" t="s">
        <v>23</v>
      </c>
      <c r="C6">
        <v>112.5</v>
      </c>
      <c r="F6">
        <f>MIN(Table329[[#This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MIN(Table329[[#This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289.5</v>
      </c>
      <c r="F8">
        <f>MIN(Table329[[#This Row],[GWh/d '[capacity map']]:[GWh/d '[transparency map']]])*365</f>
        <v>105667.5</v>
      </c>
      <c r="G8">
        <f t="shared" si="0"/>
        <v>105.6675</v>
      </c>
    </row>
    <row r="9" spans="1:8" x14ac:dyDescent="0.2">
      <c r="A9" t="s">
        <v>17</v>
      </c>
      <c r="B9" t="s">
        <v>25</v>
      </c>
      <c r="C9">
        <v>850</v>
      </c>
      <c r="F9">
        <f>MIN(Table329[[#This Row],[GWh/d '[capacity map']]:[GWh/d '[transparency map']]])*365</f>
        <v>310250</v>
      </c>
      <c r="G9">
        <f t="shared" si="0"/>
        <v>310.25</v>
      </c>
    </row>
    <row r="10" spans="1:8" x14ac:dyDescent="0.2">
      <c r="A10" t="s">
        <v>17</v>
      </c>
      <c r="B10" t="s">
        <v>42</v>
      </c>
      <c r="C10">
        <v>0</v>
      </c>
      <c r="E10" s="18">
        <v>41.973541999999995</v>
      </c>
      <c r="F10">
        <f>MIN(Table329[[#This Row],[GWh/d '[capacity map']]:[GWh/d '[transparency map']]])*365</f>
        <v>0</v>
      </c>
      <c r="G10">
        <f t="shared" si="0"/>
        <v>0</v>
      </c>
    </row>
    <row r="11" spans="1:8" x14ac:dyDescent="0.2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 x14ac:dyDescent="0.2">
      <c r="A12" t="s">
        <v>17</v>
      </c>
      <c r="B12" t="s">
        <v>11</v>
      </c>
      <c r="C12">
        <v>803.4</v>
      </c>
      <c r="D12" s="18">
        <v>261.10000000000002</v>
      </c>
      <c r="F12">
        <f>MIN(Table329[[#This Row],[GWh/d '[capacity map']]:[GWh/d '[transparency map']]])*365</f>
        <v>95301.500000000015</v>
      </c>
      <c r="G12">
        <f t="shared" si="0"/>
        <v>95.301500000000019</v>
      </c>
    </row>
    <row r="13" spans="1:8" x14ac:dyDescent="0.2">
      <c r="A13" t="s">
        <v>32</v>
      </c>
      <c r="B13" t="s">
        <v>264</v>
      </c>
      <c r="C13">
        <v>0</v>
      </c>
      <c r="F13">
        <f>MIN(Table329[[#This Row],[GWh/d '[capacity map']]:[GWh/d '[transparency map']]])*365</f>
        <v>0</v>
      </c>
      <c r="G13">
        <f t="shared" si="0"/>
        <v>0</v>
      </c>
    </row>
    <row r="14" spans="1:8" x14ac:dyDescent="0.2">
      <c r="A14" t="s">
        <v>32</v>
      </c>
      <c r="B14" t="s">
        <v>45</v>
      </c>
      <c r="C14">
        <v>20.38</v>
      </c>
      <c r="D14" s="18">
        <v>33.380000000000003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 x14ac:dyDescent="0.2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 t="shared" si="0"/>
        <v>2.8835000000000002</v>
      </c>
    </row>
    <row r="16" spans="1:8" x14ac:dyDescent="0.2">
      <c r="A16" t="s">
        <v>32</v>
      </c>
      <c r="B16" t="s">
        <v>31</v>
      </c>
      <c r="C16">
        <v>0</v>
      </c>
      <c r="D16" s="18">
        <v>467.5</v>
      </c>
      <c r="F16">
        <f>MIN(Table329[[#This Row],[GWh/d '[capacity map']]:[GWh/d '[transparency map']]])*365</f>
        <v>0</v>
      </c>
      <c r="G16">
        <f t="shared" si="0"/>
        <v>0</v>
      </c>
    </row>
    <row r="17" spans="1:7" x14ac:dyDescent="0.2">
      <c r="A17" t="s">
        <v>32</v>
      </c>
      <c r="B17" t="s">
        <v>46</v>
      </c>
      <c r="C17">
        <v>477</v>
      </c>
      <c r="D17" s="18">
        <v>576</v>
      </c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7" x14ac:dyDescent="0.2">
      <c r="A18" t="s">
        <v>52</v>
      </c>
      <c r="B18" t="s">
        <v>34</v>
      </c>
      <c r="C18">
        <v>325.39999999999998</v>
      </c>
      <c r="D18" s="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7" x14ac:dyDescent="0.2">
      <c r="A19" t="s">
        <v>52</v>
      </c>
      <c r="B19" t="s">
        <v>27</v>
      </c>
      <c r="C19">
        <v>1200.6999999999998</v>
      </c>
      <c r="D19" s="18">
        <v>1203.4999999999998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7" x14ac:dyDescent="0.2">
      <c r="A20" t="s">
        <v>52</v>
      </c>
      <c r="B20" t="s">
        <v>38</v>
      </c>
      <c r="C20">
        <v>0</v>
      </c>
      <c r="E20" s="18">
        <v>35.53171072</v>
      </c>
      <c r="F20">
        <f>MIN(Table329[[#This Row],[GWh/d '[capacity map']]:[GWh/d '[transparency map']]])*365</f>
        <v>0</v>
      </c>
      <c r="G20">
        <f t="shared" si="0"/>
        <v>0</v>
      </c>
    </row>
    <row r="21" spans="1:7" x14ac:dyDescent="0.2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7" x14ac:dyDescent="0.2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7" x14ac:dyDescent="0.2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7" x14ac:dyDescent="0.2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7" x14ac:dyDescent="0.2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7" x14ac:dyDescent="0.2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7" x14ac:dyDescent="0.2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7" x14ac:dyDescent="0.2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7" x14ac:dyDescent="0.2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7" x14ac:dyDescent="0.2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7" x14ac:dyDescent="0.2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7" x14ac:dyDescent="0.2">
      <c r="A32" t="s">
        <v>19</v>
      </c>
      <c r="B32" t="s">
        <v>25</v>
      </c>
      <c r="C32">
        <v>605.70000000000005</v>
      </c>
      <c r="F32">
        <f>MIN(Table329[[#This Row],[GWh/d '[capacity map']]:[GWh/d '[transparency map']]])*365</f>
        <v>221080.50000000003</v>
      </c>
      <c r="G32">
        <f t="shared" si="0"/>
        <v>221.08050000000003</v>
      </c>
    </row>
    <row r="33" spans="1:8" x14ac:dyDescent="0.2">
      <c r="A33" t="s">
        <v>19</v>
      </c>
      <c r="B33" t="s">
        <v>42</v>
      </c>
      <c r="C33">
        <v>38.4</v>
      </c>
      <c r="F33">
        <f>MIN(Table329[[#This Row],[GWh/d '[capacity map']]:[GWh/d '[transparency map']]])*365</f>
        <v>14016</v>
      </c>
      <c r="G33">
        <f t="shared" si="0"/>
        <v>14.016</v>
      </c>
    </row>
    <row r="34" spans="1:8" x14ac:dyDescent="0.2">
      <c r="A34" t="s">
        <v>19</v>
      </c>
      <c r="B34" t="s">
        <v>18</v>
      </c>
      <c r="C34">
        <v>664.51011499999993</v>
      </c>
      <c r="F34">
        <f>MIN(Table329[[#This Row],[GWh/d '[capacity map']]:[GWh/d '[transparency map']]])*365</f>
        <v>242546.19197499997</v>
      </c>
      <c r="G34">
        <f t="shared" si="0"/>
        <v>242.54619197499997</v>
      </c>
    </row>
    <row r="35" spans="1:8" x14ac:dyDescent="0.2">
      <c r="A35" t="s">
        <v>19</v>
      </c>
      <c r="B35" t="s">
        <v>27</v>
      </c>
      <c r="C35">
        <v>233.5</v>
      </c>
      <c r="F35">
        <f>MIN(Table329[[#This Row],[GWh/d '[capacity map']]:[GWh/d '[transparency map']]])*365</f>
        <v>85227.5</v>
      </c>
      <c r="G35">
        <f t="shared" si="0"/>
        <v>85.227500000000006</v>
      </c>
    </row>
    <row r="36" spans="1:8" x14ac:dyDescent="0.2">
      <c r="A36" t="s">
        <v>26</v>
      </c>
      <c r="B36" t="s">
        <v>19</v>
      </c>
      <c r="C36">
        <v>91</v>
      </c>
      <c r="F36">
        <f>MIN(Table329[[#This Row],[GWh/d '[capacity map']]:[GWh/d '[transparency map']]])*365</f>
        <v>33215</v>
      </c>
      <c r="G36">
        <f t="shared" si="0"/>
        <v>33.215000000000003</v>
      </c>
    </row>
    <row r="37" spans="1:8" x14ac:dyDescent="0.2">
      <c r="A37" t="s">
        <v>26</v>
      </c>
      <c r="B37" t="s">
        <v>82</v>
      </c>
      <c r="C37">
        <v>0</v>
      </c>
      <c r="E37" s="18">
        <v>41</v>
      </c>
      <c r="F37">
        <f>MIN(Table329[[#This Row],[GWh/d '[capacity map']]:[GWh/d '[transparency map']]])*365</f>
        <v>0</v>
      </c>
      <c r="G37">
        <f t="shared" si="0"/>
        <v>0</v>
      </c>
      <c r="H37" t="s">
        <v>145</v>
      </c>
    </row>
    <row r="38" spans="1:8" x14ac:dyDescent="0.2">
      <c r="A38" t="s">
        <v>49</v>
      </c>
      <c r="B38" t="s">
        <v>36</v>
      </c>
      <c r="C38">
        <v>731.7</v>
      </c>
      <c r="D38" s="18">
        <v>337.1</v>
      </c>
      <c r="F38">
        <f>MIN(Table329[[#This Row],[GWh/d '[capacity map']]:[GWh/d '[transparency map']]])*365</f>
        <v>123041.50000000001</v>
      </c>
      <c r="G38">
        <f t="shared" si="0"/>
        <v>123.04150000000001</v>
      </c>
    </row>
    <row r="39" spans="1:8" x14ac:dyDescent="0.2">
      <c r="A39" t="s">
        <v>49</v>
      </c>
      <c r="B39" t="s">
        <v>96</v>
      </c>
      <c r="C39">
        <v>0</v>
      </c>
      <c r="D39" s="18">
        <v>337.1</v>
      </c>
      <c r="F39">
        <f>MIN(Table329[[#This Row],[GWh/d '[capacity map']]:[GWh/d '[transparency map']]])*365</f>
        <v>0</v>
      </c>
      <c r="G39">
        <f t="shared" si="0"/>
        <v>0</v>
      </c>
      <c r="H39" t="s">
        <v>146</v>
      </c>
    </row>
    <row r="40" spans="1:8" x14ac:dyDescent="0.2">
      <c r="A40" t="s">
        <v>49</v>
      </c>
      <c r="B40" t="s">
        <v>50</v>
      </c>
      <c r="C40">
        <v>0</v>
      </c>
      <c r="D40" s="18">
        <v>1154</v>
      </c>
      <c r="F40">
        <f>MIN(Table329[[#This Row],[GWh/d '[capacity map']]:[GWh/d '[transparency map']]])*365</f>
        <v>0</v>
      </c>
      <c r="G40">
        <f t="shared" si="0"/>
        <v>0</v>
      </c>
      <c r="H40" t="s">
        <v>144</v>
      </c>
    </row>
    <row r="41" spans="1:8" x14ac:dyDescent="0.2">
      <c r="A41" t="s">
        <v>53</v>
      </c>
      <c r="B41" t="s">
        <v>54</v>
      </c>
      <c r="C41">
        <v>0</v>
      </c>
      <c r="E41" s="18">
        <v>61.341321000000001</v>
      </c>
      <c r="F41">
        <f>MIN(Table329[[#This Row],[GWh/d '[capacity map']]:[GWh/d '[transparency map']]])*365</f>
        <v>0</v>
      </c>
      <c r="G41">
        <f t="shared" si="0"/>
        <v>0</v>
      </c>
    </row>
    <row r="42" spans="1:8" x14ac:dyDescent="0.2">
      <c r="A42" t="s">
        <v>53</v>
      </c>
      <c r="B42" t="s">
        <v>35</v>
      </c>
      <c r="C42">
        <v>178.5</v>
      </c>
      <c r="E42" s="18">
        <v>67.7</v>
      </c>
      <c r="F42">
        <f>MIN(Table329[[#This Row],[GWh/d '[capacity map']]:[GWh/d '[transparency map']]])*365</f>
        <v>24710.5</v>
      </c>
      <c r="G42">
        <f t="shared" si="0"/>
        <v>24.7105</v>
      </c>
    </row>
    <row r="43" spans="1:8" x14ac:dyDescent="0.2">
      <c r="A43" t="s">
        <v>264</v>
      </c>
      <c r="B43" t="s">
        <v>41</v>
      </c>
      <c r="C43">
        <v>0</v>
      </c>
      <c r="D43" s="18">
        <v>549.9</v>
      </c>
      <c r="F43">
        <f>MIN(Table329[[#This Row],[GWh/d '[capacity map']]:[GWh/d '[transparency map']]])*365</f>
        <v>0</v>
      </c>
      <c r="G43">
        <f t="shared" si="0"/>
        <v>0</v>
      </c>
      <c r="H43" t="s">
        <v>143</v>
      </c>
    </row>
    <row r="44" spans="1:8" x14ac:dyDescent="0.2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 x14ac:dyDescent="0.2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 x14ac:dyDescent="0.2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 x14ac:dyDescent="0.2">
      <c r="A47" t="s">
        <v>54</v>
      </c>
      <c r="B47" t="s">
        <v>53</v>
      </c>
      <c r="C47">
        <v>0</v>
      </c>
      <c r="E47" s="18">
        <v>32.802250000000008</v>
      </c>
      <c r="F47">
        <f>MIN(Table329[[#This Row],[GWh/d '[capacity map']]:[GWh/d '[transparency map']]])*365</f>
        <v>0</v>
      </c>
      <c r="G47">
        <f t="shared" si="0"/>
        <v>0</v>
      </c>
    </row>
    <row r="48" spans="1:8" x14ac:dyDescent="0.2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7" x14ac:dyDescent="0.2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7" x14ac:dyDescent="0.2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7" x14ac:dyDescent="0.2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7" x14ac:dyDescent="0.2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7" x14ac:dyDescent="0.2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7" x14ac:dyDescent="0.2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7" x14ac:dyDescent="0.2">
      <c r="A55" t="s">
        <v>30</v>
      </c>
      <c r="B55" t="s">
        <v>31</v>
      </c>
      <c r="C55">
        <v>142</v>
      </c>
      <c r="D55" s="18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7" x14ac:dyDescent="0.2">
      <c r="A56" t="s">
        <v>30</v>
      </c>
      <c r="B56" t="s">
        <v>29</v>
      </c>
      <c r="C56">
        <v>0</v>
      </c>
      <c r="F56">
        <f>MIN(Table329[[#This Row],[GWh/d '[capacity map']]:[GWh/d '[transparency map']]])*365</f>
        <v>0</v>
      </c>
      <c r="G56">
        <f t="shared" si="0"/>
        <v>0</v>
      </c>
    </row>
    <row r="57" spans="1:7" x14ac:dyDescent="0.2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7" x14ac:dyDescent="0.2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7" x14ac:dyDescent="0.2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7" x14ac:dyDescent="0.2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7" x14ac:dyDescent="0.2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7" x14ac:dyDescent="0.2">
      <c r="A62" t="s">
        <v>42</v>
      </c>
      <c r="B62" t="s">
        <v>17</v>
      </c>
      <c r="C62">
        <v>0</v>
      </c>
      <c r="E62" s="18">
        <v>41.973541999999995</v>
      </c>
      <c r="F62">
        <f>MIN(Table329[[#This Row],[GWh/d '[capacity map']]:[GWh/d '[transparency map']]])*365</f>
        <v>0</v>
      </c>
      <c r="G62">
        <f t="shared" si="0"/>
        <v>0</v>
      </c>
    </row>
    <row r="63" spans="1:7" x14ac:dyDescent="0.2">
      <c r="A63" t="s">
        <v>35</v>
      </c>
      <c r="B63" t="s">
        <v>53</v>
      </c>
      <c r="C63">
        <v>168</v>
      </c>
      <c r="E63" s="18">
        <v>67.7</v>
      </c>
      <c r="F63">
        <f>MIN(Table329[[#This Row],[GWh/d '[capacity map']]:[GWh/d '[transparency map']]])*365</f>
        <v>24710.5</v>
      </c>
      <c r="G63">
        <f t="shared" si="0"/>
        <v>24.7105</v>
      </c>
    </row>
    <row r="64" spans="1:7" x14ac:dyDescent="0.2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7" x14ac:dyDescent="0.2">
      <c r="A65" t="s">
        <v>35</v>
      </c>
      <c r="B65" t="s">
        <v>40</v>
      </c>
      <c r="C65">
        <v>0</v>
      </c>
      <c r="D65" s="18">
        <v>118</v>
      </c>
      <c r="F65">
        <f>MIN(Table329[[#This Row],[GWh/d '[capacity map']]:[GWh/d '[transparency map']]])*365</f>
        <v>0</v>
      </c>
      <c r="G65">
        <f t="shared" si="0"/>
        <v>0</v>
      </c>
    </row>
    <row r="66" spans="1:7" x14ac:dyDescent="0.2">
      <c r="A66" t="s">
        <v>51</v>
      </c>
      <c r="B66" t="s">
        <v>21</v>
      </c>
      <c r="C66">
        <v>499</v>
      </c>
      <c r="D66" s="18">
        <v>493.7</v>
      </c>
      <c r="F66">
        <f>MIN(Table329[[#This Row],[GWh/d '[capacity map']]:[GWh/d '[transparency map']]])*365</f>
        <v>180200.5</v>
      </c>
      <c r="G66">
        <f t="shared" ref="G66:G109" si="1">F66/1000</f>
        <v>180.20050000000001</v>
      </c>
    </row>
    <row r="67" spans="1:7" x14ac:dyDescent="0.2">
      <c r="A67" t="s">
        <v>96</v>
      </c>
      <c r="B67" t="s">
        <v>36</v>
      </c>
      <c r="C67">
        <v>0</v>
      </c>
      <c r="D67" s="18">
        <v>442.8</v>
      </c>
      <c r="F67">
        <f>MIN(Table329[[#This Row],[GWh/d '[capacity map']]:[GWh/d '[transparency map']]])*365</f>
        <v>0</v>
      </c>
      <c r="G67">
        <f t="shared" si="1"/>
        <v>0</v>
      </c>
    </row>
    <row r="68" spans="1:7" x14ac:dyDescent="0.2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7" x14ac:dyDescent="0.2">
      <c r="A69" t="s">
        <v>39</v>
      </c>
      <c r="B69" t="s">
        <v>38</v>
      </c>
      <c r="C69">
        <v>0</v>
      </c>
      <c r="E69" s="18">
        <v>80.846503979999994</v>
      </c>
      <c r="F69">
        <f>MIN(Table329[[#This Row],[GWh/d '[capacity map']]:[GWh/d '[transparency map']]])*365</f>
        <v>0</v>
      </c>
      <c r="G69">
        <f t="shared" si="1"/>
        <v>0</v>
      </c>
    </row>
    <row r="70" spans="1:7" x14ac:dyDescent="0.2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7" x14ac:dyDescent="0.2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7" x14ac:dyDescent="0.2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7" x14ac:dyDescent="0.2">
      <c r="A73" t="s">
        <v>48</v>
      </c>
      <c r="B73" t="s">
        <v>17</v>
      </c>
      <c r="C73">
        <v>488</v>
      </c>
      <c r="D73" s="18">
        <v>459.6</v>
      </c>
      <c r="F73">
        <f>MIN(Table329[[#This Row],[GWh/d '[capacity map']]:[GWh/d '[transparency map']]])*365</f>
        <v>167754</v>
      </c>
      <c r="G73">
        <f t="shared" si="1"/>
        <v>167.75399999999999</v>
      </c>
    </row>
    <row r="74" spans="1:7" x14ac:dyDescent="0.2">
      <c r="A74" t="s">
        <v>48</v>
      </c>
      <c r="B74" t="s">
        <v>19</v>
      </c>
      <c r="C74">
        <v>1904.258</v>
      </c>
      <c r="D74" s="18">
        <v>1247</v>
      </c>
      <c r="F74">
        <f>MIN(Table329[[#This Row],[GWh/d '[capacity map']]:[GWh/d '[transparency map']]])*365</f>
        <v>455155</v>
      </c>
      <c r="G74">
        <f t="shared" si="1"/>
        <v>455.15499999999997</v>
      </c>
    </row>
    <row r="75" spans="1:7" x14ac:dyDescent="0.2">
      <c r="A75" t="s">
        <v>48</v>
      </c>
      <c r="B75" t="s">
        <v>25</v>
      </c>
      <c r="C75">
        <v>570</v>
      </c>
      <c r="D75" s="18">
        <v>568.5</v>
      </c>
      <c r="F75">
        <f>MIN(Table329[[#This Row],[GWh/d '[capacity map']]:[GWh/d '[transparency map']]])*365</f>
        <v>207502.5</v>
      </c>
      <c r="G75">
        <f t="shared" si="1"/>
        <v>207.5025</v>
      </c>
    </row>
    <row r="76" spans="1:7" x14ac:dyDescent="0.2">
      <c r="A76" t="s">
        <v>48</v>
      </c>
      <c r="B76" t="s">
        <v>18</v>
      </c>
      <c r="C76">
        <v>0</v>
      </c>
      <c r="D76" s="18">
        <v>963.6</v>
      </c>
      <c r="F76">
        <f>MIN(Table329[[#This Row],[GWh/d '[capacity map']]:[GWh/d '[transparency map']]])*365</f>
        <v>0</v>
      </c>
      <c r="G76">
        <f t="shared" si="1"/>
        <v>0</v>
      </c>
    </row>
    <row r="77" spans="1:7" x14ac:dyDescent="0.2">
      <c r="A77" t="s">
        <v>48</v>
      </c>
      <c r="B77" t="s">
        <v>11</v>
      </c>
      <c r="C77">
        <v>1499.1</v>
      </c>
      <c r="D77" s="18">
        <v>1406</v>
      </c>
      <c r="F77">
        <f>MIN(Table329[[#This Row],[GWh/d '[capacity map']]:[GWh/d '[transparency map']]])*365</f>
        <v>513190</v>
      </c>
      <c r="G77">
        <f t="shared" si="1"/>
        <v>513.19000000000005</v>
      </c>
    </row>
    <row r="78" spans="1:7" x14ac:dyDescent="0.2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7" x14ac:dyDescent="0.2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7" x14ac:dyDescent="0.2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 x14ac:dyDescent="0.2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 x14ac:dyDescent="0.2">
      <c r="A82" t="s">
        <v>33</v>
      </c>
      <c r="B82" t="s">
        <v>39</v>
      </c>
      <c r="C82">
        <v>1.3</v>
      </c>
      <c r="E82" s="18">
        <v>55.7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 x14ac:dyDescent="0.2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 x14ac:dyDescent="0.2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 x14ac:dyDescent="0.2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 x14ac:dyDescent="0.2">
      <c r="A86" t="s">
        <v>31</v>
      </c>
      <c r="B86" t="s">
        <v>30</v>
      </c>
      <c r="C86">
        <v>0</v>
      </c>
      <c r="D86" s="18">
        <v>245.8</v>
      </c>
      <c r="F86">
        <f>MIN(Table329[[#This Row],[GWh/d '[capacity map']]:[GWh/d '[transparency map']]])*365</f>
        <v>0</v>
      </c>
      <c r="G86">
        <f t="shared" si="1"/>
        <v>0</v>
      </c>
    </row>
    <row r="87" spans="1:8" x14ac:dyDescent="0.2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 x14ac:dyDescent="0.2">
      <c r="A88" t="s">
        <v>40</v>
      </c>
      <c r="B88" t="s">
        <v>19</v>
      </c>
      <c r="C88">
        <v>1742</v>
      </c>
      <c r="D88" s="18">
        <v>1406</v>
      </c>
      <c r="F88">
        <f>MIN(Table329[[#This Row],[GWh/d '[capacity map']]:[GWh/d '[transparency map']]])*365</f>
        <v>513190</v>
      </c>
      <c r="G88">
        <f t="shared" si="1"/>
        <v>513.19000000000005</v>
      </c>
    </row>
    <row r="89" spans="1:8" x14ac:dyDescent="0.2">
      <c r="A89" t="s">
        <v>40</v>
      </c>
      <c r="B89" t="s">
        <v>54</v>
      </c>
      <c r="C89">
        <v>220</v>
      </c>
      <c r="D89" s="18">
        <v>220</v>
      </c>
      <c r="F89">
        <f>MIN(Table329[[#This Row],[GWh/d '[capacity map']]:[GWh/d '[transparency map']]])*365</f>
        <v>80300</v>
      </c>
      <c r="G89">
        <f t="shared" si="1"/>
        <v>80.3</v>
      </c>
    </row>
    <row r="90" spans="1:8" x14ac:dyDescent="0.2">
      <c r="A90" t="s">
        <v>40</v>
      </c>
      <c r="B90" t="s">
        <v>35</v>
      </c>
      <c r="C90">
        <v>0</v>
      </c>
      <c r="D90" s="18">
        <v>168</v>
      </c>
      <c r="F90">
        <f>MIN(Table329[[#This Row],[GWh/d '[capacity map']]:[GWh/d '[transparency map']]])*365</f>
        <v>0</v>
      </c>
      <c r="G90">
        <f t="shared" si="1"/>
        <v>0</v>
      </c>
    </row>
    <row r="91" spans="1:8" x14ac:dyDescent="0.2">
      <c r="A91" t="s">
        <v>40</v>
      </c>
      <c r="B91" t="s">
        <v>46</v>
      </c>
      <c r="C91">
        <v>0</v>
      </c>
      <c r="E91" s="18">
        <v>958.9</v>
      </c>
      <c r="F91">
        <f>MIN(Table329[[#This Row],[GWh/d '[capacity map']]:[GWh/d '[transparency map']]])*365</f>
        <v>0</v>
      </c>
      <c r="G91">
        <f t="shared" si="1"/>
        <v>0</v>
      </c>
      <c r="H91" t="s">
        <v>141</v>
      </c>
    </row>
    <row r="92" spans="1:8" x14ac:dyDescent="0.2">
      <c r="A92" t="s">
        <v>40</v>
      </c>
      <c r="B92" t="s">
        <v>38</v>
      </c>
      <c r="C92">
        <v>0</v>
      </c>
      <c r="D92" s="18">
        <v>1334</v>
      </c>
      <c r="E92" s="18">
        <v>5459.5088498999994</v>
      </c>
      <c r="F92">
        <f>MIN(Table329[[#This Row],[GWh/d '[capacity map']]:[GWh/d '[transparency map']]])*365</f>
        <v>0</v>
      </c>
      <c r="G92">
        <f t="shared" si="1"/>
        <v>0</v>
      </c>
    </row>
    <row r="93" spans="1:8" x14ac:dyDescent="0.2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 x14ac:dyDescent="0.2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 x14ac:dyDescent="0.2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 x14ac:dyDescent="0.2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7" x14ac:dyDescent="0.2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7" x14ac:dyDescent="0.2">
      <c r="A98" t="s">
        <v>29</v>
      </c>
      <c r="B98" t="s">
        <v>38</v>
      </c>
      <c r="C98">
        <v>416</v>
      </c>
      <c r="D98" s="18">
        <v>280.8</v>
      </c>
      <c r="F98">
        <f>MIN(Table329[[#This Row],[GWh/d '[capacity map']]:[GWh/d '[transparency map']]])*365</f>
        <v>102492</v>
      </c>
      <c r="G98">
        <f t="shared" si="1"/>
        <v>102.492</v>
      </c>
    </row>
    <row r="99" spans="1:7" x14ac:dyDescent="0.2">
      <c r="A99" t="s">
        <v>50</v>
      </c>
      <c r="B99" t="s">
        <v>21</v>
      </c>
      <c r="C99">
        <v>0</v>
      </c>
      <c r="D99" s="18">
        <v>1154</v>
      </c>
      <c r="F99">
        <f>MIN(Table329[[#This Row],[GWh/d '[capacity map']]:[GWh/d '[transparency map']]])*365</f>
        <v>0</v>
      </c>
      <c r="G99">
        <f t="shared" si="1"/>
        <v>0</v>
      </c>
    </row>
    <row r="100" spans="1:7" x14ac:dyDescent="0.2">
      <c r="A100" t="s">
        <v>46</v>
      </c>
      <c r="B100" t="s">
        <v>32</v>
      </c>
      <c r="C100">
        <v>0</v>
      </c>
      <c r="D100" s="18">
        <v>701.8</v>
      </c>
      <c r="F100">
        <f>MIN(Table329[[#This Row],[GWh/d '[capacity map']]:[GWh/d '[transparency map']]])*365</f>
        <v>0</v>
      </c>
      <c r="G100">
        <f t="shared" si="1"/>
        <v>0</v>
      </c>
    </row>
    <row r="101" spans="1:7" x14ac:dyDescent="0.2">
      <c r="A101" t="s">
        <v>46</v>
      </c>
      <c r="B101" t="s">
        <v>264</v>
      </c>
      <c r="C101">
        <v>0</v>
      </c>
      <c r="D101" s="18">
        <v>395</v>
      </c>
      <c r="F101">
        <f>MIN(Table329[[#This Row],[GWh/d '[capacity map']]:[GWh/d '[transparency map']]])*365</f>
        <v>0</v>
      </c>
      <c r="G101">
        <f t="shared" si="1"/>
        <v>0</v>
      </c>
    </row>
    <row r="102" spans="1:7" x14ac:dyDescent="0.2">
      <c r="A102" t="s">
        <v>38</v>
      </c>
      <c r="B102" t="s">
        <v>30</v>
      </c>
      <c r="C102">
        <v>516.6</v>
      </c>
      <c r="D102" s="18">
        <v>517.5</v>
      </c>
      <c r="F102">
        <f>MIN(Table329[[#This Row],[GWh/d '[capacity map']]:[GWh/d '[transparency map']]])*365</f>
        <v>188559</v>
      </c>
      <c r="G102">
        <f t="shared" si="1"/>
        <v>188.559</v>
      </c>
    </row>
    <row r="103" spans="1:7" x14ac:dyDescent="0.2">
      <c r="A103" t="s">
        <v>38</v>
      </c>
      <c r="B103" t="s">
        <v>39</v>
      </c>
      <c r="C103">
        <v>0</v>
      </c>
      <c r="E103" s="18">
        <v>255.46047452000005</v>
      </c>
      <c r="F103">
        <f>MIN(Table329[[#This Row],[GWh/d '[capacity map']]:[GWh/d '[transparency map']]])*365</f>
        <v>0</v>
      </c>
      <c r="G103">
        <f t="shared" si="1"/>
        <v>0</v>
      </c>
    </row>
    <row r="104" spans="1:7" x14ac:dyDescent="0.2">
      <c r="A104" t="s">
        <v>38</v>
      </c>
      <c r="B104" t="s">
        <v>27</v>
      </c>
      <c r="C104">
        <v>135.6</v>
      </c>
      <c r="D104" s="18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7" x14ac:dyDescent="0.2">
      <c r="A105" t="s">
        <v>38</v>
      </c>
      <c r="B105" t="s">
        <v>33</v>
      </c>
      <c r="C105">
        <v>1114.0999999999999</v>
      </c>
      <c r="D105" s="18">
        <v>201.6</v>
      </c>
      <c r="F105">
        <f>MIN(Table329[[#This Row],[GWh/d '[capacity map']]:[GWh/d '[transparency map']]])*365</f>
        <v>73584</v>
      </c>
      <c r="G105">
        <f t="shared" si="1"/>
        <v>73.584000000000003</v>
      </c>
    </row>
    <row r="106" spans="1:7" x14ac:dyDescent="0.2">
      <c r="A106" t="s">
        <v>38</v>
      </c>
      <c r="B106" t="s">
        <v>29</v>
      </c>
      <c r="C106">
        <v>2277.6</v>
      </c>
      <c r="D106" s="18">
        <f>1799+436.8</f>
        <v>2235.8000000000002</v>
      </c>
      <c r="F106">
        <f>MIN(Table329[[#This Row],[GWh/d '[capacity map']]:[GWh/d '[transparency map']]])*365</f>
        <v>816067.00000000012</v>
      </c>
      <c r="G106">
        <f t="shared" si="1"/>
        <v>816.06700000000012</v>
      </c>
    </row>
    <row r="107" spans="1:7" x14ac:dyDescent="0.2">
      <c r="A107" t="s">
        <v>11</v>
      </c>
      <c r="B107" t="s">
        <v>17</v>
      </c>
      <c r="C107">
        <v>651.70000000000005</v>
      </c>
      <c r="D107" s="18">
        <v>227.2</v>
      </c>
      <c r="F107">
        <f>MIN(Table329[[#This Row],[GWh/d '[capacity map']]:[GWh/d '[transparency map']]])*365</f>
        <v>82928</v>
      </c>
      <c r="G107">
        <f t="shared" si="1"/>
        <v>82.927999999999997</v>
      </c>
    </row>
    <row r="108" spans="1:7" x14ac:dyDescent="0.2">
      <c r="A108" t="s">
        <v>11</v>
      </c>
      <c r="B108" t="s">
        <v>43</v>
      </c>
      <c r="C108">
        <v>476.2</v>
      </c>
      <c r="D108" s="18">
        <v>385</v>
      </c>
      <c r="F108">
        <f>MIN(Table329[[#This Row],[GWh/d '[capacity map']]:[GWh/d '[transparency map']]])*365</f>
        <v>140525</v>
      </c>
      <c r="G108">
        <f t="shared" si="1"/>
        <v>140.52500000000001</v>
      </c>
    </row>
    <row r="109" spans="1:7" x14ac:dyDescent="0.2">
      <c r="A109" t="s">
        <v>11</v>
      </c>
      <c r="B109" t="s">
        <v>18</v>
      </c>
      <c r="C109">
        <v>0</v>
      </c>
      <c r="D109" s="18">
        <v>184.8</v>
      </c>
      <c r="F109">
        <f>MIN(Table329[[#This Row],[GWh/d '[capacity map']]:[GWh/d '[transparency map']]])*365</f>
        <v>0</v>
      </c>
      <c r="G109">
        <f t="shared" si="1"/>
        <v>0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A5" sqref="A5"/>
    </sheetView>
  </sheetViews>
  <sheetFormatPr baseColWidth="10" defaultColWidth="9" defaultRowHeight="15" x14ac:dyDescent="0.2"/>
  <cols>
    <col min="1" max="1" width="7.6640625" bestFit="1" customWidth="1"/>
    <col min="2" max="2" width="5.5" bestFit="1" customWidth="1"/>
    <col min="3" max="3" width="21.1640625" bestFit="1" customWidth="1"/>
    <col min="4" max="4" width="21.5" bestFit="1" customWidth="1"/>
    <col min="5" max="5" width="25" bestFit="1" customWidth="1"/>
    <col min="6" max="7" width="12.1640625" bestFit="1" customWidth="1"/>
    <col min="8" max="8" width="45" bestFit="1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 x14ac:dyDescent="0.2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 x14ac:dyDescent="0.2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 x14ac:dyDescent="0.2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 x14ac:dyDescent="0.2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 x14ac:dyDescent="0.2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 x14ac:dyDescent="0.2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 x14ac:dyDescent="0.2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 x14ac:dyDescent="0.2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 x14ac:dyDescent="0.2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 x14ac:dyDescent="0.2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 x14ac:dyDescent="0.2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 x14ac:dyDescent="0.2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 x14ac:dyDescent="0.2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 x14ac:dyDescent="0.2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 x14ac:dyDescent="0.2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 x14ac:dyDescent="0.2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 x14ac:dyDescent="0.2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 x14ac:dyDescent="0.2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 x14ac:dyDescent="0.2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 x14ac:dyDescent="0.2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 x14ac:dyDescent="0.2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 x14ac:dyDescent="0.2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 x14ac:dyDescent="0.2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 x14ac:dyDescent="0.2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 x14ac:dyDescent="0.2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 x14ac:dyDescent="0.2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 x14ac:dyDescent="0.2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 x14ac:dyDescent="0.2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 x14ac:dyDescent="0.2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 x14ac:dyDescent="0.2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 x14ac:dyDescent="0.2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 x14ac:dyDescent="0.2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 x14ac:dyDescent="0.2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 x14ac:dyDescent="0.2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 x14ac:dyDescent="0.2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 x14ac:dyDescent="0.2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 x14ac:dyDescent="0.2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 x14ac:dyDescent="0.2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 x14ac:dyDescent="0.2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 x14ac:dyDescent="0.2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 x14ac:dyDescent="0.2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 x14ac:dyDescent="0.2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 x14ac:dyDescent="0.2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 x14ac:dyDescent="0.2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 x14ac:dyDescent="0.2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 x14ac:dyDescent="0.2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 x14ac:dyDescent="0.2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 x14ac:dyDescent="0.2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 x14ac:dyDescent="0.2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 x14ac:dyDescent="0.2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 x14ac:dyDescent="0.2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 x14ac:dyDescent="0.2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 x14ac:dyDescent="0.2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 x14ac:dyDescent="0.2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 x14ac:dyDescent="0.2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 x14ac:dyDescent="0.2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 x14ac:dyDescent="0.2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 x14ac:dyDescent="0.2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 x14ac:dyDescent="0.2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 x14ac:dyDescent="0.2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 x14ac:dyDescent="0.2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 x14ac:dyDescent="0.2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 x14ac:dyDescent="0.2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 x14ac:dyDescent="0.2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 x14ac:dyDescent="0.2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 x14ac:dyDescent="0.2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 x14ac:dyDescent="0.2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 x14ac:dyDescent="0.2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 x14ac:dyDescent="0.2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 x14ac:dyDescent="0.2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 x14ac:dyDescent="0.2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 x14ac:dyDescent="0.2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 x14ac:dyDescent="0.2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 x14ac:dyDescent="0.2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 x14ac:dyDescent="0.2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 x14ac:dyDescent="0.2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 x14ac:dyDescent="0.2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 x14ac:dyDescent="0.2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 x14ac:dyDescent="0.2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 x14ac:dyDescent="0.2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 x14ac:dyDescent="0.2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 x14ac:dyDescent="0.2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 x14ac:dyDescent="0.2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 x14ac:dyDescent="0.2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 x14ac:dyDescent="0.2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 x14ac:dyDescent="0.2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 x14ac:dyDescent="0.2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 x14ac:dyDescent="0.2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 x14ac:dyDescent="0.2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 x14ac:dyDescent="0.2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 x14ac:dyDescent="0.2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 x14ac:dyDescent="0.2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 x14ac:dyDescent="0.2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 x14ac:dyDescent="0.2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 x14ac:dyDescent="0.2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 x14ac:dyDescent="0.2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 x14ac:dyDescent="0.2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 x14ac:dyDescent="0.2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 x14ac:dyDescent="0.2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 x14ac:dyDescent="0.2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 x14ac:dyDescent="0.2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 x14ac:dyDescent="0.2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 x14ac:dyDescent="0.2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 x14ac:dyDescent="0.2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 x14ac:dyDescent="0.2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workbookViewId="0">
      <selection activeCell="D12" sqref="D12"/>
    </sheetView>
  </sheetViews>
  <sheetFormatPr baseColWidth="10" defaultColWidth="8.83203125" defaultRowHeight="15" x14ac:dyDescent="0.2"/>
  <cols>
    <col min="3" max="3" width="20.5" customWidth="1"/>
    <col min="4" max="4" width="17.1640625" customWidth="1"/>
    <col min="5" max="5" width="16.1640625" customWidth="1"/>
    <col min="6" max="6" width="8.83203125" customWidth="1"/>
    <col min="11" max="12" width="10.1640625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 x14ac:dyDescent="0.2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 x14ac:dyDescent="0.2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 x14ac:dyDescent="0.2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 x14ac:dyDescent="0.2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 x14ac:dyDescent="0.2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 x14ac:dyDescent="0.2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 x14ac:dyDescent="0.2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 x14ac:dyDescent="0.2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 x14ac:dyDescent="0.2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 x14ac:dyDescent="0.2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 x14ac:dyDescent="0.2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 x14ac:dyDescent="0.2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 x14ac:dyDescent="0.2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 x14ac:dyDescent="0.2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 x14ac:dyDescent="0.2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 x14ac:dyDescent="0.2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 x14ac:dyDescent="0.2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 x14ac:dyDescent="0.2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 x14ac:dyDescent="0.2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 x14ac:dyDescent="0.2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 x14ac:dyDescent="0.2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 x14ac:dyDescent="0.2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 x14ac:dyDescent="0.2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 x14ac:dyDescent="0.2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 x14ac:dyDescent="0.2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 x14ac:dyDescent="0.2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 x14ac:dyDescent="0.2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 x14ac:dyDescent="0.2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 x14ac:dyDescent="0.2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 x14ac:dyDescent="0.2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 x14ac:dyDescent="0.2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 x14ac:dyDescent="0.2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 x14ac:dyDescent="0.2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 x14ac:dyDescent="0.2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 x14ac:dyDescent="0.2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 x14ac:dyDescent="0.2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 x14ac:dyDescent="0.2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 x14ac:dyDescent="0.2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 x14ac:dyDescent="0.2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 x14ac:dyDescent="0.2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 x14ac:dyDescent="0.2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 x14ac:dyDescent="0.2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 x14ac:dyDescent="0.2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 x14ac:dyDescent="0.2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 x14ac:dyDescent="0.2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 x14ac:dyDescent="0.2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 x14ac:dyDescent="0.2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 x14ac:dyDescent="0.2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 x14ac:dyDescent="0.2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 x14ac:dyDescent="0.2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 x14ac:dyDescent="0.2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 x14ac:dyDescent="0.2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 x14ac:dyDescent="0.2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 x14ac:dyDescent="0.2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 x14ac:dyDescent="0.2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 x14ac:dyDescent="0.2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 x14ac:dyDescent="0.2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 x14ac:dyDescent="0.2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 x14ac:dyDescent="0.2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 x14ac:dyDescent="0.2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 x14ac:dyDescent="0.2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 x14ac:dyDescent="0.2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 x14ac:dyDescent="0.2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 x14ac:dyDescent="0.2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 x14ac:dyDescent="0.2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 x14ac:dyDescent="0.2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 x14ac:dyDescent="0.2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 x14ac:dyDescent="0.2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 x14ac:dyDescent="0.2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 x14ac:dyDescent="0.2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 x14ac:dyDescent="0.2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 x14ac:dyDescent="0.2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 x14ac:dyDescent="0.2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 x14ac:dyDescent="0.2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 x14ac:dyDescent="0.2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 x14ac:dyDescent="0.2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 x14ac:dyDescent="0.2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 x14ac:dyDescent="0.2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 x14ac:dyDescent="0.2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 x14ac:dyDescent="0.2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 x14ac:dyDescent="0.2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 x14ac:dyDescent="0.2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 x14ac:dyDescent="0.2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 x14ac:dyDescent="0.2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 x14ac:dyDescent="0.2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 x14ac:dyDescent="0.2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 x14ac:dyDescent="0.2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 x14ac:dyDescent="0.2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 x14ac:dyDescent="0.2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 x14ac:dyDescent="0.2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 x14ac:dyDescent="0.2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 x14ac:dyDescent="0.2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 x14ac:dyDescent="0.2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 x14ac:dyDescent="0.2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 x14ac:dyDescent="0.2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 x14ac:dyDescent="0.2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 x14ac:dyDescent="0.2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 x14ac:dyDescent="0.2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 x14ac:dyDescent="0.2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 x14ac:dyDescent="0.2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 x14ac:dyDescent="0.2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 x14ac:dyDescent="0.2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 x14ac:dyDescent="0.2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 x14ac:dyDescent="0.2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 x14ac:dyDescent="0.2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 x14ac:dyDescent="0.2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 x14ac:dyDescent="0.2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 x14ac:dyDescent="0.2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 x14ac:dyDescent="0.2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 x14ac:dyDescent="0.2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 x14ac:dyDescent="0.2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baseColWidth="10" defaultColWidth="8.83203125" defaultRowHeight="15" x14ac:dyDescent="0.2"/>
  <cols>
    <col min="3" max="3" width="20.5" customWidth="1"/>
    <col min="4" max="4" width="17.1640625" customWidth="1"/>
    <col min="5" max="5" width="16.1640625" customWidth="1"/>
    <col min="6" max="6" width="8.83203125" customWidth="1"/>
    <col min="11" max="12" width="10.1640625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 x14ac:dyDescent="0.2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 x14ac:dyDescent="0.2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 x14ac:dyDescent="0.2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 x14ac:dyDescent="0.2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 x14ac:dyDescent="0.2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 x14ac:dyDescent="0.2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 x14ac:dyDescent="0.2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 x14ac:dyDescent="0.2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 x14ac:dyDescent="0.2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 x14ac:dyDescent="0.2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 x14ac:dyDescent="0.2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 x14ac:dyDescent="0.2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 x14ac:dyDescent="0.2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 x14ac:dyDescent="0.2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 x14ac:dyDescent="0.2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 x14ac:dyDescent="0.2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 x14ac:dyDescent="0.2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 x14ac:dyDescent="0.2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 x14ac:dyDescent="0.2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 x14ac:dyDescent="0.2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 x14ac:dyDescent="0.2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 x14ac:dyDescent="0.2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 x14ac:dyDescent="0.2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 x14ac:dyDescent="0.2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 x14ac:dyDescent="0.2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 x14ac:dyDescent="0.2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 x14ac:dyDescent="0.2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 x14ac:dyDescent="0.2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 x14ac:dyDescent="0.2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 x14ac:dyDescent="0.2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 x14ac:dyDescent="0.2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 x14ac:dyDescent="0.2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 x14ac:dyDescent="0.2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 x14ac:dyDescent="0.2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 x14ac:dyDescent="0.2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 x14ac:dyDescent="0.2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 x14ac:dyDescent="0.2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 x14ac:dyDescent="0.2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 x14ac:dyDescent="0.2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 x14ac:dyDescent="0.2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 x14ac:dyDescent="0.2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 x14ac:dyDescent="0.2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 x14ac:dyDescent="0.2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 x14ac:dyDescent="0.2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 x14ac:dyDescent="0.2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 x14ac:dyDescent="0.2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 x14ac:dyDescent="0.2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 x14ac:dyDescent="0.2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 x14ac:dyDescent="0.2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 x14ac:dyDescent="0.2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 x14ac:dyDescent="0.2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 x14ac:dyDescent="0.2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 x14ac:dyDescent="0.2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 x14ac:dyDescent="0.2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 x14ac:dyDescent="0.2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 x14ac:dyDescent="0.2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 x14ac:dyDescent="0.2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 x14ac:dyDescent="0.2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 x14ac:dyDescent="0.2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 x14ac:dyDescent="0.2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 x14ac:dyDescent="0.2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 x14ac:dyDescent="0.2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 x14ac:dyDescent="0.2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 x14ac:dyDescent="0.2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 x14ac:dyDescent="0.2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 x14ac:dyDescent="0.2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 x14ac:dyDescent="0.2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 x14ac:dyDescent="0.2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 x14ac:dyDescent="0.2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 x14ac:dyDescent="0.2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 x14ac:dyDescent="0.2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 x14ac:dyDescent="0.2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 x14ac:dyDescent="0.2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 x14ac:dyDescent="0.2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 x14ac:dyDescent="0.2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 x14ac:dyDescent="0.2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 x14ac:dyDescent="0.2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 x14ac:dyDescent="0.2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 x14ac:dyDescent="0.2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 x14ac:dyDescent="0.2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 x14ac:dyDescent="0.2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 x14ac:dyDescent="0.2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 x14ac:dyDescent="0.2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 x14ac:dyDescent="0.2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 x14ac:dyDescent="0.2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 x14ac:dyDescent="0.2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 x14ac:dyDescent="0.2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 x14ac:dyDescent="0.2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 x14ac:dyDescent="0.2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 x14ac:dyDescent="0.2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 x14ac:dyDescent="0.2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 x14ac:dyDescent="0.2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 x14ac:dyDescent="0.2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 x14ac:dyDescent="0.2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 x14ac:dyDescent="0.2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 x14ac:dyDescent="0.2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 x14ac:dyDescent="0.2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 x14ac:dyDescent="0.2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 x14ac:dyDescent="0.2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 x14ac:dyDescent="0.2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 x14ac:dyDescent="0.2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 x14ac:dyDescent="0.2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 x14ac:dyDescent="0.2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 x14ac:dyDescent="0.2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 x14ac:dyDescent="0.2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 x14ac:dyDescent="0.2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 x14ac:dyDescent="0.2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 x14ac:dyDescent="0.2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 x14ac:dyDescent="0.2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 x14ac:dyDescent="0.2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 x14ac:dyDescent="0.2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baseColWidth="10" defaultColWidth="8.83203125" defaultRowHeight="15" x14ac:dyDescent="0.2"/>
  <cols>
    <col min="3" max="3" width="17.5" customWidth="1"/>
    <col min="4" max="4" width="8.83203125" customWidth="1"/>
    <col min="6" max="6" width="16.1640625" customWidth="1"/>
    <col min="7" max="7" width="14.33203125" customWidth="1"/>
  </cols>
  <sheetData>
    <row r="1" spans="1:12" x14ac:dyDescent="0.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 x14ac:dyDescent="0.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 x14ac:dyDescent="0.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 x14ac:dyDescent="0.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 x14ac:dyDescent="0.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 x14ac:dyDescent="0.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 x14ac:dyDescent="0.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 x14ac:dyDescent="0.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 x14ac:dyDescent="0.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 x14ac:dyDescent="0.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 x14ac:dyDescent="0.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 x14ac:dyDescent="0.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 x14ac:dyDescent="0.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70"/>
  <sheetViews>
    <sheetView workbookViewId="0">
      <selection activeCell="C2" sqref="C2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LNG_global27[[#This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LNG_global27[[#This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LNG_global27[[#This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LNG_global27[[#This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LNG_global27[[#This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LNG_global27[[#This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LNG_global27[[#This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LNG_global27[[#This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LNG_global27[[#This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LNG_global27[[#This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LNG_global27[[#This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LNG_global27[[#This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LNG_global27[[#This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LNG_global27[[#This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LNG_global27[[#This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LNG_global27[[#This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LNG_global27[[#This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LNG_global27[[#This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LNG_global27[[#This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LNG_global27[[#This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LNG_global27[[#This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LNG_global27[[#This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LNG_global27[[#This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LNG_global27[[#This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LNG_global27[[#This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LNG_global27[[#This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LNG_global27[[#This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LNG_global27[[#This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LNG_global27[[#This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LNG_global27[[#This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LNG_global27[[#This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LNG_global27[[#This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LNG_global27[[#This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LNG_global27[[#This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LNG_global27[[#This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LNG_global27[[#This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LNG_global27[[#This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LNG_global27[[#This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LNG_global27[[#This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LNG_global27[[#This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LNG_global27[[#This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LNG_global27[[#This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LNG_global27[[#This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LNG_global27[[#This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LNG_global27[[#This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LNG_global27[[#This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LNG_global27[[#This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LNG_global27[[#This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LNG_global27[[#This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LNG_global27[[#This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LNG_global27[[#This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LNG_global27[[#This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LNG_global27[[#This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LNG_global27[[#This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LNG_global27[[#This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LNG_global27[[#This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LNG_global27[[#This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LNG_global27[[#This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LNG_global27[[#This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LNG_global27[[#This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LNG_global27[[#This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LNG_global27[[#This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4" si="5">D64/1000</f>
        <v>0</v>
      </c>
      <c r="F64">
        <v>4581</v>
      </c>
      <c r="G64">
        <f>LNG_global27[[#This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LNG_global27[[#This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LNG_global27[[#This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LNG_global27[[#This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LNG_global27[[#This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LNG_global27[[#This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LNG_global27[[#This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LNG_global27[[#This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LNG_global27[[#This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LNG_global27[[#This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LNG_global27[[#This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179</v>
      </c>
      <c r="B75" t="s">
        <v>200</v>
      </c>
      <c r="E75">
        <f>D75/1000</f>
        <v>0</v>
      </c>
      <c r="F75">
        <v>4986</v>
      </c>
      <c r="G75">
        <f>LNG_global27[[#This Row],[Distance '[miles']]]*1.60934449789256</f>
        <v>8024.1916664923037</v>
      </c>
      <c r="I75" t="s">
        <v>233</v>
      </c>
    </row>
    <row r="76" spans="1:9" x14ac:dyDescent="0.2">
      <c r="A76" t="s">
        <v>179</v>
      </c>
      <c r="B76" t="s">
        <v>201</v>
      </c>
      <c r="E76">
        <f t="shared" ref="E76:E86" si="6">D76/1000</f>
        <v>0</v>
      </c>
      <c r="F76">
        <v>4958</v>
      </c>
      <c r="G76">
        <f>LNG_global27[[#This Row],[Distance '[miles']]]*1.60934449789256</f>
        <v>7979.1300205513126</v>
      </c>
      <c r="I76" t="s">
        <v>251</v>
      </c>
    </row>
    <row r="77" spans="1:9" x14ac:dyDescent="0.2">
      <c r="A77" t="s">
        <v>179</v>
      </c>
      <c r="B77" t="s">
        <v>267</v>
      </c>
      <c r="E77">
        <f t="shared" si="6"/>
        <v>0</v>
      </c>
      <c r="F77">
        <v>6255</v>
      </c>
      <c r="G77">
        <f>LNG_global27[[#This Row],[Distance '[miles']]]*1.60934449789256</f>
        <v>10066.449834317962</v>
      </c>
      <c r="I77" t="s">
        <v>214</v>
      </c>
    </row>
    <row r="78" spans="1:9" x14ac:dyDescent="0.2">
      <c r="A78" t="s">
        <v>179</v>
      </c>
      <c r="B78" t="s">
        <v>202</v>
      </c>
      <c r="E78">
        <f t="shared" si="6"/>
        <v>0</v>
      </c>
      <c r="F78">
        <v>5631</v>
      </c>
      <c r="G78">
        <f>LNG_global27[[#This Row],[Distance '[miles']]]*1.60934449789256</f>
        <v>9062.2188676330043</v>
      </c>
      <c r="I78" t="s">
        <v>275</v>
      </c>
    </row>
    <row r="79" spans="1:9" x14ac:dyDescent="0.2">
      <c r="A79" t="s">
        <v>179</v>
      </c>
      <c r="B79" t="s">
        <v>203</v>
      </c>
      <c r="E79">
        <f t="shared" si="6"/>
        <v>0</v>
      </c>
      <c r="F79">
        <v>6380</v>
      </c>
      <c r="G79">
        <f>LNG_global27[[#This Row],[Distance '[miles']]]*1.60934449789256</f>
        <v>10267.617896554533</v>
      </c>
      <c r="I79" t="s">
        <v>216</v>
      </c>
    </row>
    <row r="80" spans="1:9" x14ac:dyDescent="0.2">
      <c r="A80" t="s">
        <v>179</v>
      </c>
      <c r="B80" t="s">
        <v>204</v>
      </c>
      <c r="E80">
        <f t="shared" si="6"/>
        <v>0</v>
      </c>
      <c r="F80">
        <v>5634</v>
      </c>
      <c r="G80">
        <f>LNG_global27[[#This Row],[Distance '[miles']]]*1.60934449789256</f>
        <v>9067.0469011266832</v>
      </c>
      <c r="I80" t="s">
        <v>217</v>
      </c>
    </row>
    <row r="81" spans="1:9" x14ac:dyDescent="0.2">
      <c r="A81" t="s">
        <v>179</v>
      </c>
      <c r="B81" t="s">
        <v>205</v>
      </c>
      <c r="E81">
        <f t="shared" si="6"/>
        <v>0</v>
      </c>
      <c r="F81">
        <v>5052</v>
      </c>
      <c r="G81">
        <f>LNG_global27[[#This Row],[Distance '[miles']]]*1.60934449789256</f>
        <v>8130.4084033532126</v>
      </c>
      <c r="I81" t="s">
        <v>218</v>
      </c>
    </row>
    <row r="82" spans="1:9" x14ac:dyDescent="0.2">
      <c r="A82" t="s">
        <v>179</v>
      </c>
      <c r="B82" t="s">
        <v>206</v>
      </c>
      <c r="E82">
        <f t="shared" si="6"/>
        <v>0</v>
      </c>
      <c r="F82">
        <v>5443</v>
      </c>
      <c r="G82">
        <f>LNG_global27[[#This Row],[Distance '[miles']]]*1.60934449789256</f>
        <v>8759.6621020292041</v>
      </c>
      <c r="I82" t="s">
        <v>219</v>
      </c>
    </row>
    <row r="83" spans="1:9" x14ac:dyDescent="0.2">
      <c r="A83" t="s">
        <v>179</v>
      </c>
      <c r="B83" t="s">
        <v>207</v>
      </c>
      <c r="E83">
        <f t="shared" si="6"/>
        <v>0</v>
      </c>
      <c r="F83">
        <v>4565</v>
      </c>
      <c r="G83">
        <f>LNG_global27[[#This Row],[Distance '[miles']]]*1.60934449789256</f>
        <v>7346.6576328795363</v>
      </c>
      <c r="I83" t="s">
        <v>220</v>
      </c>
    </row>
    <row r="84" spans="1:9" x14ac:dyDescent="0.2">
      <c r="A84" t="s">
        <v>179</v>
      </c>
      <c r="B84" t="s">
        <v>208</v>
      </c>
      <c r="E84">
        <f t="shared" si="6"/>
        <v>0</v>
      </c>
      <c r="F84">
        <v>4697</v>
      </c>
      <c r="G84">
        <f>LNG_global27[[#This Row],[Distance '[miles']]]*1.60934449789256</f>
        <v>7559.0911066013541</v>
      </c>
      <c r="I84" t="s">
        <v>247</v>
      </c>
    </row>
    <row r="85" spans="1:9" x14ac:dyDescent="0.2">
      <c r="A85" t="s">
        <v>179</v>
      </c>
      <c r="B85" t="s">
        <v>209</v>
      </c>
      <c r="E85">
        <f t="shared" si="6"/>
        <v>0</v>
      </c>
      <c r="F85">
        <v>6409</v>
      </c>
      <c r="G85">
        <f>LNG_global27[[#This Row],[Distance '[miles']]]*1.60934449789256</f>
        <v>10314.288886993416</v>
      </c>
      <c r="I85" t="s">
        <v>222</v>
      </c>
    </row>
    <row r="86" spans="1:9" x14ac:dyDescent="0.2">
      <c r="A86" t="s">
        <v>179</v>
      </c>
      <c r="B86" t="s">
        <v>210</v>
      </c>
      <c r="E86">
        <f t="shared" si="6"/>
        <v>0</v>
      </c>
      <c r="F86">
        <v>4666</v>
      </c>
      <c r="G86">
        <f>LNG_global27[[#This Row],[Distance '[miles']]]*1.60934449789256</f>
        <v>7509.2014271666849</v>
      </c>
      <c r="I86" t="s">
        <v>237</v>
      </c>
    </row>
    <row r="87" spans="1:9" x14ac:dyDescent="0.2">
      <c r="A87" t="s">
        <v>181</v>
      </c>
      <c r="B87" t="s">
        <v>200</v>
      </c>
      <c r="E87">
        <f>D87/1000</f>
        <v>0</v>
      </c>
      <c r="F87">
        <v>3985</v>
      </c>
      <c r="G87">
        <f>LNG_global27[[#This Row],[Distance '[miles']]]*1.60934449789256</f>
        <v>6413.2378241018514</v>
      </c>
      <c r="I87" t="s">
        <v>233</v>
      </c>
    </row>
    <row r="88" spans="1:9" x14ac:dyDescent="0.2">
      <c r="A88" t="s">
        <v>181</v>
      </c>
      <c r="B88" t="s">
        <v>201</v>
      </c>
      <c r="E88">
        <f t="shared" ref="E88:E98" si="7">D88/1000</f>
        <v>0</v>
      </c>
      <c r="F88">
        <v>3952</v>
      </c>
      <c r="G88">
        <f>LNG_global27[[#This Row],[Distance '[miles']]]*1.60934449789256</f>
        <v>6360.1294556713965</v>
      </c>
      <c r="I88" t="s">
        <v>251</v>
      </c>
    </row>
    <row r="89" spans="1:9" x14ac:dyDescent="0.2">
      <c r="A89" t="s">
        <v>181</v>
      </c>
      <c r="B89" t="s">
        <v>267</v>
      </c>
      <c r="E89">
        <f t="shared" si="7"/>
        <v>0</v>
      </c>
      <c r="F89">
        <v>4898</v>
      </c>
      <c r="G89">
        <f>LNG_global27[[#This Row],[Distance '[miles']]]*1.60934449789256</f>
        <v>7882.5693506777588</v>
      </c>
      <c r="I89" t="s">
        <v>214</v>
      </c>
    </row>
    <row r="90" spans="1:9" x14ac:dyDescent="0.2">
      <c r="A90" t="s">
        <v>181</v>
      </c>
      <c r="B90" t="s">
        <v>202</v>
      </c>
      <c r="E90">
        <f t="shared" si="7"/>
        <v>0</v>
      </c>
      <c r="F90">
        <v>5075</v>
      </c>
      <c r="G90">
        <f>LNG_global27[[#This Row],[Distance '[miles']]]*1.60934449789256</f>
        <v>8167.4233268047419</v>
      </c>
      <c r="I90" t="s">
        <v>286</v>
      </c>
    </row>
    <row r="91" spans="1:9" x14ac:dyDescent="0.2">
      <c r="A91" t="s">
        <v>181</v>
      </c>
      <c r="B91" t="s">
        <v>203</v>
      </c>
      <c r="E91">
        <f t="shared" si="7"/>
        <v>0</v>
      </c>
      <c r="F91">
        <v>5023</v>
      </c>
      <c r="G91">
        <f>LNG_global27[[#This Row],[Distance '[miles']]]*1.60934449789256</f>
        <v>8083.7374129143291</v>
      </c>
      <c r="I91" t="s">
        <v>216</v>
      </c>
    </row>
    <row r="92" spans="1:9" x14ac:dyDescent="0.2">
      <c r="A92" t="s">
        <v>181</v>
      </c>
      <c r="B92" t="s">
        <v>204</v>
      </c>
      <c r="E92">
        <f t="shared" si="7"/>
        <v>0</v>
      </c>
      <c r="F92">
        <v>4823</v>
      </c>
      <c r="G92">
        <f>LNG_global27[[#This Row],[Distance '[miles']]]*1.60934449789256</f>
        <v>7761.8685133358167</v>
      </c>
      <c r="I92" t="s">
        <v>217</v>
      </c>
    </row>
    <row r="93" spans="1:9" x14ac:dyDescent="0.2">
      <c r="A93" t="s">
        <v>181</v>
      </c>
      <c r="B93" t="s">
        <v>205</v>
      </c>
      <c r="E93">
        <f t="shared" si="7"/>
        <v>0</v>
      </c>
      <c r="F93">
        <v>4051</v>
      </c>
      <c r="G93">
        <f>LNG_global27[[#This Row],[Distance '[miles']]]*1.60934449789256</f>
        <v>6519.4545609627603</v>
      </c>
      <c r="I93" t="s">
        <v>218</v>
      </c>
    </row>
    <row r="94" spans="1:9" x14ac:dyDescent="0.2">
      <c r="A94" t="s">
        <v>181</v>
      </c>
      <c r="B94" t="s">
        <v>206</v>
      </c>
      <c r="E94">
        <f t="shared" si="7"/>
        <v>0</v>
      </c>
      <c r="F94">
        <v>4632</v>
      </c>
      <c r="G94">
        <f>LNG_global27[[#This Row],[Distance '[miles']]]*1.60934449789256</f>
        <v>7454.4837142383376</v>
      </c>
      <c r="I94" t="s">
        <v>219</v>
      </c>
    </row>
    <row r="95" spans="1:9" x14ac:dyDescent="0.2">
      <c r="A95" t="s">
        <v>181</v>
      </c>
      <c r="B95" t="s">
        <v>207</v>
      </c>
      <c r="E95">
        <f t="shared" si="7"/>
        <v>0</v>
      </c>
      <c r="F95">
        <v>3299</v>
      </c>
      <c r="G95">
        <f>LNG_global27[[#This Row],[Distance '[miles']]]*1.60934449789256</f>
        <v>5309.2274985475551</v>
      </c>
      <c r="I95" t="s">
        <v>220</v>
      </c>
    </row>
    <row r="96" spans="1:9" x14ac:dyDescent="0.2">
      <c r="A96" t="s">
        <v>181</v>
      </c>
      <c r="B96" t="s">
        <v>208</v>
      </c>
      <c r="E96">
        <f t="shared" si="7"/>
        <v>0</v>
      </c>
      <c r="F96">
        <v>3645</v>
      </c>
      <c r="G96">
        <f>LNG_global27[[#This Row],[Distance '[miles']]]*1.60934449789256</f>
        <v>5866.0606948183813</v>
      </c>
      <c r="I96" t="s">
        <v>236</v>
      </c>
    </row>
    <row r="97" spans="1:9" x14ac:dyDescent="0.2">
      <c r="A97" t="s">
        <v>181</v>
      </c>
      <c r="B97" t="s">
        <v>209</v>
      </c>
      <c r="E97">
        <f t="shared" si="7"/>
        <v>0</v>
      </c>
      <c r="F97">
        <v>5052</v>
      </c>
      <c r="G97">
        <f>LNG_global27[[#This Row],[Distance '[miles']]]*1.60934449789256</f>
        <v>8130.4084033532126</v>
      </c>
      <c r="I97" t="s">
        <v>222</v>
      </c>
    </row>
    <row r="98" spans="1:9" x14ac:dyDescent="0.2">
      <c r="A98" t="s">
        <v>181</v>
      </c>
      <c r="B98" t="s">
        <v>210</v>
      </c>
      <c r="E98">
        <f t="shared" si="7"/>
        <v>0</v>
      </c>
      <c r="F98">
        <v>3974</v>
      </c>
      <c r="G98">
        <f>LNG_global27[[#This Row],[Distance '[miles']]]*1.60934449789256</f>
        <v>6395.5350346250334</v>
      </c>
      <c r="I98" t="s">
        <v>280</v>
      </c>
    </row>
    <row r="99" spans="1:9" x14ac:dyDescent="0.2">
      <c r="A99" t="s">
        <v>182</v>
      </c>
      <c r="B99" t="s">
        <v>200</v>
      </c>
      <c r="E99">
        <f>D99/1000</f>
        <v>0</v>
      </c>
      <c r="F99">
        <v>6210</v>
      </c>
      <c r="G99">
        <f>LNG_global27[[#This Row],[Distance '[miles']]]*1.60934449789256</f>
        <v>9994.0293319127977</v>
      </c>
      <c r="H99" t="s">
        <v>212</v>
      </c>
      <c r="I99" t="s">
        <v>233</v>
      </c>
    </row>
    <row r="100" spans="1:9" x14ac:dyDescent="0.2">
      <c r="A100" t="s">
        <v>182</v>
      </c>
      <c r="B100" t="s">
        <v>201</v>
      </c>
      <c r="E100">
        <f t="shared" ref="E100:E122" si="8">D100/1000</f>
        <v>0</v>
      </c>
      <c r="F100">
        <v>6177</v>
      </c>
      <c r="G100">
        <f>LNG_global27[[#This Row],[Distance '[miles']]]*1.60934449789256</f>
        <v>9940.9209634823437</v>
      </c>
      <c r="H100" t="s">
        <v>212</v>
      </c>
      <c r="I100" t="s">
        <v>251</v>
      </c>
    </row>
    <row r="101" spans="1:9" x14ac:dyDescent="0.2">
      <c r="A101" t="s">
        <v>182</v>
      </c>
      <c r="B101" t="s">
        <v>267</v>
      </c>
      <c r="E101">
        <f t="shared" si="8"/>
        <v>0</v>
      </c>
      <c r="F101">
        <v>3601</v>
      </c>
      <c r="G101">
        <f>LNG_global27[[#This Row],[Distance '[miles']]]*1.60934449789256</f>
        <v>5795.2495369111084</v>
      </c>
      <c r="H101" t="s">
        <v>212</v>
      </c>
      <c r="I101" t="s">
        <v>214</v>
      </c>
    </row>
    <row r="102" spans="1:9" x14ac:dyDescent="0.2">
      <c r="A102" t="s">
        <v>182</v>
      </c>
      <c r="B102" t="s">
        <v>202</v>
      </c>
      <c r="E102">
        <f t="shared" si="8"/>
        <v>0</v>
      </c>
      <c r="F102">
        <v>4385</v>
      </c>
      <c r="G102">
        <f>LNG_global27[[#This Row],[Distance '[miles']]]*1.60934449789256</f>
        <v>7056.9756232588752</v>
      </c>
      <c r="H102" t="s">
        <v>212</v>
      </c>
      <c r="I102" t="s">
        <v>215</v>
      </c>
    </row>
    <row r="103" spans="1:9" x14ac:dyDescent="0.2">
      <c r="A103" t="s">
        <v>182</v>
      </c>
      <c r="B103" t="s">
        <v>203</v>
      </c>
      <c r="E103">
        <f t="shared" si="8"/>
        <v>0</v>
      </c>
      <c r="F103">
        <v>4260</v>
      </c>
      <c r="G103">
        <f>LNG_global27[[#This Row],[Distance '[miles']]]*1.60934449789256</f>
        <v>6855.807561022305</v>
      </c>
      <c r="H103" t="s">
        <v>212</v>
      </c>
      <c r="I103" t="s">
        <v>216</v>
      </c>
    </row>
    <row r="104" spans="1:9" x14ac:dyDescent="0.2">
      <c r="A104" t="s">
        <v>182</v>
      </c>
      <c r="B104" t="s">
        <v>204</v>
      </c>
      <c r="E104">
        <f t="shared" si="8"/>
        <v>0</v>
      </c>
      <c r="F104">
        <v>7144</v>
      </c>
      <c r="G104">
        <f>LNG_global27[[#This Row],[Distance '[miles']]]*1.60934449789256</f>
        <v>11497.157092944448</v>
      </c>
      <c r="H104" t="s">
        <v>212</v>
      </c>
      <c r="I104" t="s">
        <v>217</v>
      </c>
    </row>
    <row r="105" spans="1:9" x14ac:dyDescent="0.2">
      <c r="A105" t="s">
        <v>182</v>
      </c>
      <c r="B105" t="s">
        <v>205</v>
      </c>
      <c r="E105">
        <f t="shared" si="8"/>
        <v>0</v>
      </c>
      <c r="F105">
        <v>6276</v>
      </c>
      <c r="G105">
        <f>LNG_global27[[#This Row],[Distance '[miles']]]*1.60934449789256</f>
        <v>10100.246068773706</v>
      </c>
      <c r="H105" t="s">
        <v>212</v>
      </c>
      <c r="I105" t="s">
        <v>218</v>
      </c>
    </row>
    <row r="106" spans="1:9" x14ac:dyDescent="0.2">
      <c r="A106" t="s">
        <v>182</v>
      </c>
      <c r="B106" t="s">
        <v>206</v>
      </c>
      <c r="E106">
        <f t="shared" si="8"/>
        <v>0</v>
      </c>
      <c r="F106">
        <v>6953</v>
      </c>
      <c r="G106">
        <f>LNG_global27[[#This Row],[Distance '[miles']]]*1.60934449789256</f>
        <v>11189.772293846969</v>
      </c>
      <c r="H106" t="s">
        <v>212</v>
      </c>
      <c r="I106" t="s">
        <v>219</v>
      </c>
    </row>
    <row r="107" spans="1:9" x14ac:dyDescent="0.2">
      <c r="A107" t="s">
        <v>182</v>
      </c>
      <c r="B107" t="s">
        <v>207</v>
      </c>
      <c r="E107">
        <f t="shared" si="8"/>
        <v>0</v>
      </c>
      <c r="F107">
        <v>5199</v>
      </c>
      <c r="G107">
        <f>LNG_global27[[#This Row],[Distance '[miles']]]*1.60934449789256</f>
        <v>8366.9820445434198</v>
      </c>
      <c r="H107" t="s">
        <v>212</v>
      </c>
      <c r="I107" t="s">
        <v>220</v>
      </c>
    </row>
    <row r="108" spans="1:9" x14ac:dyDescent="0.2">
      <c r="A108" t="s">
        <v>182</v>
      </c>
      <c r="B108" t="s">
        <v>208</v>
      </c>
      <c r="E108">
        <f t="shared" si="8"/>
        <v>0</v>
      </c>
      <c r="F108">
        <v>4590</v>
      </c>
      <c r="G108">
        <f>LNG_global27[[#This Row],[Distance '[miles']]]*1.60934449789256</f>
        <v>7386.8912453268504</v>
      </c>
      <c r="H108" t="s">
        <v>212</v>
      </c>
      <c r="I108" t="s">
        <v>221</v>
      </c>
    </row>
    <row r="109" spans="1:9" x14ac:dyDescent="0.2">
      <c r="A109" t="s">
        <v>182</v>
      </c>
      <c r="B109" t="s">
        <v>209</v>
      </c>
      <c r="E109">
        <f t="shared" si="8"/>
        <v>0</v>
      </c>
      <c r="F109">
        <v>3600</v>
      </c>
      <c r="G109">
        <f>LNG_global27[[#This Row],[Distance '[miles']]]*1.60934449789256</f>
        <v>5793.640192413216</v>
      </c>
      <c r="H109" t="s">
        <v>212</v>
      </c>
      <c r="I109" t="s">
        <v>222</v>
      </c>
    </row>
    <row r="110" spans="1:9" x14ac:dyDescent="0.2">
      <c r="A110" t="s">
        <v>182</v>
      </c>
      <c r="B110" t="s">
        <v>210</v>
      </c>
      <c r="E110">
        <f t="shared" si="8"/>
        <v>0</v>
      </c>
      <c r="F110">
        <v>6024</v>
      </c>
      <c r="G110">
        <f>LNG_global27[[#This Row],[Distance '[miles']]]*1.60934449789256</f>
        <v>9694.6912553047805</v>
      </c>
      <c r="H110" t="s">
        <v>212</v>
      </c>
      <c r="I110" t="s">
        <v>237</v>
      </c>
    </row>
    <row r="111" spans="1:9" x14ac:dyDescent="0.2">
      <c r="A111" t="s">
        <v>184</v>
      </c>
      <c r="B111" t="s">
        <v>200</v>
      </c>
      <c r="E111">
        <f t="shared" si="8"/>
        <v>0</v>
      </c>
      <c r="F111">
        <v>4348</v>
      </c>
      <c r="G111">
        <f>LNG_global27[[#This Row],[Distance '[miles']]]*1.60934449789256</f>
        <v>6997.4298768368508</v>
      </c>
      <c r="I111" t="s">
        <v>233</v>
      </c>
    </row>
    <row r="112" spans="1:9" x14ac:dyDescent="0.2">
      <c r="A112" t="s">
        <v>184</v>
      </c>
      <c r="B112" t="s">
        <v>201</v>
      </c>
      <c r="E112">
        <f t="shared" si="8"/>
        <v>0</v>
      </c>
      <c r="F112">
        <v>3980</v>
      </c>
      <c r="G112">
        <f>LNG_global27[[#This Row],[Distance '[miles']]]*1.60934449789256</f>
        <v>6405.1911016123886</v>
      </c>
      <c r="I112" t="s">
        <v>278</v>
      </c>
    </row>
    <row r="113" spans="1:9" x14ac:dyDescent="0.2">
      <c r="A113" t="s">
        <v>184</v>
      </c>
      <c r="B113" t="s">
        <v>267</v>
      </c>
      <c r="E113">
        <f t="shared" si="8"/>
        <v>0</v>
      </c>
      <c r="F113">
        <v>4824</v>
      </c>
      <c r="G113">
        <f>LNG_global27[[#This Row],[Distance '[miles']]]*1.60934449789256</f>
        <v>7763.4778578337091</v>
      </c>
      <c r="I113" t="s">
        <v>214</v>
      </c>
    </row>
    <row r="114" spans="1:9" x14ac:dyDescent="0.2">
      <c r="A114" t="s">
        <v>184</v>
      </c>
      <c r="B114" t="s">
        <v>202</v>
      </c>
      <c r="E114">
        <f t="shared" si="8"/>
        <v>0</v>
      </c>
      <c r="F114">
        <v>4172</v>
      </c>
      <c r="G114">
        <f>LNG_global27[[#This Row],[Distance '[miles']]]*1.60934449789256</f>
        <v>6714.1852452077601</v>
      </c>
      <c r="I114" t="s">
        <v>275</v>
      </c>
    </row>
    <row r="115" spans="1:9" x14ac:dyDescent="0.2">
      <c r="A115" t="s">
        <v>184</v>
      </c>
      <c r="B115" t="s">
        <v>203</v>
      </c>
      <c r="E115">
        <f t="shared" si="8"/>
        <v>0</v>
      </c>
      <c r="F115">
        <v>4949</v>
      </c>
      <c r="G115">
        <f>LNG_global27[[#This Row],[Distance '[miles']]]*1.60934449789256</f>
        <v>7964.6459200702793</v>
      </c>
      <c r="I115" t="s">
        <v>216</v>
      </c>
    </row>
    <row r="116" spans="1:9" x14ac:dyDescent="0.2">
      <c r="A116" t="s">
        <v>184</v>
      </c>
      <c r="B116" t="s">
        <v>204</v>
      </c>
      <c r="E116">
        <f t="shared" si="8"/>
        <v>0</v>
      </c>
      <c r="F116">
        <v>5282</v>
      </c>
      <c r="G116">
        <f>LNG_global27[[#This Row],[Distance '[miles']]]*1.60934449789256</f>
        <v>8500.5576378685018</v>
      </c>
      <c r="I116" t="s">
        <v>217</v>
      </c>
    </row>
    <row r="117" spans="1:9" x14ac:dyDescent="0.2">
      <c r="A117" t="s">
        <v>184</v>
      </c>
      <c r="B117" t="s">
        <v>205</v>
      </c>
      <c r="E117">
        <f t="shared" si="8"/>
        <v>0</v>
      </c>
      <c r="F117">
        <v>4414</v>
      </c>
      <c r="G117">
        <f>LNG_global27[[#This Row],[Distance '[miles']]]*1.60934449789256</f>
        <v>7103.6466136977597</v>
      </c>
      <c r="I117" t="s">
        <v>218</v>
      </c>
    </row>
    <row r="118" spans="1:9" x14ac:dyDescent="0.2">
      <c r="A118" t="s">
        <v>184</v>
      </c>
      <c r="B118" t="s">
        <v>206</v>
      </c>
      <c r="E118">
        <f t="shared" si="8"/>
        <v>0</v>
      </c>
      <c r="F118">
        <v>5091</v>
      </c>
      <c r="G118">
        <f>LNG_global27[[#This Row],[Distance '[miles']]]*1.60934449789256</f>
        <v>8193.1728387710227</v>
      </c>
      <c r="I118" t="s">
        <v>219</v>
      </c>
    </row>
    <row r="119" spans="1:9" x14ac:dyDescent="0.2">
      <c r="A119" t="s">
        <v>184</v>
      </c>
      <c r="B119" t="s">
        <v>207</v>
      </c>
      <c r="E119">
        <f t="shared" si="8"/>
        <v>0</v>
      </c>
      <c r="F119">
        <v>3389</v>
      </c>
      <c r="G119">
        <f>LNG_global27[[#This Row],[Distance '[miles']]]*1.60934449789256</f>
        <v>5454.0685033578857</v>
      </c>
      <c r="I119" t="s">
        <v>220</v>
      </c>
    </row>
    <row r="120" spans="1:9" x14ac:dyDescent="0.2">
      <c r="A120" t="s">
        <v>184</v>
      </c>
      <c r="B120" t="s">
        <v>208</v>
      </c>
      <c r="E120">
        <f t="shared" si="8"/>
        <v>0</v>
      </c>
      <c r="F120">
        <v>3359</v>
      </c>
      <c r="G120">
        <f>LNG_global27[[#This Row],[Distance '[miles']]]*1.60934449789256</f>
        <v>5405.7881684211088</v>
      </c>
      <c r="I120" t="s">
        <v>247</v>
      </c>
    </row>
    <row r="121" spans="1:9" x14ac:dyDescent="0.2">
      <c r="A121" t="s">
        <v>184</v>
      </c>
      <c r="B121" t="s">
        <v>209</v>
      </c>
      <c r="E121">
        <f t="shared" si="8"/>
        <v>0</v>
      </c>
      <c r="F121">
        <v>5109</v>
      </c>
      <c r="G121">
        <f>LNG_global27[[#This Row],[Distance '[miles']]]*1.60934449789256</f>
        <v>8222.1410397330892</v>
      </c>
      <c r="I121" t="s">
        <v>279</v>
      </c>
    </row>
    <row r="122" spans="1:9" x14ac:dyDescent="0.2">
      <c r="A122" t="s">
        <v>184</v>
      </c>
      <c r="B122" t="s">
        <v>210</v>
      </c>
      <c r="E122">
        <f t="shared" si="8"/>
        <v>0</v>
      </c>
      <c r="F122">
        <v>4309</v>
      </c>
      <c r="G122">
        <f>LNG_global27[[#This Row],[Distance '[miles']]]*1.60934449789256</f>
        <v>6934.6654414190407</v>
      </c>
      <c r="I122" t="s">
        <v>280</v>
      </c>
    </row>
    <row r="123" spans="1:9" x14ac:dyDescent="0.2">
      <c r="A123" t="s">
        <v>185</v>
      </c>
      <c r="B123" t="s">
        <v>200</v>
      </c>
      <c r="E123">
        <f>D123/1000</f>
        <v>0</v>
      </c>
      <c r="F123">
        <v>9950</v>
      </c>
      <c r="G123">
        <f>LNG_global27[[#This Row],[Distance '[miles']]]*1.60934449789256</f>
        <v>16012.977754030971</v>
      </c>
      <c r="H123" t="s">
        <v>212</v>
      </c>
      <c r="I123" t="s">
        <v>233</v>
      </c>
    </row>
    <row r="124" spans="1:9" x14ac:dyDescent="0.2">
      <c r="A124" t="s">
        <v>185</v>
      </c>
      <c r="B124" t="s">
        <v>201</v>
      </c>
      <c r="E124">
        <f t="shared" ref="E124:E134" si="9">D124/1000</f>
        <v>0</v>
      </c>
      <c r="F124">
        <v>8254</v>
      </c>
      <c r="G124">
        <f>LNG_global27[[#This Row],[Distance '[miles']]]*1.60934449789256</f>
        <v>13283.52948560519</v>
      </c>
      <c r="H124" t="s">
        <v>212</v>
      </c>
      <c r="I124" t="s">
        <v>213</v>
      </c>
    </row>
    <row r="125" spans="1:9" x14ac:dyDescent="0.2">
      <c r="A125" t="s">
        <v>185</v>
      </c>
      <c r="B125" t="s">
        <v>267</v>
      </c>
      <c r="E125">
        <f t="shared" si="9"/>
        <v>0</v>
      </c>
      <c r="F125">
        <v>7341</v>
      </c>
      <c r="G125">
        <f>LNG_global27[[#This Row],[Distance '[miles']]]*1.60934449789256</f>
        <v>11814.197959029283</v>
      </c>
      <c r="H125" t="s">
        <v>212</v>
      </c>
      <c r="I125" t="s">
        <v>214</v>
      </c>
    </row>
    <row r="126" spans="1:9" x14ac:dyDescent="0.2">
      <c r="A126" t="s">
        <v>185</v>
      </c>
      <c r="B126" t="s">
        <v>202</v>
      </c>
      <c r="E126">
        <f t="shared" si="9"/>
        <v>0</v>
      </c>
      <c r="F126">
        <v>8125</v>
      </c>
      <c r="G126">
        <f>LNG_global27[[#This Row],[Distance '[miles']]]*1.60934449789256</f>
        <v>13075.924045377049</v>
      </c>
      <c r="H126" t="s">
        <v>212</v>
      </c>
      <c r="I126" t="s">
        <v>215</v>
      </c>
    </row>
    <row r="127" spans="1:9" x14ac:dyDescent="0.2">
      <c r="A127" t="s">
        <v>185</v>
      </c>
      <c r="B127" t="s">
        <v>203</v>
      </c>
      <c r="E127">
        <f t="shared" si="9"/>
        <v>0</v>
      </c>
      <c r="F127">
        <v>8000</v>
      </c>
      <c r="G127">
        <f>LNG_global27[[#This Row],[Distance '[miles']]]*1.60934449789256</f>
        <v>12874.75598314048</v>
      </c>
      <c r="H127" t="s">
        <v>212</v>
      </c>
      <c r="I127" t="s">
        <v>216</v>
      </c>
    </row>
    <row r="128" spans="1:9" x14ac:dyDescent="0.2">
      <c r="A128" t="s">
        <v>185</v>
      </c>
      <c r="B128" t="s">
        <v>204</v>
      </c>
      <c r="E128">
        <f t="shared" si="9"/>
        <v>0</v>
      </c>
      <c r="F128">
        <v>10884</v>
      </c>
      <c r="G128">
        <f>LNG_global27[[#This Row],[Distance '[miles']]]*1.60934449789256</f>
        <v>17516.105515062623</v>
      </c>
      <c r="H128" t="s">
        <v>212</v>
      </c>
      <c r="I128" t="s">
        <v>217</v>
      </c>
    </row>
    <row r="129" spans="1:9" x14ac:dyDescent="0.2">
      <c r="A129" t="s">
        <v>185</v>
      </c>
      <c r="B129" t="s">
        <v>205</v>
      </c>
      <c r="E129">
        <f t="shared" si="9"/>
        <v>0</v>
      </c>
      <c r="F129">
        <v>10016</v>
      </c>
      <c r="G129">
        <f>LNG_global27[[#This Row],[Distance '[miles']]]*1.60934449789256</f>
        <v>16119.194490891881</v>
      </c>
      <c r="H129" t="s">
        <v>212</v>
      </c>
      <c r="I129" t="s">
        <v>218</v>
      </c>
    </row>
    <row r="130" spans="1:9" x14ac:dyDescent="0.2">
      <c r="A130" t="s">
        <v>185</v>
      </c>
      <c r="B130" t="s">
        <v>206</v>
      </c>
      <c r="E130">
        <f t="shared" si="9"/>
        <v>0</v>
      </c>
      <c r="F130">
        <v>10693</v>
      </c>
      <c r="G130">
        <f>LNG_global27[[#This Row],[Distance '[miles']]]*1.60934449789256</f>
        <v>17208.720715965144</v>
      </c>
      <c r="H130" t="s">
        <v>212</v>
      </c>
      <c r="I130" t="s">
        <v>219</v>
      </c>
    </row>
    <row r="131" spans="1:9" x14ac:dyDescent="0.2">
      <c r="A131" t="s">
        <v>185</v>
      </c>
      <c r="B131" t="s">
        <v>207</v>
      </c>
      <c r="E131">
        <f t="shared" si="9"/>
        <v>0</v>
      </c>
      <c r="F131">
        <v>8939</v>
      </c>
      <c r="G131">
        <f>LNG_global27[[#This Row],[Distance '[miles']]]*1.60934449789256</f>
        <v>14385.930466661594</v>
      </c>
      <c r="H131" t="s">
        <v>212</v>
      </c>
      <c r="I131" t="s">
        <v>220</v>
      </c>
    </row>
    <row r="132" spans="1:9" x14ac:dyDescent="0.2">
      <c r="A132" t="s">
        <v>185</v>
      </c>
      <c r="B132" t="s">
        <v>208</v>
      </c>
      <c r="E132">
        <f t="shared" si="9"/>
        <v>0</v>
      </c>
      <c r="F132">
        <v>8330</v>
      </c>
      <c r="G132">
        <f>LNG_global27[[#This Row],[Distance '[miles']]]*1.60934449789256</f>
        <v>13405.839667445025</v>
      </c>
      <c r="H132" t="s">
        <v>212</v>
      </c>
      <c r="I132" t="s">
        <v>221</v>
      </c>
    </row>
    <row r="133" spans="1:9" x14ac:dyDescent="0.2">
      <c r="A133" t="s">
        <v>185</v>
      </c>
      <c r="B133" t="s">
        <v>209</v>
      </c>
      <c r="E133">
        <f t="shared" si="9"/>
        <v>0</v>
      </c>
      <c r="F133">
        <v>7340</v>
      </c>
      <c r="G133">
        <f>LNG_global27[[#This Row],[Distance '[miles']]]*1.60934449789256</f>
        <v>11812.588614531391</v>
      </c>
      <c r="H133" t="s">
        <v>212</v>
      </c>
      <c r="I133" t="s">
        <v>222</v>
      </c>
    </row>
    <row r="134" spans="1:9" x14ac:dyDescent="0.2">
      <c r="A134" t="s">
        <v>185</v>
      </c>
      <c r="B134" t="s">
        <v>210</v>
      </c>
      <c r="E134">
        <f t="shared" si="9"/>
        <v>0</v>
      </c>
      <c r="F134">
        <v>9764</v>
      </c>
      <c r="G134">
        <f>LNG_global27[[#This Row],[Distance '[miles']]]*1.60934449789256</f>
        <v>15713.639677422956</v>
      </c>
      <c r="H134" t="s">
        <v>212</v>
      </c>
      <c r="I134" t="s">
        <v>237</v>
      </c>
    </row>
    <row r="135" spans="1:9" x14ac:dyDescent="0.2">
      <c r="A135" t="s">
        <v>191</v>
      </c>
      <c r="B135" t="s">
        <v>200</v>
      </c>
      <c r="E135">
        <f>D135/1000</f>
        <v>0</v>
      </c>
      <c r="F135">
        <v>3208</v>
      </c>
      <c r="G135">
        <f>LNG_global27[[#This Row],[Distance '[miles']]]*1.60934449789256</f>
        <v>5162.7771492393322</v>
      </c>
      <c r="I135" t="s">
        <v>233</v>
      </c>
    </row>
    <row r="136" spans="1:9" x14ac:dyDescent="0.2">
      <c r="A136" t="s">
        <v>191</v>
      </c>
      <c r="B136" t="s">
        <v>201</v>
      </c>
      <c r="E136">
        <f t="shared" ref="E136:E146" si="10">D136/1000</f>
        <v>0</v>
      </c>
      <c r="F136">
        <v>1405</v>
      </c>
      <c r="G136">
        <f>LNG_global27[[#This Row],[Distance '[miles']]]*1.60934449789256</f>
        <v>2261.1290195390466</v>
      </c>
      <c r="I136" t="s">
        <v>213</v>
      </c>
    </row>
    <row r="137" spans="1:9" x14ac:dyDescent="0.2">
      <c r="A137" t="s">
        <v>191</v>
      </c>
      <c r="B137" t="s">
        <v>267</v>
      </c>
      <c r="E137">
        <f t="shared" si="10"/>
        <v>0</v>
      </c>
      <c r="F137">
        <v>518</v>
      </c>
      <c r="G137">
        <f>LNG_global27[[#This Row],[Distance '[miles']]]*1.60934449789256</f>
        <v>833.64044990834611</v>
      </c>
      <c r="I137" t="s">
        <v>214</v>
      </c>
    </row>
    <row r="138" spans="1:9" x14ac:dyDescent="0.2">
      <c r="A138" t="s">
        <v>191</v>
      </c>
      <c r="B138" t="s">
        <v>202</v>
      </c>
      <c r="E138">
        <f t="shared" si="10"/>
        <v>0</v>
      </c>
      <c r="F138">
        <v>1239</v>
      </c>
      <c r="G138">
        <f>LNG_global27[[#This Row],[Distance '[miles']]]*1.60934449789256</f>
        <v>1993.9778328888817</v>
      </c>
      <c r="I138" t="s">
        <v>275</v>
      </c>
    </row>
    <row r="139" spans="1:9" x14ac:dyDescent="0.2">
      <c r="A139" t="s">
        <v>191</v>
      </c>
      <c r="B139" t="s">
        <v>203</v>
      </c>
      <c r="E139">
        <f t="shared" si="10"/>
        <v>0</v>
      </c>
      <c r="F139">
        <v>1258</v>
      </c>
      <c r="G139">
        <f>LNG_global27[[#This Row],[Distance '[miles']]]*1.60934449789256</f>
        <v>2024.5553783488403</v>
      </c>
      <c r="I139" t="s">
        <v>216</v>
      </c>
    </row>
    <row r="140" spans="1:9" x14ac:dyDescent="0.2">
      <c r="A140" t="s">
        <v>191</v>
      </c>
      <c r="B140" t="s">
        <v>204</v>
      </c>
      <c r="E140">
        <f t="shared" si="10"/>
        <v>0</v>
      </c>
      <c r="F140">
        <v>4142</v>
      </c>
      <c r="G140">
        <f>LNG_global27[[#This Row],[Distance '[miles']]]*1.60934449789256</f>
        <v>6665.9049102709832</v>
      </c>
      <c r="I140" t="s">
        <v>217</v>
      </c>
    </row>
    <row r="141" spans="1:9" x14ac:dyDescent="0.2">
      <c r="A141" t="s">
        <v>191</v>
      </c>
      <c r="B141" t="s">
        <v>205</v>
      </c>
      <c r="E141">
        <f t="shared" si="10"/>
        <v>0</v>
      </c>
      <c r="F141">
        <v>3274</v>
      </c>
      <c r="G141">
        <f>LNG_global27[[#This Row],[Distance '[miles']]]*1.60934449789256</f>
        <v>5268.9938861002411</v>
      </c>
      <c r="I141" t="s">
        <v>218</v>
      </c>
    </row>
    <row r="142" spans="1:9" x14ac:dyDescent="0.2">
      <c r="A142" t="s">
        <v>191</v>
      </c>
      <c r="B142" t="s">
        <v>206</v>
      </c>
      <c r="E142">
        <f t="shared" si="10"/>
        <v>0</v>
      </c>
      <c r="F142">
        <v>3836</v>
      </c>
      <c r="G142">
        <f>LNG_global27[[#This Row],[Distance '[miles']]]*1.60934449789256</f>
        <v>6173.4454939158604</v>
      </c>
      <c r="I142" t="s">
        <v>219</v>
      </c>
    </row>
    <row r="143" spans="1:9" x14ac:dyDescent="0.2">
      <c r="A143" t="s">
        <v>191</v>
      </c>
      <c r="B143" t="s">
        <v>207</v>
      </c>
      <c r="E143">
        <f t="shared" si="10"/>
        <v>0</v>
      </c>
      <c r="F143">
        <v>2082</v>
      </c>
      <c r="G143">
        <f>LNG_global27[[#This Row],[Distance '[miles']]]*1.60934449789256</f>
        <v>3350.6552446123096</v>
      </c>
      <c r="I143" t="s">
        <v>220</v>
      </c>
    </row>
    <row r="144" spans="1:9" x14ac:dyDescent="0.2">
      <c r="A144" t="s">
        <v>191</v>
      </c>
      <c r="B144" t="s">
        <v>208</v>
      </c>
      <c r="E144">
        <f t="shared" si="10"/>
        <v>0</v>
      </c>
      <c r="F144">
        <v>1696</v>
      </c>
      <c r="G144">
        <f>LNG_global27[[#This Row],[Distance '[miles']]]*1.60934449789256</f>
        <v>2729.4482684257819</v>
      </c>
      <c r="I144" t="s">
        <v>282</v>
      </c>
    </row>
    <row r="145" spans="1:9" x14ac:dyDescent="0.2">
      <c r="A145" t="s">
        <v>191</v>
      </c>
      <c r="B145" t="s">
        <v>209</v>
      </c>
      <c r="E145">
        <f t="shared" si="10"/>
        <v>0</v>
      </c>
      <c r="F145">
        <v>722</v>
      </c>
      <c r="G145">
        <f>LNG_global27[[#This Row],[Distance '[miles']]]*1.60934449789256</f>
        <v>1161.9467274784283</v>
      </c>
      <c r="I145" t="s">
        <v>279</v>
      </c>
    </row>
    <row r="146" spans="1:9" x14ac:dyDescent="0.2">
      <c r="A146" t="s">
        <v>191</v>
      </c>
      <c r="B146" t="s">
        <v>210</v>
      </c>
      <c r="E146">
        <f t="shared" si="10"/>
        <v>0</v>
      </c>
      <c r="F146">
        <v>2907</v>
      </c>
      <c r="G146">
        <f>LNG_global27[[#This Row],[Distance '[miles']]]*1.60934449789256</f>
        <v>4678.3644553736722</v>
      </c>
      <c r="I146" t="s">
        <v>237</v>
      </c>
    </row>
    <row r="147" spans="1:9" x14ac:dyDescent="0.2">
      <c r="A147" t="s">
        <v>194</v>
      </c>
      <c r="B147" t="s">
        <v>200</v>
      </c>
      <c r="E147">
        <f>D147/1000</f>
        <v>0</v>
      </c>
      <c r="F147">
        <v>9237</v>
      </c>
      <c r="G147">
        <f>LNG_global27[[#This Row],[Distance '[miles']]]*1.60934449789256</f>
        <v>14865.515127033575</v>
      </c>
      <c r="H147" t="s">
        <v>212</v>
      </c>
      <c r="I147" t="s">
        <v>233</v>
      </c>
    </row>
    <row r="148" spans="1:9" x14ac:dyDescent="0.2">
      <c r="A148" t="s">
        <v>194</v>
      </c>
      <c r="B148" t="s">
        <v>201</v>
      </c>
      <c r="E148">
        <f t="shared" ref="E148:E158" si="11">D148/1000</f>
        <v>0</v>
      </c>
      <c r="F148">
        <v>8897</v>
      </c>
      <c r="G148">
        <f>LNG_global27[[#This Row],[Distance '[miles']]]*1.60934449789256</f>
        <v>14318.337997750106</v>
      </c>
      <c r="H148" t="s">
        <v>212</v>
      </c>
      <c r="I148" t="s">
        <v>278</v>
      </c>
    </row>
    <row r="149" spans="1:9" x14ac:dyDescent="0.2">
      <c r="A149" t="s">
        <v>194</v>
      </c>
      <c r="B149" t="s">
        <v>267</v>
      </c>
      <c r="E149">
        <f t="shared" si="11"/>
        <v>0</v>
      </c>
      <c r="F149">
        <v>6737</v>
      </c>
      <c r="G149">
        <f>LNG_global27[[#This Row],[Distance '[miles']]]*1.60934449789256</f>
        <v>10842.153882302176</v>
      </c>
      <c r="H149" t="s">
        <v>212</v>
      </c>
      <c r="I149" t="s">
        <v>285</v>
      </c>
    </row>
    <row r="150" spans="1:9" x14ac:dyDescent="0.2">
      <c r="A150" t="s">
        <v>194</v>
      </c>
      <c r="B150" t="s">
        <v>202</v>
      </c>
      <c r="E150">
        <f t="shared" si="11"/>
        <v>0</v>
      </c>
      <c r="F150">
        <v>7412</v>
      </c>
      <c r="G150">
        <f>LNG_global27[[#This Row],[Distance '[miles']]]*1.60934449789256</f>
        <v>11928.461418379655</v>
      </c>
      <c r="H150" t="s">
        <v>212</v>
      </c>
      <c r="I150" t="s">
        <v>215</v>
      </c>
    </row>
    <row r="151" spans="1:9" x14ac:dyDescent="0.2">
      <c r="A151" t="s">
        <v>194</v>
      </c>
      <c r="B151" t="s">
        <v>203</v>
      </c>
      <c r="E151">
        <f t="shared" si="11"/>
        <v>0</v>
      </c>
      <c r="F151">
        <v>7287</v>
      </c>
      <c r="G151">
        <f>LNG_global27[[#This Row],[Distance '[miles']]]*1.60934449789256</f>
        <v>11727.293356143084</v>
      </c>
      <c r="H151" t="s">
        <v>212</v>
      </c>
      <c r="I151" t="s">
        <v>216</v>
      </c>
    </row>
    <row r="152" spans="1:9" x14ac:dyDescent="0.2">
      <c r="A152" t="s">
        <v>194</v>
      </c>
      <c r="B152" t="s">
        <v>204</v>
      </c>
      <c r="E152">
        <f t="shared" si="11"/>
        <v>0</v>
      </c>
      <c r="F152">
        <v>10171</v>
      </c>
      <c r="G152">
        <f>LNG_global27[[#This Row],[Distance '[miles']]]*1.60934449789256</f>
        <v>16368.642888065227</v>
      </c>
      <c r="H152" t="s">
        <v>212</v>
      </c>
      <c r="I152" t="s">
        <v>217</v>
      </c>
    </row>
    <row r="153" spans="1:9" x14ac:dyDescent="0.2">
      <c r="A153" t="s">
        <v>194</v>
      </c>
      <c r="B153" t="s">
        <v>205</v>
      </c>
      <c r="E153">
        <f t="shared" si="11"/>
        <v>0</v>
      </c>
      <c r="F153">
        <v>9303</v>
      </c>
      <c r="G153">
        <f>LNG_global27[[#This Row],[Distance '[miles']]]*1.60934449789256</f>
        <v>14971.731863894485</v>
      </c>
      <c r="H153" t="s">
        <v>212</v>
      </c>
      <c r="I153" t="s">
        <v>218</v>
      </c>
    </row>
    <row r="154" spans="1:9" x14ac:dyDescent="0.2">
      <c r="A154" t="s">
        <v>194</v>
      </c>
      <c r="B154" t="s">
        <v>206</v>
      </c>
      <c r="E154">
        <f t="shared" si="11"/>
        <v>0</v>
      </c>
      <c r="F154">
        <v>9980</v>
      </c>
      <c r="G154">
        <f>LNG_global27[[#This Row],[Distance '[miles']]]*1.60934449789256</f>
        <v>16061.258088967748</v>
      </c>
      <c r="H154" t="s">
        <v>212</v>
      </c>
      <c r="I154" t="s">
        <v>219</v>
      </c>
    </row>
    <row r="155" spans="1:9" x14ac:dyDescent="0.2">
      <c r="A155" t="s">
        <v>194</v>
      </c>
      <c r="B155" t="s">
        <v>207</v>
      </c>
      <c r="E155">
        <f t="shared" si="11"/>
        <v>0</v>
      </c>
      <c r="F155">
        <v>8226</v>
      </c>
      <c r="G155">
        <f>LNG_global27[[#This Row],[Distance '[miles']]]*1.60934449789256</f>
        <v>13238.467839664198</v>
      </c>
      <c r="H155" t="s">
        <v>212</v>
      </c>
      <c r="I155" t="s">
        <v>220</v>
      </c>
    </row>
    <row r="156" spans="1:9" x14ac:dyDescent="0.2">
      <c r="A156" t="s">
        <v>194</v>
      </c>
      <c r="B156" t="s">
        <v>208</v>
      </c>
      <c r="E156">
        <f t="shared" si="11"/>
        <v>0</v>
      </c>
      <c r="F156">
        <v>7617</v>
      </c>
      <c r="G156">
        <f>LNG_global27[[#This Row],[Distance '[miles']]]*1.60934449789256</f>
        <v>12258.377040447629</v>
      </c>
      <c r="H156" t="s">
        <v>212</v>
      </c>
      <c r="I156" t="s">
        <v>221</v>
      </c>
    </row>
    <row r="157" spans="1:9" x14ac:dyDescent="0.2">
      <c r="A157" t="s">
        <v>194</v>
      </c>
      <c r="B157" t="s">
        <v>209</v>
      </c>
      <c r="E157">
        <f t="shared" si="11"/>
        <v>0</v>
      </c>
      <c r="F157">
        <v>6627</v>
      </c>
      <c r="G157">
        <f>LNG_global27[[#This Row],[Distance '[miles']]]*1.60934449789256</f>
        <v>10665.125987533995</v>
      </c>
      <c r="H157" t="s">
        <v>212</v>
      </c>
      <c r="I157" t="s">
        <v>222</v>
      </c>
    </row>
    <row r="158" spans="1:9" x14ac:dyDescent="0.2">
      <c r="A158" t="s">
        <v>194</v>
      </c>
      <c r="B158" t="s">
        <v>210</v>
      </c>
      <c r="E158">
        <f t="shared" si="11"/>
        <v>0</v>
      </c>
      <c r="F158">
        <v>9051</v>
      </c>
      <c r="G158">
        <f>LNG_global27[[#This Row],[Distance '[miles']]]*1.60934449789256</f>
        <v>14566.17705042556</v>
      </c>
      <c r="H158" t="s">
        <v>212</v>
      </c>
      <c r="I158" t="s">
        <v>237</v>
      </c>
    </row>
    <row r="159" spans="1:9" x14ac:dyDescent="0.2">
      <c r="A159" t="s">
        <v>193</v>
      </c>
      <c r="B159" t="s">
        <v>200</v>
      </c>
      <c r="E159">
        <f>D159/1000</f>
        <v>0</v>
      </c>
      <c r="F159">
        <v>2843</v>
      </c>
      <c r="G159">
        <f>LNG_global27[[#This Row],[Distance '[miles']]]*1.60934449789256</f>
        <v>4575.366407508548</v>
      </c>
      <c r="I159" t="s">
        <v>233</v>
      </c>
    </row>
    <row r="160" spans="1:9" x14ac:dyDescent="0.2">
      <c r="A160" t="s">
        <v>193</v>
      </c>
      <c r="B160" t="s">
        <v>201</v>
      </c>
      <c r="E160">
        <f t="shared" ref="E160:E170" si="12">D160/1000</f>
        <v>0</v>
      </c>
      <c r="F160">
        <v>3331</v>
      </c>
      <c r="G160">
        <f>LNG_global27[[#This Row],[Distance '[miles']]]*1.60934449789256</f>
        <v>5360.7265224801176</v>
      </c>
      <c r="I160" t="s">
        <v>278</v>
      </c>
    </row>
    <row r="161" spans="1:9" x14ac:dyDescent="0.2">
      <c r="A161" t="s">
        <v>193</v>
      </c>
      <c r="B161" t="s">
        <v>267</v>
      </c>
      <c r="E161">
        <f t="shared" si="12"/>
        <v>0</v>
      </c>
      <c r="F161">
        <v>5582</v>
      </c>
      <c r="G161">
        <f>LNG_global27[[#This Row],[Distance '[miles']]]*1.60934449789256</f>
        <v>8983.3609872362704</v>
      </c>
      <c r="I161" t="s">
        <v>214</v>
      </c>
    </row>
    <row r="162" spans="1:9" x14ac:dyDescent="0.2">
      <c r="A162" t="s">
        <v>193</v>
      </c>
      <c r="B162" t="s">
        <v>202</v>
      </c>
      <c r="E162">
        <f t="shared" si="12"/>
        <v>0</v>
      </c>
      <c r="F162">
        <v>5759</v>
      </c>
      <c r="G162">
        <f>LNG_global27[[#This Row],[Distance '[miles']]]*1.60934449789256</f>
        <v>9268.2149633632525</v>
      </c>
      <c r="I162" t="s">
        <v>286</v>
      </c>
    </row>
    <row r="163" spans="1:9" x14ac:dyDescent="0.2">
      <c r="A163" t="s">
        <v>193</v>
      </c>
      <c r="B163" t="s">
        <v>203</v>
      </c>
      <c r="E163">
        <f t="shared" si="12"/>
        <v>0</v>
      </c>
      <c r="F163">
        <v>5707</v>
      </c>
      <c r="G163">
        <f>LNG_global27[[#This Row],[Distance '[miles']]]*1.60934449789256</f>
        <v>9184.5290494728397</v>
      </c>
      <c r="I163" t="s">
        <v>216</v>
      </c>
    </row>
    <row r="164" spans="1:9" x14ac:dyDescent="0.2">
      <c r="A164" t="s">
        <v>193</v>
      </c>
      <c r="B164" t="s">
        <v>204</v>
      </c>
      <c r="E164">
        <f t="shared" si="12"/>
        <v>0</v>
      </c>
      <c r="F164">
        <v>3047</v>
      </c>
      <c r="G164">
        <f>LNG_global27[[#This Row],[Distance '[miles']]]*1.60934449789256</f>
        <v>4903.6726850786299</v>
      </c>
      <c r="I164" t="s">
        <v>217</v>
      </c>
    </row>
    <row r="165" spans="1:9" x14ac:dyDescent="0.2">
      <c r="A165" t="s">
        <v>193</v>
      </c>
      <c r="B165" t="s">
        <v>205</v>
      </c>
      <c r="E165">
        <f t="shared" si="12"/>
        <v>0</v>
      </c>
      <c r="F165">
        <v>2827</v>
      </c>
      <c r="G165">
        <f>LNG_global27[[#This Row],[Distance '[miles']]]*1.60934449789256</f>
        <v>4549.6168955422672</v>
      </c>
      <c r="I165" t="s">
        <v>218</v>
      </c>
    </row>
    <row r="166" spans="1:9" x14ac:dyDescent="0.2">
      <c r="A166" t="s">
        <v>193</v>
      </c>
      <c r="B166" t="s">
        <v>206</v>
      </c>
      <c r="E166">
        <f t="shared" si="12"/>
        <v>0</v>
      </c>
      <c r="F166">
        <v>2856</v>
      </c>
      <c r="G166">
        <f>LNG_global27[[#This Row],[Distance '[miles']]]*1.60934449789256</f>
        <v>4596.2878859811508</v>
      </c>
      <c r="I166" t="s">
        <v>219</v>
      </c>
    </row>
    <row r="167" spans="1:9" x14ac:dyDescent="0.2">
      <c r="A167" t="s">
        <v>193</v>
      </c>
      <c r="B167" t="s">
        <v>207</v>
      </c>
      <c r="E167">
        <f t="shared" si="12"/>
        <v>0</v>
      </c>
      <c r="F167">
        <v>3840</v>
      </c>
      <c r="G167">
        <f>LNG_global27[[#This Row],[Distance '[miles']]]*1.60934449789256</f>
        <v>6179.8828719074299</v>
      </c>
      <c r="I167" t="s">
        <v>220</v>
      </c>
    </row>
    <row r="168" spans="1:9" x14ac:dyDescent="0.2">
      <c r="A168" t="s">
        <v>193</v>
      </c>
      <c r="B168" t="s">
        <v>208</v>
      </c>
      <c r="E168">
        <f t="shared" si="12"/>
        <v>0</v>
      </c>
      <c r="F168">
        <v>3499</v>
      </c>
      <c r="G168">
        <f>LNG_global27[[#This Row],[Distance '[miles']]]*1.60934449789256</f>
        <v>5631.0963981260675</v>
      </c>
      <c r="I168" t="s">
        <v>236</v>
      </c>
    </row>
    <row r="169" spans="1:9" x14ac:dyDescent="0.2">
      <c r="A169" t="s">
        <v>193</v>
      </c>
      <c r="B169" t="s">
        <v>209</v>
      </c>
      <c r="E169">
        <f t="shared" si="12"/>
        <v>0</v>
      </c>
      <c r="F169">
        <v>5736</v>
      </c>
      <c r="G169">
        <f>LNG_global27[[#This Row],[Distance '[miles']]]*1.60934449789256</f>
        <v>9231.2000399117242</v>
      </c>
      <c r="I169" t="s">
        <v>222</v>
      </c>
    </row>
    <row r="170" spans="1:9" x14ac:dyDescent="0.2">
      <c r="A170" t="s">
        <v>193</v>
      </c>
      <c r="B170" t="s">
        <v>210</v>
      </c>
      <c r="E170">
        <f t="shared" si="12"/>
        <v>0</v>
      </c>
      <c r="F170">
        <v>2866</v>
      </c>
      <c r="G170">
        <f>LNG_global27[[#This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I21" sqref="I21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3" si="0">D2/1000</f>
        <v>0</v>
      </c>
      <c r="G2">
        <f>LNG_global[[#This Row],[Distance '[miles']]]*1.60934449789256</f>
        <v>0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 x14ac:dyDescent="0.2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 x14ac:dyDescent="0.2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 x14ac:dyDescent="0.2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 x14ac:dyDescent="0.2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 x14ac:dyDescent="0.2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 x14ac:dyDescent="0.2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 x14ac:dyDescent="0.2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 x14ac:dyDescent="0.2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 x14ac:dyDescent="0.2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 x14ac:dyDescent="0.2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 x14ac:dyDescent="0.2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 x14ac:dyDescent="0.2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 x14ac:dyDescent="0.2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 x14ac:dyDescent="0.2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 x14ac:dyDescent="0.2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 x14ac:dyDescent="0.2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 x14ac:dyDescent="0.2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 x14ac:dyDescent="0.2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 x14ac:dyDescent="0.2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 x14ac:dyDescent="0.2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 x14ac:dyDescent="0.2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 x14ac:dyDescent="0.2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 x14ac:dyDescent="0.2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 x14ac:dyDescent="0.2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 x14ac:dyDescent="0.2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 x14ac:dyDescent="0.2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 x14ac:dyDescent="0.2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 x14ac:dyDescent="0.2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 x14ac:dyDescent="0.2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 x14ac:dyDescent="0.2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 x14ac:dyDescent="0.2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 x14ac:dyDescent="0.2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 x14ac:dyDescent="0.2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 x14ac:dyDescent="0.2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 x14ac:dyDescent="0.2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 x14ac:dyDescent="0.2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 x14ac:dyDescent="0.2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 x14ac:dyDescent="0.2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 x14ac:dyDescent="0.2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 x14ac:dyDescent="0.2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 x14ac:dyDescent="0.2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 x14ac:dyDescent="0.2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 x14ac:dyDescent="0.2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 x14ac:dyDescent="0.2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 x14ac:dyDescent="0.2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 x14ac:dyDescent="0.2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 x14ac:dyDescent="0.2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 x14ac:dyDescent="0.2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 x14ac:dyDescent="0.2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 x14ac:dyDescent="0.2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 x14ac:dyDescent="0.2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 x14ac:dyDescent="0.2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 x14ac:dyDescent="0.2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 x14ac:dyDescent="0.2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 x14ac:dyDescent="0.2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 x14ac:dyDescent="0.2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 x14ac:dyDescent="0.2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 x14ac:dyDescent="0.2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 x14ac:dyDescent="0.2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 x14ac:dyDescent="0.2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 x14ac:dyDescent="0.2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 x14ac:dyDescent="0.2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 x14ac:dyDescent="0.2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 x14ac:dyDescent="0.2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 x14ac:dyDescent="0.2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 x14ac:dyDescent="0.2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 x14ac:dyDescent="0.2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 x14ac:dyDescent="0.2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 x14ac:dyDescent="0.2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 x14ac:dyDescent="0.2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 x14ac:dyDescent="0.2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 x14ac:dyDescent="0.2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 x14ac:dyDescent="0.2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 x14ac:dyDescent="0.2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 x14ac:dyDescent="0.2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 x14ac:dyDescent="0.2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 x14ac:dyDescent="0.2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 x14ac:dyDescent="0.2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 x14ac:dyDescent="0.2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 x14ac:dyDescent="0.2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 x14ac:dyDescent="0.2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 x14ac:dyDescent="0.2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 x14ac:dyDescent="0.2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 x14ac:dyDescent="0.2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 x14ac:dyDescent="0.2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 x14ac:dyDescent="0.2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 x14ac:dyDescent="0.2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 x14ac:dyDescent="0.2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 x14ac:dyDescent="0.2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 x14ac:dyDescent="0.2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 x14ac:dyDescent="0.2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 x14ac:dyDescent="0.2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 x14ac:dyDescent="0.2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 x14ac:dyDescent="0.2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 x14ac:dyDescent="0.2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tabSelected="1" workbookViewId="0">
      <selection activeCell="L25" sqref="L25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 x14ac:dyDescent="0.2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 x14ac:dyDescent="0.2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 x14ac:dyDescent="0.2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 x14ac:dyDescent="0.2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 x14ac:dyDescent="0.2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 x14ac:dyDescent="0.2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 x14ac:dyDescent="0.2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 x14ac:dyDescent="0.2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 x14ac:dyDescent="0.2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 x14ac:dyDescent="0.2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 x14ac:dyDescent="0.2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 x14ac:dyDescent="0.2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 x14ac:dyDescent="0.2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 x14ac:dyDescent="0.2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 x14ac:dyDescent="0.2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 x14ac:dyDescent="0.2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 x14ac:dyDescent="0.2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 x14ac:dyDescent="0.2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 x14ac:dyDescent="0.2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 x14ac:dyDescent="0.2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 x14ac:dyDescent="0.2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 x14ac:dyDescent="0.2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 x14ac:dyDescent="0.2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 x14ac:dyDescent="0.2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 x14ac:dyDescent="0.2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 x14ac:dyDescent="0.2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 x14ac:dyDescent="0.2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 x14ac:dyDescent="0.2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 x14ac:dyDescent="0.2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 x14ac:dyDescent="0.2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 x14ac:dyDescent="0.2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 x14ac:dyDescent="0.2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 x14ac:dyDescent="0.2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 x14ac:dyDescent="0.2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 x14ac:dyDescent="0.2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 x14ac:dyDescent="0.2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 x14ac:dyDescent="0.2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 x14ac:dyDescent="0.2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 x14ac:dyDescent="0.2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 x14ac:dyDescent="0.2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 x14ac:dyDescent="0.2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 x14ac:dyDescent="0.2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 x14ac:dyDescent="0.2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 x14ac:dyDescent="0.2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 x14ac:dyDescent="0.2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 x14ac:dyDescent="0.2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 x14ac:dyDescent="0.2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 x14ac:dyDescent="0.2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 x14ac:dyDescent="0.2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 x14ac:dyDescent="0.2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 x14ac:dyDescent="0.2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 x14ac:dyDescent="0.2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 x14ac:dyDescent="0.2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 x14ac:dyDescent="0.2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 x14ac:dyDescent="0.2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 x14ac:dyDescent="0.2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 x14ac:dyDescent="0.2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 x14ac:dyDescent="0.2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 x14ac:dyDescent="0.2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 x14ac:dyDescent="0.2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 x14ac:dyDescent="0.2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 x14ac:dyDescent="0.2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 x14ac:dyDescent="0.2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 x14ac:dyDescent="0.2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 x14ac:dyDescent="0.2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 x14ac:dyDescent="0.2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 x14ac:dyDescent="0.2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 x14ac:dyDescent="0.2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 x14ac:dyDescent="0.2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 x14ac:dyDescent="0.2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 x14ac:dyDescent="0.2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 x14ac:dyDescent="0.2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 x14ac:dyDescent="0.2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 x14ac:dyDescent="0.2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 x14ac:dyDescent="0.2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 x14ac:dyDescent="0.2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 x14ac:dyDescent="0.2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 x14ac:dyDescent="0.2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 x14ac:dyDescent="0.2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 x14ac:dyDescent="0.2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 x14ac:dyDescent="0.2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 x14ac:dyDescent="0.2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 x14ac:dyDescent="0.2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 x14ac:dyDescent="0.2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 x14ac:dyDescent="0.2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 x14ac:dyDescent="0.2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 x14ac:dyDescent="0.2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 x14ac:dyDescent="0.2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 x14ac:dyDescent="0.2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 x14ac:dyDescent="0.2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 x14ac:dyDescent="0.2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 x14ac:dyDescent="0.2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 x14ac:dyDescent="0.2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 x14ac:dyDescent="0.2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 x14ac:dyDescent="0.2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 x14ac:dyDescent="0.2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 x14ac:dyDescent="0.2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 x14ac:dyDescent="0.2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 x14ac:dyDescent="0.2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 x14ac:dyDescent="0.2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 x14ac:dyDescent="0.2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 x14ac:dyDescent="0.2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 x14ac:dyDescent="0.2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 x14ac:dyDescent="0.2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 x14ac:dyDescent="0.2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 x14ac:dyDescent="0.2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 x14ac:dyDescent="0.2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 x14ac:dyDescent="0.2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 x14ac:dyDescent="0.2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 x14ac:dyDescent="0.2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 x14ac:dyDescent="0.2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 x14ac:dyDescent="0.2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 x14ac:dyDescent="0.2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 x14ac:dyDescent="0.2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 x14ac:dyDescent="0.2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 x14ac:dyDescent="0.2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 x14ac:dyDescent="0.2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 x14ac:dyDescent="0.2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 x14ac:dyDescent="0.2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 x14ac:dyDescent="0.2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 x14ac:dyDescent="0.2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 x14ac:dyDescent="0.2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 x14ac:dyDescent="0.2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 x14ac:dyDescent="0.2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 x14ac:dyDescent="0.2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 x14ac:dyDescent="0.2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 x14ac:dyDescent="0.2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 x14ac:dyDescent="0.2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 x14ac:dyDescent="0.2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 x14ac:dyDescent="0.2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 x14ac:dyDescent="0.2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 x14ac:dyDescent="0.2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 x14ac:dyDescent="0.2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 x14ac:dyDescent="0.2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 x14ac:dyDescent="0.2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 x14ac:dyDescent="0.2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 x14ac:dyDescent="0.2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 x14ac:dyDescent="0.2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 x14ac:dyDescent="0.2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 x14ac:dyDescent="0.2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 x14ac:dyDescent="0.2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 x14ac:dyDescent="0.2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 x14ac:dyDescent="0.2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 x14ac:dyDescent="0.2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 x14ac:dyDescent="0.2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 x14ac:dyDescent="0.2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 x14ac:dyDescent="0.2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 x14ac:dyDescent="0.2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 x14ac:dyDescent="0.2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 x14ac:dyDescent="0.2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 x14ac:dyDescent="0.2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 x14ac:dyDescent="0.2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 x14ac:dyDescent="0.2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 x14ac:dyDescent="0.2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 x14ac:dyDescent="0.2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 x14ac:dyDescent="0.2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 x14ac:dyDescent="0.2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 x14ac:dyDescent="0.2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 x14ac:dyDescent="0.2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 x14ac:dyDescent="0.2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 x14ac:dyDescent="0.2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 x14ac:dyDescent="0.2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 x14ac:dyDescent="0.2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 x14ac:dyDescent="0.2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 x14ac:dyDescent="0.2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 x14ac:dyDescent="0.2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 x14ac:dyDescent="0.2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 x14ac:dyDescent="0.2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 x14ac:dyDescent="0.2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 x14ac:dyDescent="0.2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 x14ac:dyDescent="0.2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 x14ac:dyDescent="0.2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 x14ac:dyDescent="0.2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 x14ac:dyDescent="0.2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 x14ac:dyDescent="0.2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 x14ac:dyDescent="0.2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 x14ac:dyDescent="0.2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 x14ac:dyDescent="0.2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 x14ac:dyDescent="0.2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 x14ac:dyDescent="0.2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 x14ac:dyDescent="0.2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 x14ac:dyDescent="0.2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 x14ac:dyDescent="0.2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 x14ac:dyDescent="0.2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 x14ac:dyDescent="0.2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 x14ac:dyDescent="0.2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 x14ac:dyDescent="0.2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 x14ac:dyDescent="0.2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 x14ac:dyDescent="0.2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 x14ac:dyDescent="0.2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 x14ac:dyDescent="0.2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 x14ac:dyDescent="0.2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 x14ac:dyDescent="0.2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 x14ac:dyDescent="0.2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 x14ac:dyDescent="0.2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 x14ac:dyDescent="0.2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 x14ac:dyDescent="0.2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 x14ac:dyDescent="0.2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 x14ac:dyDescent="0.2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 x14ac:dyDescent="0.2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 x14ac:dyDescent="0.2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 x14ac:dyDescent="0.2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 x14ac:dyDescent="0.2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 x14ac:dyDescent="0.2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 x14ac:dyDescent="0.2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 x14ac:dyDescent="0.2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 x14ac:dyDescent="0.2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 x14ac:dyDescent="0.2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 x14ac:dyDescent="0.2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 x14ac:dyDescent="0.2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 x14ac:dyDescent="0.2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 x14ac:dyDescent="0.2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 x14ac:dyDescent="0.2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 x14ac:dyDescent="0.2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 x14ac:dyDescent="0.2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 x14ac:dyDescent="0.2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 x14ac:dyDescent="0.2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 x14ac:dyDescent="0.2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 x14ac:dyDescent="0.2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 x14ac:dyDescent="0.2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 x14ac:dyDescent="0.2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 x14ac:dyDescent="0.2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 x14ac:dyDescent="0.2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 x14ac:dyDescent="0.2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 x14ac:dyDescent="0.2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 x14ac:dyDescent="0.2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 x14ac:dyDescent="0.2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 x14ac:dyDescent="0.2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 x14ac:dyDescent="0.2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 x14ac:dyDescent="0.2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 x14ac:dyDescent="0.2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 x14ac:dyDescent="0.2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 x14ac:dyDescent="0.2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 x14ac:dyDescent="0.2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 x14ac:dyDescent="0.2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 x14ac:dyDescent="0.2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 x14ac:dyDescent="0.2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 x14ac:dyDescent="0.2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 x14ac:dyDescent="0.2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 x14ac:dyDescent="0.2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 x14ac:dyDescent="0.2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 x14ac:dyDescent="0.2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 x14ac:dyDescent="0.2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 x14ac:dyDescent="0.2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 x14ac:dyDescent="0.2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 x14ac:dyDescent="0.2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 x14ac:dyDescent="0.2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 x14ac:dyDescent="0.2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 x14ac:dyDescent="0.2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 x14ac:dyDescent="0.2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 x14ac:dyDescent="0.2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 x14ac:dyDescent="0.2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 x14ac:dyDescent="0.2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 x14ac:dyDescent="0.2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 x14ac:dyDescent="0.2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 x14ac:dyDescent="0.2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 x14ac:dyDescent="0.2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 x14ac:dyDescent="0.2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 x14ac:dyDescent="0.2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 x14ac:dyDescent="0.2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 x14ac:dyDescent="0.2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 x14ac:dyDescent="0.2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 x14ac:dyDescent="0.2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 x14ac:dyDescent="0.2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 x14ac:dyDescent="0.2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 x14ac:dyDescent="0.2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 x14ac:dyDescent="0.2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 x14ac:dyDescent="0.2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 x14ac:dyDescent="0.2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 x14ac:dyDescent="0.2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 x14ac:dyDescent="0.2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 x14ac:dyDescent="0.2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 x14ac:dyDescent="0.2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 x14ac:dyDescent="0.2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 x14ac:dyDescent="0.2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 x14ac:dyDescent="0.2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 x14ac:dyDescent="0.2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 x14ac:dyDescent="0.2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 x14ac:dyDescent="0.2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 x14ac:dyDescent="0.2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 x14ac:dyDescent="0.2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 x14ac:dyDescent="0.2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 x14ac:dyDescent="0.2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 x14ac:dyDescent="0.2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 x14ac:dyDescent="0.2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 x14ac:dyDescent="0.2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 x14ac:dyDescent="0.2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 x14ac:dyDescent="0.2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 x14ac:dyDescent="0.2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 x14ac:dyDescent="0.2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 x14ac:dyDescent="0.2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 x14ac:dyDescent="0.2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 x14ac:dyDescent="0.2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 x14ac:dyDescent="0.2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 x14ac:dyDescent="0.2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 x14ac:dyDescent="0.2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 x14ac:dyDescent="0.2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 x14ac:dyDescent="0.2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 x14ac:dyDescent="0.2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 x14ac:dyDescent="0.2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 x14ac:dyDescent="0.2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 x14ac:dyDescent="0.2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 x14ac:dyDescent="0.2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 x14ac:dyDescent="0.2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EDIT_nodes_lng_europe_2019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EDIT_Connections_2019</vt:lpstr>
      <vt:lpstr>Connections_2020</vt:lpstr>
      <vt:lpstr>Connections_2024</vt:lpstr>
      <vt:lpstr>Connections_2035</vt:lpstr>
      <vt:lpstr>Global_Connections</vt:lpstr>
      <vt:lpstr>EDITglobal_LNG_connections_2019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Mariana De L Miranda V Pessoa</cp:lastModifiedBy>
  <dcterms:created xsi:type="dcterms:W3CDTF">2015-06-05T18:19:34Z</dcterms:created>
  <dcterms:modified xsi:type="dcterms:W3CDTF">2026-04-07T13:16:28Z</dcterms:modified>
</cp:coreProperties>
</file>