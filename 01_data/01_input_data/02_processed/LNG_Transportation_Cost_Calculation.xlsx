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"/>
    </mc:Choice>
  </mc:AlternateContent>
  <xr:revisionPtr revIDLastSave="0" documentId="13_ncr:1_{9A579C15-24CA-4556-AB34-448BB37E22C0}" xr6:coauthVersionLast="47" xr6:coauthVersionMax="47" xr10:uidLastSave="{00000000-0000-0000-0000-000000000000}"/>
  <bookViews>
    <workbookView xWindow="-110" yWindow="-110" windowWidth="19420" windowHeight="10300" xr2:uid="{24B830EA-0063-4094-B37E-F92C9074D879}"/>
  </bookViews>
  <sheets>
    <sheet name="LNG_Cost_Params" sheetId="4" r:id="rId1"/>
    <sheet name="LNG_Cost_raw" sheetId="1" r:id="rId2"/>
    <sheet name="Production_Cost_Nodes" sheetId="2" r:id="rId3"/>
    <sheet name="Production_Cost_Raw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  <c r="B7" i="4" s="1"/>
  <c r="B33" i="1"/>
  <c r="C3" i="3"/>
  <c r="B49" i="2" s="1"/>
  <c r="C4" i="3"/>
  <c r="B56" i="2" s="1"/>
  <c r="C5" i="3"/>
  <c r="C6" i="3"/>
  <c r="B47" i="2" s="1"/>
  <c r="C7" i="3"/>
  <c r="C8" i="3"/>
  <c r="B48" i="2" s="1"/>
  <c r="C9" i="3"/>
  <c r="B42" i="2" s="1"/>
  <c r="C10" i="3"/>
  <c r="B52" i="2" s="1"/>
  <c r="C11" i="3"/>
  <c r="B34" i="2" s="1"/>
  <c r="C12" i="3"/>
  <c r="B45" i="2" s="1"/>
  <c r="C13" i="3"/>
  <c r="B46" i="2" s="1"/>
  <c r="C14" i="3"/>
  <c r="B31" i="2" s="1"/>
  <c r="C15" i="3"/>
  <c r="B44" i="2" s="1"/>
  <c r="C16" i="3"/>
  <c r="B41" i="2" s="1"/>
  <c r="C2" i="3"/>
  <c r="B3" i="2" s="1"/>
  <c r="B34" i="1"/>
  <c r="B3" i="4" s="1"/>
  <c r="B24" i="1"/>
  <c r="B25" i="1" s="1"/>
  <c r="B28" i="1" s="1"/>
  <c r="B35" i="1"/>
  <c r="B4" i="4" s="1"/>
  <c r="B29" i="1"/>
  <c r="B30" i="1" s="1"/>
  <c r="B37" i="1" l="1"/>
  <c r="B6" i="4" s="1"/>
  <c r="B36" i="1"/>
  <c r="B5" i="4" s="1"/>
  <c r="B8" i="2"/>
  <c r="B16" i="2"/>
  <c r="B25" i="2"/>
  <c r="B35" i="2"/>
  <c r="B51" i="2"/>
  <c r="B9" i="2"/>
  <c r="B17" i="2"/>
  <c r="B26" i="2"/>
  <c r="B37" i="2"/>
  <c r="B50" i="2"/>
  <c r="B27" i="2"/>
  <c r="B10" i="2"/>
  <c r="B18" i="2"/>
  <c r="B28" i="2"/>
  <c r="B38" i="2"/>
  <c r="B55" i="2"/>
  <c r="B11" i="2"/>
  <c r="B19" i="2"/>
  <c r="B29" i="2"/>
  <c r="B40" i="2"/>
  <c r="B43" i="2"/>
  <c r="B39" i="2"/>
  <c r="B2" i="2"/>
  <c r="B12" i="2"/>
  <c r="B20" i="2"/>
  <c r="B30" i="2"/>
  <c r="B5" i="2"/>
  <c r="B4" i="2"/>
  <c r="B13" i="2"/>
  <c r="B22" i="2"/>
  <c r="B32" i="2"/>
  <c r="B54" i="2"/>
  <c r="B21" i="2"/>
  <c r="B6" i="2"/>
  <c r="B14" i="2"/>
  <c r="B23" i="2"/>
  <c r="B33" i="2"/>
  <c r="B53" i="2"/>
  <c r="B36" i="2"/>
  <c r="B7" i="2"/>
  <c r="B15" i="2"/>
  <c r="B24" i="2"/>
  <c r="B31" i="1"/>
  <c r="B2" i="4" s="1"/>
</calcChain>
</file>

<file path=xl/sharedStrings.xml><?xml version="1.0" encoding="utf-8"?>
<sst xmlns="http://schemas.openxmlformats.org/spreadsheetml/2006/main" count="152" uniqueCount="135">
  <si>
    <t>Euro to Dollar</t>
  </si>
  <si>
    <t>Vessel size</t>
  </si>
  <si>
    <t>m3</t>
  </si>
  <si>
    <t>Euro/Dollar</t>
  </si>
  <si>
    <t>Vessel cost</t>
  </si>
  <si>
    <t>ship speed</t>
  </si>
  <si>
    <t>https://www.sciencedirect.com/science/article/pii/S0360544224013859#b72</t>
  </si>
  <si>
    <t>knots/hour</t>
  </si>
  <si>
    <t>Fee Suez</t>
  </si>
  <si>
    <t>Fee Panama</t>
  </si>
  <si>
    <t>Dolar/ship</t>
  </si>
  <si>
    <t>https://link.springer.com/chapter/10.1007/978-3-030-86884-0_2</t>
  </si>
  <si>
    <t>Adjust!!!</t>
  </si>
  <si>
    <t>MMBtu to GWh</t>
  </si>
  <si>
    <t>GWH/MMBtu</t>
  </si>
  <si>
    <t>Dollar/MMBtu</t>
  </si>
  <si>
    <t>km/h to knots</t>
  </si>
  <si>
    <t>km/h/knot</t>
  </si>
  <si>
    <t>Mt LNG  to GWh</t>
  </si>
  <si>
    <t>GWh / Mt LNG</t>
  </si>
  <si>
    <t>kWh/m3 LNG</t>
  </si>
  <si>
    <t>energy density</t>
  </si>
  <si>
    <t>MJ/kg</t>
  </si>
  <si>
    <t>kg/m3</t>
  </si>
  <si>
    <t>MJ/m3</t>
  </si>
  <si>
    <t>MJ/GWh</t>
  </si>
  <si>
    <t>Load per vessel</t>
  </si>
  <si>
    <t>GWh / vessel</t>
  </si>
  <si>
    <t>kmh</t>
  </si>
  <si>
    <t>distance per day</t>
  </si>
  <si>
    <t>cost per energy</t>
  </si>
  <si>
    <t>Dollar/day</t>
  </si>
  <si>
    <t>Euro/GWh</t>
  </si>
  <si>
    <t>cost per energy and km</t>
  </si>
  <si>
    <t>Euro per day/GWh</t>
  </si>
  <si>
    <t>km/day</t>
  </si>
  <si>
    <t>Euro/GWh/km</t>
  </si>
  <si>
    <t>loading</t>
  </si>
  <si>
    <t>regasification</t>
  </si>
  <si>
    <t>Liquification cost upper</t>
  </si>
  <si>
    <t>Liquification cost lower</t>
  </si>
  <si>
    <t>Regasification cost upper</t>
  </si>
  <si>
    <t>Regasification cost lower</t>
  </si>
  <si>
    <t>GWh/m3</t>
  </si>
  <si>
    <t>https://pancanal.com/wp-content/uploads/2021/08/Post-publishing-Maritime-Tariffs-2025-2.pdf</t>
  </si>
  <si>
    <t>https://www.suezcanal.gov.eg/English/Navigation/Tolls/Pages/TollsTable.aspx</t>
  </si>
  <si>
    <t>Cost Panama</t>
  </si>
  <si>
    <t>Cost Suez</t>
  </si>
  <si>
    <t>AL_Prod</t>
  </si>
  <si>
    <t>DZ_Prod</t>
  </si>
  <si>
    <t>AT_Prod</t>
  </si>
  <si>
    <t>BY_Prod</t>
  </si>
  <si>
    <t>BE_Prod</t>
  </si>
  <si>
    <t>BA_Prod</t>
  </si>
  <si>
    <t>BG_Prod</t>
  </si>
  <si>
    <t>HR_Prod</t>
  </si>
  <si>
    <t>CZ_Prod</t>
  </si>
  <si>
    <t>DK_Prod</t>
  </si>
  <si>
    <t>EE_Prod</t>
  </si>
  <si>
    <t>FI_Prod</t>
  </si>
  <si>
    <t>FR_Prod</t>
  </si>
  <si>
    <t>DE_Prod</t>
  </si>
  <si>
    <t>EL_Prod</t>
  </si>
  <si>
    <t>HU_Prod</t>
  </si>
  <si>
    <t>IE_Prod</t>
  </si>
  <si>
    <t>IT_Prod</t>
  </si>
  <si>
    <t>LV_Prod</t>
  </si>
  <si>
    <t>LY_Prod</t>
  </si>
  <si>
    <t>LT_Prod</t>
  </si>
  <si>
    <t>LU_Prod</t>
  </si>
  <si>
    <t>MD_Prod</t>
  </si>
  <si>
    <t>NL_Prod</t>
  </si>
  <si>
    <t>MK_Prod</t>
  </si>
  <si>
    <t>NO_Prod</t>
  </si>
  <si>
    <t>PL_Prod</t>
  </si>
  <si>
    <t>PT_Prod</t>
  </si>
  <si>
    <t>RO_Prod</t>
  </si>
  <si>
    <t>RU_Prod</t>
  </si>
  <si>
    <t>RS_Prod</t>
  </si>
  <si>
    <t>SK_Prod</t>
  </si>
  <si>
    <t>SI_Prod</t>
  </si>
  <si>
    <t>CH_Prod</t>
  </si>
  <si>
    <t>TN_Prod</t>
  </si>
  <si>
    <t>TR_Prod</t>
  </si>
  <si>
    <t>UK_Prod</t>
  </si>
  <si>
    <t>UA_Prod</t>
  </si>
  <si>
    <t>ES_Prod</t>
  </si>
  <si>
    <t>USA_Prod</t>
  </si>
  <si>
    <t>CM_Prod</t>
  </si>
  <si>
    <t>SA_Prod</t>
  </si>
  <si>
    <t>TT_Prod</t>
  </si>
  <si>
    <t>ME_Prod</t>
  </si>
  <si>
    <t>QA_Prod</t>
  </si>
  <si>
    <t>AF_Prod</t>
  </si>
  <si>
    <t>MA_Prod</t>
  </si>
  <si>
    <t>AU_Prod</t>
  </si>
  <si>
    <t>CN_Prod</t>
  </si>
  <si>
    <t>JS_Prod</t>
  </si>
  <si>
    <t>IN_Prod</t>
  </si>
  <si>
    <t>AS_Prod</t>
  </si>
  <si>
    <t>CR_Prod</t>
  </si>
  <si>
    <t>EG_Prod</t>
  </si>
  <si>
    <t>IM_Prod</t>
  </si>
  <si>
    <t>Exporter</t>
  </si>
  <si>
    <t>Algeria</t>
  </si>
  <si>
    <t>Australia</t>
  </si>
  <si>
    <t>Indonesia</t>
  </si>
  <si>
    <t>Malaysia</t>
  </si>
  <si>
    <t>Nigeria</t>
  </si>
  <si>
    <t>Oman</t>
  </si>
  <si>
    <t>Other Africa</t>
  </si>
  <si>
    <t>Other Americas</t>
  </si>
  <si>
    <t>Other Asia Pacific</t>
  </si>
  <si>
    <t>Other Europe</t>
  </si>
  <si>
    <t>Other Middle East</t>
  </si>
  <si>
    <t>Qatar</t>
  </si>
  <si>
    <t>Russia</t>
  </si>
  <si>
    <t>Trinidad &amp; Tobago</t>
  </si>
  <si>
    <t>USA</t>
  </si>
  <si>
    <t>https://www.sciencedirect.com/science/article/pii/S0360544224013859#appA</t>
  </si>
  <si>
    <t>Liquefication cap in billions MMBtu/year</t>
  </si>
  <si>
    <t>Node</t>
  </si>
  <si>
    <t>Cost</t>
  </si>
  <si>
    <t>Break even cost in $/MMBtu</t>
  </si>
  <si>
    <t>liquefication per GWh</t>
  </si>
  <si>
    <t>cost per GWh and km</t>
  </si>
  <si>
    <t>regasification per GWh</t>
  </si>
  <si>
    <t>Cost Panama per GWh</t>
  </si>
  <si>
    <t>Cost Suez per GWh</t>
  </si>
  <si>
    <t>type</t>
  </si>
  <si>
    <t>Pipeline cost upper</t>
  </si>
  <si>
    <t>Pipeline cost lower</t>
  </si>
  <si>
    <t>Dollar/MMBtu/1000km</t>
  </si>
  <si>
    <t>pipeline transport cost</t>
  </si>
  <si>
    <t>cost pipe per GWh and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</si>
</sst>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6EF09-FB65-4BB4-9513-8116EABFF6AD}">
  <dimension ref="A1:B7"/>
  <sheetViews>
    <sheetView tabSelected="1" workbookViewId="0">
      <selection activeCell="B8" sqref="B8"/>
    </sheetView>
  </sheetViews>
  <sheetFormatPr defaultRowHeight="14.5" x14ac:dyDescent="0.35"/>
  <cols>
    <col min="1" max="1" width="22.08984375" customWidth="1"/>
  </cols>
  <sheetData>
    <row r="1" spans="1:2" x14ac:dyDescent="0.35">
      <c r="A1" t="s">
        <v>129</v>
      </c>
      <c r="B1" t="s">
        <v>122</v>
      </c>
    </row>
    <row r="2" spans="1:2" x14ac:dyDescent="0.35">
      <c r="A2" t="s">
        <v>125</v>
      </c>
      <c r="B2">
        <f>LNG_Cost_raw!B33</f>
        <v>8.0496656242732792E-2</v>
      </c>
    </row>
    <row r="3" spans="1:2" x14ac:dyDescent="0.35">
      <c r="A3" t="s">
        <v>124</v>
      </c>
      <c r="B3">
        <f>LNG_Cost_raw!B34</f>
        <v>8530.3536997424526</v>
      </c>
    </row>
    <row r="4" spans="1:2" x14ac:dyDescent="0.35">
      <c r="A4" t="s">
        <v>126</v>
      </c>
      <c r="B4">
        <f>LNG_Cost_raw!B35</f>
        <v>2217.8919619330377</v>
      </c>
    </row>
    <row r="5" spans="1:2" x14ac:dyDescent="0.35">
      <c r="A5" t="s">
        <v>127</v>
      </c>
      <c r="B5">
        <f>LNG_Cost_raw!B36</f>
        <v>1000</v>
      </c>
    </row>
    <row r="6" spans="1:2" x14ac:dyDescent="0.35">
      <c r="A6" t="s">
        <v>128</v>
      </c>
      <c r="B6">
        <f>LNG_Cost_raw!B37</f>
        <v>950</v>
      </c>
    </row>
    <row r="7" spans="1:2" x14ac:dyDescent="0.35">
      <c r="A7" t="s">
        <v>134</v>
      </c>
      <c r="B7">
        <f>LNG_Cost_raw!B39</f>
        <v>1.7060707399484905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DCBF-103E-42D2-98E0-69A31DB057CA}">
  <dimension ref="A1:H39"/>
  <sheetViews>
    <sheetView topLeftCell="A24" workbookViewId="0">
      <selection activeCell="B40" sqref="B40"/>
    </sheetView>
  </sheetViews>
  <sheetFormatPr defaultRowHeight="14.5" x14ac:dyDescent="0.35"/>
  <cols>
    <col min="1" max="1" width="12.54296875" customWidth="1"/>
    <col min="2" max="2" width="10.81640625" bestFit="1" customWidth="1"/>
    <col min="9" max="9" width="10.81640625" bestFit="1" customWidth="1"/>
    <col min="12" max="12" width="11.81640625" bestFit="1" customWidth="1"/>
  </cols>
  <sheetData>
    <row r="1" spans="1:8" x14ac:dyDescent="0.35">
      <c r="A1" t="s">
        <v>0</v>
      </c>
      <c r="B1">
        <v>1.1399999999999999</v>
      </c>
      <c r="C1" t="s">
        <v>3</v>
      </c>
      <c r="G1" t="s">
        <v>6</v>
      </c>
    </row>
    <row r="2" spans="1:8" x14ac:dyDescent="0.35">
      <c r="G2" t="s">
        <v>11</v>
      </c>
    </row>
    <row r="3" spans="1:8" x14ac:dyDescent="0.35">
      <c r="A3" t="s">
        <v>1</v>
      </c>
      <c r="B3">
        <v>160000</v>
      </c>
      <c r="C3" t="s">
        <v>2</v>
      </c>
    </row>
    <row r="4" spans="1:8" x14ac:dyDescent="0.35">
      <c r="A4" t="s">
        <v>4</v>
      </c>
      <c r="B4">
        <v>69340</v>
      </c>
      <c r="C4" t="s">
        <v>31</v>
      </c>
    </row>
    <row r="5" spans="1:8" x14ac:dyDescent="0.35">
      <c r="A5" t="s">
        <v>5</v>
      </c>
      <c r="B5">
        <v>17</v>
      </c>
      <c r="C5" t="s">
        <v>7</v>
      </c>
    </row>
    <row r="6" spans="1:8" x14ac:dyDescent="0.35">
      <c r="A6" t="s">
        <v>16</v>
      </c>
      <c r="B6">
        <v>1.8520000000000001</v>
      </c>
      <c r="C6" t="s">
        <v>17</v>
      </c>
    </row>
    <row r="7" spans="1:8" x14ac:dyDescent="0.35">
      <c r="G7" t="s">
        <v>12</v>
      </c>
      <c r="H7" t="s">
        <v>45</v>
      </c>
    </row>
    <row r="8" spans="1:8" x14ac:dyDescent="0.35">
      <c r="A8" t="s">
        <v>8</v>
      </c>
      <c r="B8">
        <v>1000000</v>
      </c>
      <c r="C8" t="s">
        <v>10</v>
      </c>
      <c r="G8" t="s">
        <v>12</v>
      </c>
      <c r="H8" t="s">
        <v>44</v>
      </c>
    </row>
    <row r="9" spans="1:8" x14ac:dyDescent="0.35">
      <c r="A9" t="s">
        <v>9</v>
      </c>
      <c r="B9">
        <v>950000</v>
      </c>
      <c r="C9" t="s">
        <v>10</v>
      </c>
    </row>
    <row r="11" spans="1:8" x14ac:dyDescent="0.35">
      <c r="A11" t="s">
        <v>130</v>
      </c>
      <c r="B11">
        <v>2.5</v>
      </c>
      <c r="C11" t="s">
        <v>132</v>
      </c>
    </row>
    <row r="12" spans="1:8" x14ac:dyDescent="0.35">
      <c r="A12" t="s">
        <v>131</v>
      </c>
      <c r="B12">
        <v>0.5</v>
      </c>
      <c r="C12" t="s">
        <v>132</v>
      </c>
    </row>
    <row r="14" spans="1:8" x14ac:dyDescent="0.35">
      <c r="A14" t="s">
        <v>39</v>
      </c>
      <c r="B14" s="1">
        <v>3</v>
      </c>
      <c r="C14" t="s">
        <v>15</v>
      </c>
    </row>
    <row r="15" spans="1:8" x14ac:dyDescent="0.35">
      <c r="A15" t="s">
        <v>40</v>
      </c>
      <c r="B15" s="1">
        <v>2</v>
      </c>
      <c r="C15" t="s">
        <v>15</v>
      </c>
    </row>
    <row r="16" spans="1:8" x14ac:dyDescent="0.35">
      <c r="A16" t="s">
        <v>41</v>
      </c>
      <c r="B16">
        <v>1</v>
      </c>
      <c r="C16" t="s">
        <v>15</v>
      </c>
    </row>
    <row r="17" spans="1:3" x14ac:dyDescent="0.35">
      <c r="A17" t="s">
        <v>42</v>
      </c>
      <c r="B17">
        <v>0.3</v>
      </c>
      <c r="C17" t="s">
        <v>15</v>
      </c>
    </row>
    <row r="19" spans="1:3" x14ac:dyDescent="0.35">
      <c r="A19" t="s">
        <v>13</v>
      </c>
      <c r="B19">
        <v>2.9307108333332998E-4</v>
      </c>
      <c r="C19" t="s">
        <v>14</v>
      </c>
    </row>
    <row r="20" spans="1:3" x14ac:dyDescent="0.35">
      <c r="A20" t="s">
        <v>18</v>
      </c>
      <c r="B20">
        <v>14447.204969443999</v>
      </c>
      <c r="C20" t="s">
        <v>19</v>
      </c>
    </row>
    <row r="21" spans="1:3" x14ac:dyDescent="0.35">
      <c r="A21" t="s">
        <v>21</v>
      </c>
      <c r="B21">
        <v>6250</v>
      </c>
      <c r="C21" t="s">
        <v>20</v>
      </c>
    </row>
    <row r="22" spans="1:3" x14ac:dyDescent="0.35">
      <c r="A22" t="s">
        <v>21</v>
      </c>
      <c r="B22">
        <v>50</v>
      </c>
      <c r="C22" t="s">
        <v>22</v>
      </c>
    </row>
    <row r="23" spans="1:3" x14ac:dyDescent="0.35">
      <c r="A23" t="s">
        <v>21</v>
      </c>
      <c r="B23">
        <v>450</v>
      </c>
      <c r="C23" t="s">
        <v>23</v>
      </c>
    </row>
    <row r="24" spans="1:3" x14ac:dyDescent="0.35">
      <c r="A24" t="s">
        <v>21</v>
      </c>
      <c r="B24">
        <f>B22*B23</f>
        <v>22500</v>
      </c>
      <c r="C24" t="s">
        <v>24</v>
      </c>
    </row>
    <row r="25" spans="1:3" x14ac:dyDescent="0.35">
      <c r="A25" t="s">
        <v>21</v>
      </c>
      <c r="B25">
        <f>B24/B26</f>
        <v>6.2500000000000003E-3</v>
      </c>
      <c r="C25" t="s">
        <v>43</v>
      </c>
    </row>
    <row r="26" spans="1:3" x14ac:dyDescent="0.35">
      <c r="B26">
        <v>3600000</v>
      </c>
      <c r="C26" t="s">
        <v>25</v>
      </c>
    </row>
    <row r="28" spans="1:3" x14ac:dyDescent="0.35">
      <c r="A28" t="s">
        <v>26</v>
      </c>
      <c r="B28">
        <f>B3*B25</f>
        <v>1000</v>
      </c>
      <c r="C28" t="s">
        <v>27</v>
      </c>
    </row>
    <row r="29" spans="1:3" x14ac:dyDescent="0.35">
      <c r="A29" t="s">
        <v>5</v>
      </c>
      <c r="B29">
        <f>B5*B6</f>
        <v>31.484000000000002</v>
      </c>
      <c r="C29" t="s">
        <v>28</v>
      </c>
    </row>
    <row r="30" spans="1:3" x14ac:dyDescent="0.35">
      <c r="A30" t="s">
        <v>29</v>
      </c>
      <c r="B30">
        <f>B29*24</f>
        <v>755.61599999999999</v>
      </c>
      <c r="C30" t="s">
        <v>35</v>
      </c>
    </row>
    <row r="31" spans="1:3" x14ac:dyDescent="0.35">
      <c r="A31" t="s">
        <v>30</v>
      </c>
      <c r="B31">
        <f>(B4/B1)/B28</f>
        <v>60.824561403508781</v>
      </c>
      <c r="C31" t="s">
        <v>34</v>
      </c>
    </row>
    <row r="33" spans="1:3" x14ac:dyDescent="0.35">
      <c r="A33" t="s">
        <v>33</v>
      </c>
      <c r="B33">
        <f>B31/B30</f>
        <v>8.0496656242732792E-2</v>
      </c>
      <c r="C33" t="s">
        <v>36</v>
      </c>
    </row>
    <row r="34" spans="1:3" x14ac:dyDescent="0.35">
      <c r="A34" t="s">
        <v>37</v>
      </c>
      <c r="B34">
        <f>1/B19*AVERAGE(B14:B15)</f>
        <v>8530.3536997424526</v>
      </c>
      <c r="C34" t="s">
        <v>32</v>
      </c>
    </row>
    <row r="35" spans="1:3" x14ac:dyDescent="0.35">
      <c r="A35" t="s">
        <v>38</v>
      </c>
      <c r="B35">
        <f>1/B19*AVERAGE(B16:B17)</f>
        <v>2217.8919619330377</v>
      </c>
      <c r="C35" t="s">
        <v>32</v>
      </c>
    </row>
    <row r="36" spans="1:3" x14ac:dyDescent="0.35">
      <c r="A36" t="s">
        <v>46</v>
      </c>
      <c r="B36">
        <f>B8/$B$28</f>
        <v>1000</v>
      </c>
      <c r="C36" t="s">
        <v>32</v>
      </c>
    </row>
    <row r="37" spans="1:3" x14ac:dyDescent="0.35">
      <c r="A37" t="s">
        <v>47</v>
      </c>
      <c r="B37">
        <f>B9/$B$28</f>
        <v>950</v>
      </c>
      <c r="C37" t="s">
        <v>32</v>
      </c>
    </row>
    <row r="39" spans="1:3" x14ac:dyDescent="0.35">
      <c r="A39" t="s">
        <v>133</v>
      </c>
      <c r="B39">
        <f>B12/1000/B19</f>
        <v>1.7060707399484905</v>
      </c>
      <c r="C39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F324-9E92-4A7C-968F-3DC797316B3B}">
  <dimension ref="A1:B56"/>
  <sheetViews>
    <sheetView topLeftCell="A43" workbookViewId="0">
      <selection activeCell="H54" sqref="H54"/>
    </sheetView>
  </sheetViews>
  <sheetFormatPr defaultRowHeight="14.5" x14ac:dyDescent="0.35"/>
  <cols>
    <col min="1" max="1" width="11.08984375" customWidth="1"/>
  </cols>
  <sheetData>
    <row r="1" spans="1:2" x14ac:dyDescent="0.35">
      <c r="A1" t="s">
        <v>121</v>
      </c>
      <c r="B1" t="s">
        <v>122</v>
      </c>
    </row>
    <row r="2" spans="1:2" x14ac:dyDescent="0.35">
      <c r="A2" t="s">
        <v>48</v>
      </c>
      <c r="B2" s="1">
        <f>Production_Cost_Raw!$C$11</f>
        <v>19449.206435412791</v>
      </c>
    </row>
    <row r="3" spans="1:2" x14ac:dyDescent="0.35">
      <c r="A3" t="s">
        <v>49</v>
      </c>
      <c r="B3" s="1">
        <f>Production_Cost_Raw!C2</f>
        <v>19060.222306704538</v>
      </c>
    </row>
    <row r="4" spans="1:2" x14ac:dyDescent="0.35">
      <c r="A4" t="s">
        <v>50</v>
      </c>
      <c r="B4" s="1">
        <f>Production_Cost_Raw!$C$11</f>
        <v>19449.206435412791</v>
      </c>
    </row>
    <row r="5" spans="1:2" x14ac:dyDescent="0.35">
      <c r="A5" t="s">
        <v>51</v>
      </c>
      <c r="B5" s="1">
        <f>Production_Cost_Raw!$C$11</f>
        <v>19449.206435412791</v>
      </c>
    </row>
    <row r="6" spans="1:2" x14ac:dyDescent="0.35">
      <c r="A6" t="s">
        <v>52</v>
      </c>
      <c r="B6" s="1">
        <f>Production_Cost_Raw!$C$11</f>
        <v>19449.206435412791</v>
      </c>
    </row>
    <row r="7" spans="1:2" x14ac:dyDescent="0.35">
      <c r="A7" t="s">
        <v>53</v>
      </c>
      <c r="B7" s="1">
        <f>Production_Cost_Raw!$C$11</f>
        <v>19449.206435412791</v>
      </c>
    </row>
    <row r="8" spans="1:2" x14ac:dyDescent="0.35">
      <c r="A8" t="s">
        <v>54</v>
      </c>
      <c r="B8" s="1">
        <f>Production_Cost_Raw!$C$11</f>
        <v>19449.206435412791</v>
      </c>
    </row>
    <row r="9" spans="1:2" x14ac:dyDescent="0.35">
      <c r="A9" t="s">
        <v>55</v>
      </c>
      <c r="B9" s="1">
        <f>Production_Cost_Raw!$C$11</f>
        <v>19449.206435412791</v>
      </c>
    </row>
    <row r="10" spans="1:2" x14ac:dyDescent="0.35">
      <c r="A10" t="s">
        <v>56</v>
      </c>
      <c r="B10" s="1">
        <f>Production_Cost_Raw!$C$11</f>
        <v>19449.206435412791</v>
      </c>
    </row>
    <row r="11" spans="1:2" x14ac:dyDescent="0.35">
      <c r="A11" t="s">
        <v>57</v>
      </c>
      <c r="B11" s="1">
        <f>Production_Cost_Raw!$C$11</f>
        <v>19449.206435412791</v>
      </c>
    </row>
    <row r="12" spans="1:2" x14ac:dyDescent="0.35">
      <c r="A12" t="s">
        <v>58</v>
      </c>
      <c r="B12" s="1">
        <f>Production_Cost_Raw!$C$11</f>
        <v>19449.206435412791</v>
      </c>
    </row>
    <row r="13" spans="1:2" x14ac:dyDescent="0.35">
      <c r="A13" t="s">
        <v>59</v>
      </c>
      <c r="B13" s="1">
        <f>Production_Cost_Raw!$C$11</f>
        <v>19449.206435412791</v>
      </c>
    </row>
    <row r="14" spans="1:2" x14ac:dyDescent="0.35">
      <c r="A14" t="s">
        <v>60</v>
      </c>
      <c r="B14" s="1">
        <f>Production_Cost_Raw!$C$11</f>
        <v>19449.206435412791</v>
      </c>
    </row>
    <row r="15" spans="1:2" x14ac:dyDescent="0.35">
      <c r="A15" t="s">
        <v>61</v>
      </c>
      <c r="B15" s="1">
        <f>Production_Cost_Raw!$C$11</f>
        <v>19449.206435412791</v>
      </c>
    </row>
    <row r="16" spans="1:2" x14ac:dyDescent="0.35">
      <c r="A16" t="s">
        <v>62</v>
      </c>
      <c r="B16" s="1">
        <f>Production_Cost_Raw!$C$11</f>
        <v>19449.206435412791</v>
      </c>
    </row>
    <row r="17" spans="1:2" x14ac:dyDescent="0.35">
      <c r="A17" t="s">
        <v>63</v>
      </c>
      <c r="B17" s="1">
        <f>Production_Cost_Raw!$C$11</f>
        <v>19449.206435412791</v>
      </c>
    </row>
    <row r="18" spans="1:2" x14ac:dyDescent="0.35">
      <c r="A18" t="s">
        <v>64</v>
      </c>
      <c r="B18" s="1">
        <f>Production_Cost_Raw!$C$11</f>
        <v>19449.206435412791</v>
      </c>
    </row>
    <row r="19" spans="1:2" x14ac:dyDescent="0.35">
      <c r="A19" t="s">
        <v>65</v>
      </c>
      <c r="B19" s="1">
        <f>Production_Cost_Raw!$C$11</f>
        <v>19449.206435412791</v>
      </c>
    </row>
    <row r="20" spans="1:2" x14ac:dyDescent="0.35">
      <c r="A20" t="s">
        <v>66</v>
      </c>
      <c r="B20" s="1">
        <f>Production_Cost_Raw!$C$11</f>
        <v>19449.206435412791</v>
      </c>
    </row>
    <row r="21" spans="1:2" x14ac:dyDescent="0.35">
      <c r="A21" t="s">
        <v>67</v>
      </c>
      <c r="B21" s="1">
        <f>Production_Cost_Raw!$C$8</f>
        <v>17504.285791871513</v>
      </c>
    </row>
    <row r="22" spans="1:2" x14ac:dyDescent="0.35">
      <c r="A22" t="s">
        <v>68</v>
      </c>
      <c r="B22" s="1">
        <f>Production_Cost_Raw!$C$11</f>
        <v>19449.206435412791</v>
      </c>
    </row>
    <row r="23" spans="1:2" x14ac:dyDescent="0.35">
      <c r="A23" t="s">
        <v>69</v>
      </c>
      <c r="B23" s="1">
        <f>Production_Cost_Raw!$C$11</f>
        <v>19449.206435412791</v>
      </c>
    </row>
    <row r="24" spans="1:2" x14ac:dyDescent="0.35">
      <c r="A24" t="s">
        <v>70</v>
      </c>
      <c r="B24" s="1">
        <f>Production_Cost_Raw!$C$11</f>
        <v>19449.206435412791</v>
      </c>
    </row>
    <row r="25" spans="1:2" x14ac:dyDescent="0.35">
      <c r="A25" t="s">
        <v>71</v>
      </c>
      <c r="B25" s="1">
        <f>Production_Cost_Raw!$C$11</f>
        <v>19449.206435412791</v>
      </c>
    </row>
    <row r="26" spans="1:2" x14ac:dyDescent="0.35">
      <c r="A26" t="s">
        <v>72</v>
      </c>
      <c r="B26" s="1">
        <f>Production_Cost_Raw!$C$11</f>
        <v>19449.206435412791</v>
      </c>
    </row>
    <row r="27" spans="1:2" x14ac:dyDescent="0.35">
      <c r="A27" t="s">
        <v>73</v>
      </c>
      <c r="B27" s="1">
        <f>Production_Cost_Raw!$C$11</f>
        <v>19449.206435412791</v>
      </c>
    </row>
    <row r="28" spans="1:2" x14ac:dyDescent="0.35">
      <c r="A28" t="s">
        <v>74</v>
      </c>
      <c r="B28" s="1">
        <f>Production_Cost_Raw!$C$11</f>
        <v>19449.206435412791</v>
      </c>
    </row>
    <row r="29" spans="1:2" x14ac:dyDescent="0.35">
      <c r="A29" t="s">
        <v>75</v>
      </c>
      <c r="B29" s="1">
        <f>Production_Cost_Raw!$C$11</f>
        <v>19449.206435412791</v>
      </c>
    </row>
    <row r="30" spans="1:2" x14ac:dyDescent="0.35">
      <c r="A30" t="s">
        <v>76</v>
      </c>
      <c r="B30" s="1">
        <f>Production_Cost_Raw!$C$11</f>
        <v>19449.206435412791</v>
      </c>
    </row>
    <row r="31" spans="1:2" x14ac:dyDescent="0.35">
      <c r="A31" t="s">
        <v>77</v>
      </c>
      <c r="B31" s="1">
        <f>Production_Cost_Raw!C14</f>
        <v>17504.285791871513</v>
      </c>
    </row>
    <row r="32" spans="1:2" x14ac:dyDescent="0.35">
      <c r="A32" t="s">
        <v>78</v>
      </c>
      <c r="B32" s="1">
        <f>Production_Cost_Raw!$C$11</f>
        <v>19449.206435412791</v>
      </c>
    </row>
    <row r="33" spans="1:2" x14ac:dyDescent="0.35">
      <c r="A33" t="s">
        <v>79</v>
      </c>
      <c r="B33" s="1">
        <f>Production_Cost_Raw!$C$11</f>
        <v>19449.206435412791</v>
      </c>
    </row>
    <row r="34" spans="1:2" x14ac:dyDescent="0.35">
      <c r="A34" t="s">
        <v>80</v>
      </c>
      <c r="B34" s="1">
        <f>Production_Cost_Raw!$C$11</f>
        <v>19449.206435412791</v>
      </c>
    </row>
    <row r="35" spans="1:2" x14ac:dyDescent="0.35">
      <c r="A35" t="s">
        <v>81</v>
      </c>
      <c r="B35" s="1">
        <f>Production_Cost_Raw!$C$11</f>
        <v>19449.206435412791</v>
      </c>
    </row>
    <row r="36" spans="1:2" x14ac:dyDescent="0.35">
      <c r="A36" t="s">
        <v>82</v>
      </c>
      <c r="B36" s="1">
        <f>Production_Cost_Raw!$C$8</f>
        <v>17504.285791871513</v>
      </c>
    </row>
    <row r="37" spans="1:2" x14ac:dyDescent="0.35">
      <c r="A37" t="s">
        <v>83</v>
      </c>
      <c r="B37" s="1">
        <f>Production_Cost_Raw!$C$11</f>
        <v>19449.206435412791</v>
      </c>
    </row>
    <row r="38" spans="1:2" x14ac:dyDescent="0.35">
      <c r="A38" t="s">
        <v>84</v>
      </c>
      <c r="B38" s="1">
        <f>Production_Cost_Raw!$C$11</f>
        <v>19449.206435412791</v>
      </c>
    </row>
    <row r="39" spans="1:2" x14ac:dyDescent="0.35">
      <c r="A39" t="s">
        <v>85</v>
      </c>
      <c r="B39" s="1">
        <f>Production_Cost_Raw!$C$11</f>
        <v>19449.206435412791</v>
      </c>
    </row>
    <row r="40" spans="1:2" x14ac:dyDescent="0.35">
      <c r="A40" t="s">
        <v>86</v>
      </c>
      <c r="B40" s="1">
        <f>Production_Cost_Raw!$C$11</f>
        <v>19449.206435412791</v>
      </c>
    </row>
    <row r="41" spans="1:2" x14ac:dyDescent="0.35">
      <c r="A41" t="s">
        <v>87</v>
      </c>
      <c r="B41" s="1">
        <f>Production_Cost_Raw!C16</f>
        <v>22950.063593787094</v>
      </c>
    </row>
    <row r="42" spans="1:2" x14ac:dyDescent="0.35">
      <c r="A42" t="s">
        <v>88</v>
      </c>
      <c r="B42" s="1">
        <f>Production_Cost_Raw!C9</f>
        <v>23339.04772249535</v>
      </c>
    </row>
    <row r="43" spans="1:2" x14ac:dyDescent="0.35">
      <c r="A43" t="s">
        <v>89</v>
      </c>
      <c r="B43" s="1">
        <f>Production_Cost_Raw!C9</f>
        <v>23339.04772249535</v>
      </c>
    </row>
    <row r="44" spans="1:2" x14ac:dyDescent="0.35">
      <c r="A44" t="s">
        <v>90</v>
      </c>
      <c r="B44" s="1">
        <f>Production_Cost_Raw!C15</f>
        <v>19838.190564121043</v>
      </c>
    </row>
    <row r="45" spans="1:2" x14ac:dyDescent="0.35">
      <c r="A45" t="s">
        <v>91</v>
      </c>
      <c r="B45" s="1">
        <f>Production_Cost_Raw!C12</f>
        <v>11669.523861247675</v>
      </c>
    </row>
    <row r="46" spans="1:2" x14ac:dyDescent="0.35">
      <c r="A46" t="s">
        <v>92</v>
      </c>
      <c r="B46" s="1">
        <f>Production_Cost_Raw!C13</f>
        <v>9335.619088998139</v>
      </c>
    </row>
    <row r="47" spans="1:2" x14ac:dyDescent="0.35">
      <c r="A47" t="s">
        <v>93</v>
      </c>
      <c r="B47" s="1">
        <f>Production_Cost_Raw!C6</f>
        <v>15948.349277038487</v>
      </c>
    </row>
    <row r="48" spans="1:2" x14ac:dyDescent="0.35">
      <c r="A48" t="s">
        <v>94</v>
      </c>
      <c r="B48" s="1">
        <f>Production_Cost_Raw!$C$8</f>
        <v>17504.285791871513</v>
      </c>
    </row>
    <row r="49" spans="1:2" x14ac:dyDescent="0.35">
      <c r="A49" t="s">
        <v>95</v>
      </c>
      <c r="B49" s="1">
        <f>Production_Cost_Raw!C3</f>
        <v>29173.809653119184</v>
      </c>
    </row>
    <row r="50" spans="1:2" x14ac:dyDescent="0.35">
      <c r="A50" t="s">
        <v>96</v>
      </c>
      <c r="B50" s="1">
        <f>Production_Cost_Raw!$C$10</f>
        <v>32674.666811493484</v>
      </c>
    </row>
    <row r="51" spans="1:2" x14ac:dyDescent="0.35">
      <c r="A51" t="s">
        <v>97</v>
      </c>
      <c r="B51" s="1">
        <f>Production_Cost_Raw!$C$10</f>
        <v>32674.666811493484</v>
      </c>
    </row>
    <row r="52" spans="1:2" x14ac:dyDescent="0.35">
      <c r="A52" t="s">
        <v>98</v>
      </c>
      <c r="B52" s="1">
        <f>Production_Cost_Raw!$C$10</f>
        <v>32674.666811493484</v>
      </c>
    </row>
    <row r="53" spans="1:2" x14ac:dyDescent="0.35">
      <c r="A53" t="s">
        <v>99</v>
      </c>
      <c r="B53" s="1">
        <f>Production_Cost_Raw!$C$10</f>
        <v>32674.666811493484</v>
      </c>
    </row>
    <row r="54" spans="1:2" x14ac:dyDescent="0.35">
      <c r="A54" t="s">
        <v>100</v>
      </c>
      <c r="B54" s="1">
        <f>Production_Cost_Raw!C11</f>
        <v>19449.206435412791</v>
      </c>
    </row>
    <row r="55" spans="1:2" x14ac:dyDescent="0.35">
      <c r="A55" t="s">
        <v>101</v>
      </c>
      <c r="B55" s="1">
        <f>Production_Cost_Raw!C8</f>
        <v>17504.285791871513</v>
      </c>
    </row>
    <row r="56" spans="1:2" x14ac:dyDescent="0.35">
      <c r="A56" t="s">
        <v>102</v>
      </c>
      <c r="B56" s="1">
        <f>Production_Cost_Raw!C4</f>
        <v>23339.04772249535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66D6-4821-4FD2-965C-FCF51A3EBC0D}">
  <dimension ref="A1:G16"/>
  <sheetViews>
    <sheetView workbookViewId="0">
      <selection activeCell="F12" sqref="F12"/>
    </sheetView>
  </sheetViews>
  <sheetFormatPr defaultRowHeight="14.5" x14ac:dyDescent="0.35"/>
  <cols>
    <col min="1" max="1" width="15.36328125" customWidth="1"/>
    <col min="2" max="2" width="22.08984375" customWidth="1"/>
    <col min="3" max="3" width="19.26953125" customWidth="1"/>
  </cols>
  <sheetData>
    <row r="1" spans="1:7" x14ac:dyDescent="0.35">
      <c r="A1" t="s">
        <v>103</v>
      </c>
      <c r="B1" t="s">
        <v>123</v>
      </c>
      <c r="C1" t="s">
        <v>32</v>
      </c>
      <c r="D1" t="s">
        <v>120</v>
      </c>
      <c r="G1" t="s">
        <v>119</v>
      </c>
    </row>
    <row r="2" spans="1:7" x14ac:dyDescent="0.35">
      <c r="A2" t="s">
        <v>104</v>
      </c>
      <c r="B2">
        <v>4.9000000000000004</v>
      </c>
      <c r="C2" s="1">
        <f>B2*LNG_Cost_raw!$B$1/LNG_Cost_raw!$B$19</f>
        <v>19060.222306704538</v>
      </c>
      <c r="D2">
        <v>0.72</v>
      </c>
    </row>
    <row r="3" spans="1:7" x14ac:dyDescent="0.35">
      <c r="A3" t="s">
        <v>105</v>
      </c>
      <c r="B3">
        <v>7.5</v>
      </c>
      <c r="C3" s="1">
        <f>B3*LNG_Cost_raw!$B$1/LNG_Cost_raw!$B$19</f>
        <v>29173.809653119184</v>
      </c>
      <c r="D3">
        <v>5.04</v>
      </c>
    </row>
    <row r="4" spans="1:7" x14ac:dyDescent="0.35">
      <c r="A4" t="s">
        <v>106</v>
      </c>
      <c r="B4">
        <v>6</v>
      </c>
      <c r="C4" s="1">
        <f>B4*LNG_Cost_raw!$B$1/LNG_Cost_raw!$B$19</f>
        <v>23339.04772249535</v>
      </c>
      <c r="D4">
        <v>1.357</v>
      </c>
    </row>
    <row r="5" spans="1:7" x14ac:dyDescent="0.35">
      <c r="A5" t="s">
        <v>107</v>
      </c>
      <c r="B5">
        <v>6</v>
      </c>
      <c r="C5" s="1">
        <f>B5*LNG_Cost_raw!$B$1/LNG_Cost_raw!$B$19</f>
        <v>23339.04772249535</v>
      </c>
      <c r="D5">
        <v>1.548</v>
      </c>
    </row>
    <row r="6" spans="1:7" x14ac:dyDescent="0.35">
      <c r="A6" t="s">
        <v>108</v>
      </c>
      <c r="B6">
        <v>4.0999999999999996</v>
      </c>
      <c r="C6" s="1">
        <f>B6*LNG_Cost_raw!$B$1/LNG_Cost_raw!$B$19</f>
        <v>15948.349277038487</v>
      </c>
      <c r="D6">
        <v>2.52</v>
      </c>
    </row>
    <row r="7" spans="1:7" x14ac:dyDescent="0.35">
      <c r="A7" t="s">
        <v>109</v>
      </c>
      <c r="B7">
        <v>3.7</v>
      </c>
      <c r="C7" s="1">
        <f>B7*LNG_Cost_raw!$B$1/LNG_Cost_raw!$B$19</f>
        <v>14392.412762205466</v>
      </c>
      <c r="D7">
        <v>0.57099999999999995</v>
      </c>
    </row>
    <row r="8" spans="1:7" x14ac:dyDescent="0.35">
      <c r="A8" t="s">
        <v>110</v>
      </c>
      <c r="B8">
        <v>4.5</v>
      </c>
      <c r="C8" s="1">
        <f>B8*LNG_Cost_raw!$B$1/LNG_Cost_raw!$B$19</f>
        <v>17504.285791871513</v>
      </c>
      <c r="D8">
        <v>3.6</v>
      </c>
    </row>
    <row r="9" spans="1:7" x14ac:dyDescent="0.35">
      <c r="A9" t="s">
        <v>111</v>
      </c>
      <c r="B9">
        <v>6</v>
      </c>
      <c r="C9" s="1">
        <f>B9*LNG_Cost_raw!$B$1/LNG_Cost_raw!$B$19</f>
        <v>23339.04772249535</v>
      </c>
      <c r="D9">
        <v>2.16</v>
      </c>
    </row>
    <row r="10" spans="1:7" x14ac:dyDescent="0.35">
      <c r="A10" t="s">
        <v>112</v>
      </c>
      <c r="B10">
        <v>8.4</v>
      </c>
      <c r="C10" s="1">
        <f>B10*LNG_Cost_raw!$B$1/LNG_Cost_raw!$B$19</f>
        <v>32674.666811493484</v>
      </c>
      <c r="D10">
        <v>0.752</v>
      </c>
    </row>
    <row r="11" spans="1:7" x14ac:dyDescent="0.35">
      <c r="A11" t="s">
        <v>113</v>
      </c>
      <c r="B11">
        <v>5</v>
      </c>
      <c r="C11" s="1">
        <f>B11*LNG_Cost_raw!$B$1/LNG_Cost_raw!$B$19</f>
        <v>19449.206435412791</v>
      </c>
      <c r="D11">
        <v>0.31</v>
      </c>
    </row>
    <row r="12" spans="1:7" x14ac:dyDescent="0.35">
      <c r="A12" t="s">
        <v>114</v>
      </c>
      <c r="B12">
        <v>3</v>
      </c>
      <c r="C12" s="1">
        <f>B12*LNG_Cost_raw!$B$1/LNG_Cost_raw!$B$19</f>
        <v>11669.523861247675</v>
      </c>
      <c r="D12">
        <v>0.27700000000000002</v>
      </c>
    </row>
    <row r="13" spans="1:7" x14ac:dyDescent="0.35">
      <c r="A13" t="s">
        <v>115</v>
      </c>
      <c r="B13">
        <v>2.4</v>
      </c>
      <c r="C13" s="1">
        <f>B13*LNG_Cost_raw!$B$1/LNG_Cost_raw!$B$19</f>
        <v>9335.619088998139</v>
      </c>
      <c r="D13">
        <v>6.2549999999999999</v>
      </c>
    </row>
    <row r="14" spans="1:7" x14ac:dyDescent="0.35">
      <c r="A14" t="s">
        <v>116</v>
      </c>
      <c r="B14">
        <v>4.5</v>
      </c>
      <c r="C14" s="1">
        <f>B14*LNG_Cost_raw!$B$1/LNG_Cost_raw!$B$19</f>
        <v>17504.285791871513</v>
      </c>
      <c r="D14">
        <v>3.06</v>
      </c>
    </row>
    <row r="15" spans="1:7" x14ac:dyDescent="0.35">
      <c r="A15" t="s">
        <v>117</v>
      </c>
      <c r="B15">
        <v>5.0999999999999996</v>
      </c>
      <c r="C15" s="1">
        <f>B15*LNG_Cost_raw!$B$1/LNG_Cost_raw!$B$19</f>
        <v>19838.190564121043</v>
      </c>
      <c r="D15">
        <v>0.61199999999999999</v>
      </c>
    </row>
    <row r="16" spans="1:7" x14ac:dyDescent="0.35">
      <c r="A16" t="s">
        <v>118</v>
      </c>
      <c r="B16">
        <v>5.9</v>
      </c>
      <c r="C16" s="1">
        <f>B16*LNG_Cost_raw!$B$1/LNG_Cost_raw!$B$19</f>
        <v>22950.063593787094</v>
      </c>
      <c r="D16">
        <v>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LNG_Cost_Params</vt:lpstr>
      <vt:lpstr>LNG_Cost_raw</vt:lpstr>
      <vt:lpstr>Production_Cost_Nodes</vt:lpstr>
      <vt:lpstr>Production_Cost_Raw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2025-03-19T14:15:04Z</dcterms:created>
  <dcterms:modified xsi:type="dcterms:W3CDTF">2025-03-25T17:10:17Z</dcterms:modified>
</cp:coreProperties>
</file>