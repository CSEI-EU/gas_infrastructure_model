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1_raw\01_Russian_War_Case\"/>
    </mc:Choice>
  </mc:AlternateContent>
  <xr:revisionPtr revIDLastSave="0" documentId="13_ncr:1_{CC870681-5983-4403-ABEF-7E7982891C8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ummary" sheetId="1" r:id="rId1"/>
    <sheet name="Structure" sheetId="2" r:id="rId2"/>
    <sheet name="Sheet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4" i="3" l="1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13" i="3"/>
</calcChain>
</file>

<file path=xl/sharedStrings.xml><?xml version="1.0" encoding="utf-8"?>
<sst xmlns="http://schemas.openxmlformats.org/spreadsheetml/2006/main" count="1447" uniqueCount="110">
  <si>
    <t>Supply, transformation and consumption of gas - monthly data [nrg_cb_gasm__custom_15468335]</t>
  </si>
  <si>
    <t>Open product page</t>
  </si>
  <si>
    <t>Open in Data Browser</t>
  </si>
  <si>
    <t xml:space="preserve">Description: </t>
  </si>
  <si>
    <t>-</t>
  </si>
  <si>
    <t xml:space="preserve">Last update of data: </t>
  </si>
  <si>
    <t>18/02/2025 23:00</t>
  </si>
  <si>
    <t xml:space="preserve">Last change of data structure: </t>
  </si>
  <si>
    <t>06/02/2025 23:00</t>
  </si>
  <si>
    <t>Institutional source(s)</t>
  </si>
  <si>
    <t>Eurostat</t>
  </si>
  <si>
    <t>Contents</t>
  </si>
  <si>
    <t>Time frequency</t>
  </si>
  <si>
    <t>Energy balance</t>
  </si>
  <si>
    <t>Standard international energy product classification (SIEC)</t>
  </si>
  <si>
    <t>Unit of measure</t>
  </si>
  <si>
    <t>Sheet 1</t>
  </si>
  <si>
    <t>Monthly</t>
  </si>
  <si>
    <t>Indigenous production</t>
  </si>
  <si>
    <t>Natural gas</t>
  </si>
  <si>
    <t>Million cubic metres</t>
  </si>
  <si>
    <t>Structure</t>
  </si>
  <si>
    <t>Dimension</t>
  </si>
  <si>
    <t>Position</t>
  </si>
  <si>
    <t>Label</t>
  </si>
  <si>
    <t>Geopolitical entity (reporting)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</si>
  <si>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</si>
  <si>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</si>
  <si>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</si>
  <si>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</si>
  <si>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</si>
  <si>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</si>
  <si>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</si>
  <si>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</si>
  <si>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</si>
  <si>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</si>
  <si>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</si>
  <si>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</si>
  <si>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</si>
  <si>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</si>
  <si>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</si>
  <si>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</si>
  <si>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</si>
  <si>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</si>
  <si>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</si>
  <si>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</si>
  <si>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</si>
  <si>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</si>
  <si>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</si>
  <si>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</si>
  <si>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</si>
  <si>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</si>
  <si>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</si>
  <si>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</si>
  <si>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</si>
  <si>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</si>
  <si>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</si>
  <si>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</si>
  <si>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</si>
  <si>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</si>
  <si>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</si>
  <si>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</si>
  <si>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</si>
  <si>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</si>
  <si>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</si>
  <si>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</si>
  <si>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Time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</si>
  <si>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</si>
  <si>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</si>
  <si>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</si>
  <si>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</si>
  <si>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</si>
  <si>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</si>
  <si>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</si>
  <si>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</si>
  <si>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</si>
  <si>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</si>
  <si>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</si>
  <si>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</si>
  <si>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</si>
  <si>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</si>
  <si>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</si>
  <si>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</si>
  <si>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</si>
  <si>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</si>
  <si>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</si>
  <si>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</si>
  <si>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</si>
  <si>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</si>
  <si>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</si>
  <si>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</si>
  <si>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Data extracted on 19/02/2025 09:14:23 from [ESTAT]</t>
  </si>
  <si>
    <t xml:space="preserve">Dataset: </t>
  </si>
  <si>
    <t xml:space="preserve">Last updated: </t>
  </si>
  <si>
    <t>TIME</t>
  </si>
  <si>
    <t/>
  </si>
  <si>
    <t>GEO (Labels)</t>
  </si>
  <si>
    <t>:</t>
  </si>
  <si>
    <t>e</t>
  </si>
  <si>
    <t>p</t>
  </si>
  <si>
    <t>C</t>
  </si>
  <si>
    <t>Special value</t>
  </si>
  <si>
    <t>not available</t>
  </si>
  <si>
    <t>Observation flags:</t>
  </si>
  <si>
    <t>estimated</t>
  </si>
  <si>
    <t>provisional</t>
  </si>
  <si>
    <t>Confidentiality flags:</t>
  </si>
  <si>
    <t>confidential</t>
  </si>
  <si>
    <t>Total 2020</t>
  </si>
  <si>
    <t>Total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</si>
</sst>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######"/>
    <numFmt numFmtId="165" formatCode="#,##0.000"/>
    <numFmt numFmtId="166" formatCode="#,##0.0000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166" fontId="2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138089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rg_cb_gasm__custom_15468335/default/table" TargetMode="External"/><Relationship Id="rId1" Type="http://schemas.openxmlformats.org/officeDocument/2006/relationships/hyperlink" Target="https://ec.europa.eu/eurostat/databrowser/product/page/nrg_cb_gasm__custom_154683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15.453125" customWidth="1"/>
    <col min="5" max="5" width="52.36328125" customWidth="1"/>
    <col min="6" max="6" width="14.81640625" customWidth="1"/>
  </cols>
  <sheetData>
    <row r="6" spans="1:15" x14ac:dyDescent="0.35">
      <c r="A6" s="9" t="s">
        <v>0</v>
      </c>
    </row>
    <row r="7" spans="1:15" x14ac:dyDescent="0.35">
      <c r="A7" s="12" t="s">
        <v>1</v>
      </c>
      <c r="B7" s="12" t="s">
        <v>2</v>
      </c>
    </row>
    <row r="8" spans="1:15" ht="42.75" customHeight="1" x14ac:dyDescent="0.35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35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showGridLines="0" workbookViewId="0"/>
  </sheetViews>
  <sheetFormatPr defaultRowHeight="14.5" x14ac:dyDescent="0.35"/>
  <cols>
    <col min="2" max="5" width="79.7265625" customWidth="1"/>
  </cols>
  <sheetData>
    <row r="1" spans="1:3" x14ac:dyDescent="0.35">
      <c r="A1" s="1" t="s">
        <v>21</v>
      </c>
    </row>
    <row r="2" spans="1:3" x14ac:dyDescent="0.35">
      <c r="B2" s="16" t="s">
        <v>22</v>
      </c>
      <c r="C2" s="16" t="s">
        <v>23</v>
      </c>
    </row>
    <row r="3" spans="1:3" x14ac:dyDescent="0.35">
      <c r="B3" s="17" t="s">
        <v>24</v>
      </c>
      <c r="C3" s="17" t="s">
        <v>24</v>
      </c>
    </row>
    <row r="4" spans="1:3" x14ac:dyDescent="0.35">
      <c r="B4" s="2" t="s">
        <v>12</v>
      </c>
      <c r="C4" s="2" t="s">
        <v>17</v>
      </c>
    </row>
    <row r="5" spans="1:3" x14ac:dyDescent="0.35">
      <c r="B5" s="11" t="s">
        <v>13</v>
      </c>
      <c r="C5" s="11" t="s">
        <v>18</v>
      </c>
    </row>
    <row r="6" spans="1:3" x14ac:dyDescent="0.35">
      <c r="B6" s="2" t="s">
        <v>14</v>
      </c>
      <c r="C6" s="2" t="s">
        <v>19</v>
      </c>
    </row>
    <row r="7" spans="1:3" x14ac:dyDescent="0.35">
      <c r="B7" s="11" t="s">
        <v>15</v>
      </c>
      <c r="C7" s="11" t="s">
        <v>20</v>
      </c>
    </row>
    <row r="8" spans="1:3" x14ac:dyDescent="0.35">
      <c r="B8" s="2" t="s">
        <v>25</v>
      </c>
      <c r="C8" s="2" t="s">
        <v>26</v>
      </c>
    </row>
    <row r="9" spans="1:3" x14ac:dyDescent="0.35">
      <c r="B9" s="11" t="s">
        <v>25</v>
      </c>
      <c r="C9" s="11" t="s">
        <v>27</v>
      </c>
    </row>
    <row r="10" spans="1:3" x14ac:dyDescent="0.35">
      <c r="B10" s="2" t="s">
        <v>25</v>
      </c>
      <c r="C10" s="2" t="s">
        <v>28</v>
      </c>
    </row>
    <row r="11" spans="1:3" x14ac:dyDescent="0.35">
      <c r="B11" s="11" t="s">
        <v>25</v>
      </c>
      <c r="C11" s="11" t="s">
        <v>29</v>
      </c>
    </row>
    <row r="12" spans="1:3" x14ac:dyDescent="0.35">
      <c r="B12" s="2" t="s">
        <v>25</v>
      </c>
      <c r="C12" s="2" t="s">
        <v>30</v>
      </c>
    </row>
    <row r="13" spans="1:3" x14ac:dyDescent="0.35">
      <c r="B13" s="11" t="s">
        <v>25</v>
      </c>
      <c r="C13" s="11" t="s">
        <v>31</v>
      </c>
    </row>
    <row r="14" spans="1:3" x14ac:dyDescent="0.35">
      <c r="B14" s="2" t="s">
        <v>25</v>
      </c>
      <c r="C14" s="2" t="s">
        <v>32</v>
      </c>
    </row>
    <row r="15" spans="1:3" x14ac:dyDescent="0.35">
      <c r="B15" s="11" t="s">
        <v>25</v>
      </c>
      <c r="C15" s="11" t="s">
        <v>33</v>
      </c>
    </row>
    <row r="16" spans="1:3" x14ac:dyDescent="0.35">
      <c r="B16" s="2" t="s">
        <v>25</v>
      </c>
      <c r="C16" s="2" t="s">
        <v>34</v>
      </c>
    </row>
    <row r="17" spans="2:3" x14ac:dyDescent="0.35">
      <c r="B17" s="11" t="s">
        <v>25</v>
      </c>
      <c r="C17" s="11" t="s">
        <v>35</v>
      </c>
    </row>
    <row r="18" spans="2:3" x14ac:dyDescent="0.35">
      <c r="B18" s="2" t="s">
        <v>25</v>
      </c>
      <c r="C18" s="2" t="s">
        <v>36</v>
      </c>
    </row>
    <row r="19" spans="2:3" x14ac:dyDescent="0.35">
      <c r="B19" s="11" t="s">
        <v>25</v>
      </c>
      <c r="C19" s="11" t="s">
        <v>37</v>
      </c>
    </row>
    <row r="20" spans="2:3" x14ac:dyDescent="0.35">
      <c r="B20" s="2" t="s">
        <v>25</v>
      </c>
      <c r="C20" s="2" t="s">
        <v>38</v>
      </c>
    </row>
    <row r="21" spans="2:3" x14ac:dyDescent="0.35">
      <c r="B21" s="11" t="s">
        <v>25</v>
      </c>
      <c r="C21" s="11" t="s">
        <v>39</v>
      </c>
    </row>
    <row r="22" spans="2:3" x14ac:dyDescent="0.35">
      <c r="B22" s="2" t="s">
        <v>25</v>
      </c>
      <c r="C22" s="2" t="s">
        <v>40</v>
      </c>
    </row>
    <row r="23" spans="2:3" x14ac:dyDescent="0.35">
      <c r="B23" s="11" t="s">
        <v>25</v>
      </c>
      <c r="C23" s="11" t="s">
        <v>41</v>
      </c>
    </row>
    <row r="24" spans="2:3" x14ac:dyDescent="0.35">
      <c r="B24" s="2" t="s">
        <v>25</v>
      </c>
      <c r="C24" s="2" t="s">
        <v>42</v>
      </c>
    </row>
    <row r="25" spans="2:3" x14ac:dyDescent="0.35">
      <c r="B25" s="11" t="s">
        <v>25</v>
      </c>
      <c r="C25" s="11" t="s">
        <v>43</v>
      </c>
    </row>
    <row r="26" spans="2:3" x14ac:dyDescent="0.35">
      <c r="B26" s="2" t="s">
        <v>25</v>
      </c>
      <c r="C26" s="2" t="s">
        <v>44</v>
      </c>
    </row>
    <row r="27" spans="2:3" x14ac:dyDescent="0.35">
      <c r="B27" s="11" t="s">
        <v>25</v>
      </c>
      <c r="C27" s="11" t="s">
        <v>45</v>
      </c>
    </row>
    <row r="28" spans="2:3" x14ac:dyDescent="0.35">
      <c r="B28" s="2" t="s">
        <v>25</v>
      </c>
      <c r="C28" s="2" t="s">
        <v>46</v>
      </c>
    </row>
    <row r="29" spans="2:3" x14ac:dyDescent="0.35">
      <c r="B29" s="11" t="s">
        <v>25</v>
      </c>
      <c r="C29" s="11" t="s">
        <v>47</v>
      </c>
    </row>
    <row r="30" spans="2:3" x14ac:dyDescent="0.35">
      <c r="B30" s="2" t="s">
        <v>25</v>
      </c>
      <c r="C30" s="2" t="s">
        <v>48</v>
      </c>
    </row>
    <row r="31" spans="2:3" x14ac:dyDescent="0.35">
      <c r="B31" s="11" t="s">
        <v>25</v>
      </c>
      <c r="C31" s="11" t="s">
        <v>49</v>
      </c>
    </row>
    <row r="32" spans="2:3" x14ac:dyDescent="0.35">
      <c r="B32" s="2" t="s">
        <v>25</v>
      </c>
      <c r="C32" s="2" t="s">
        <v>50</v>
      </c>
    </row>
    <row r="33" spans="2:3" x14ac:dyDescent="0.35">
      <c r="B33" s="11" t="s">
        <v>25</v>
      </c>
      <c r="C33" s="11" t="s">
        <v>51</v>
      </c>
    </row>
    <row r="34" spans="2:3" x14ac:dyDescent="0.35">
      <c r="B34" s="2" t="s">
        <v>25</v>
      </c>
      <c r="C34" s="2" t="s">
        <v>52</v>
      </c>
    </row>
    <row r="35" spans="2:3" x14ac:dyDescent="0.35">
      <c r="B35" s="11" t="s">
        <v>25</v>
      </c>
      <c r="C35" s="11" t="s">
        <v>53</v>
      </c>
    </row>
    <row r="36" spans="2:3" x14ac:dyDescent="0.35">
      <c r="B36" s="2" t="s">
        <v>25</v>
      </c>
      <c r="C36" s="2" t="s">
        <v>54</v>
      </c>
    </row>
    <row r="37" spans="2:3" x14ac:dyDescent="0.35">
      <c r="B37" s="11" t="s">
        <v>25</v>
      </c>
      <c r="C37" s="11" t="s">
        <v>55</v>
      </c>
    </row>
    <row r="38" spans="2:3" x14ac:dyDescent="0.35">
      <c r="B38" s="2" t="s">
        <v>25</v>
      </c>
      <c r="C38" s="2" t="s">
        <v>56</v>
      </c>
    </row>
    <row r="39" spans="2:3" x14ac:dyDescent="0.35">
      <c r="B39" s="11" t="s">
        <v>25</v>
      </c>
      <c r="C39" s="11" t="s">
        <v>57</v>
      </c>
    </row>
    <row r="40" spans="2:3" x14ac:dyDescent="0.35">
      <c r="B40" s="2" t="s">
        <v>25</v>
      </c>
      <c r="C40" s="2" t="s">
        <v>58</v>
      </c>
    </row>
    <row r="41" spans="2:3" x14ac:dyDescent="0.35">
      <c r="B41" s="11" t="s">
        <v>25</v>
      </c>
      <c r="C41" s="11" t="s">
        <v>59</v>
      </c>
    </row>
    <row r="42" spans="2:3" x14ac:dyDescent="0.35">
      <c r="B42" s="2" t="s">
        <v>25</v>
      </c>
      <c r="C42" s="2" t="s">
        <v>60</v>
      </c>
    </row>
    <row r="43" spans="2:3" x14ac:dyDescent="0.35">
      <c r="B43" s="11" t="s">
        <v>25</v>
      </c>
      <c r="C43" s="11" t="s">
        <v>61</v>
      </c>
    </row>
    <row r="44" spans="2:3" x14ac:dyDescent="0.35">
      <c r="B44" s="2" t="s">
        <v>25</v>
      </c>
      <c r="C44" s="2" t="s">
        <v>62</v>
      </c>
    </row>
    <row r="45" spans="2:3" x14ac:dyDescent="0.35">
      <c r="B45" s="11" t="s">
        <v>25</v>
      </c>
      <c r="C45" s="11" t="s">
        <v>63</v>
      </c>
    </row>
    <row r="46" spans="2:3" x14ac:dyDescent="0.35">
      <c r="B46" s="2" t="s">
        <v>25</v>
      </c>
      <c r="C46" s="2" t="s">
        <v>64</v>
      </c>
    </row>
    <row r="47" spans="2:3" x14ac:dyDescent="0.35">
      <c r="B47" s="11" t="s">
        <v>25</v>
      </c>
      <c r="C47" s="11" t="s">
        <v>65</v>
      </c>
    </row>
    <row r="48" spans="2:3" x14ac:dyDescent="0.35">
      <c r="B48" s="2" t="s">
        <v>66</v>
      </c>
      <c r="C48" s="2" t="s">
        <v>67</v>
      </c>
    </row>
    <row r="49" spans="2:3" x14ac:dyDescent="0.35">
      <c r="B49" s="11" t="s">
        <v>66</v>
      </c>
      <c r="C49" s="11" t="s">
        <v>68</v>
      </c>
    </row>
    <row r="50" spans="2:3" x14ac:dyDescent="0.35">
      <c r="B50" s="2" t="s">
        <v>66</v>
      </c>
      <c r="C50" s="2" t="s">
        <v>69</v>
      </c>
    </row>
    <row r="51" spans="2:3" x14ac:dyDescent="0.35">
      <c r="B51" s="11" t="s">
        <v>66</v>
      </c>
      <c r="C51" s="11" t="s">
        <v>70</v>
      </c>
    </row>
    <row r="52" spans="2:3" x14ac:dyDescent="0.35">
      <c r="B52" s="2" t="s">
        <v>66</v>
      </c>
      <c r="C52" s="2" t="s">
        <v>71</v>
      </c>
    </row>
    <row r="53" spans="2:3" x14ac:dyDescent="0.35">
      <c r="B53" s="11" t="s">
        <v>66</v>
      </c>
      <c r="C53" s="11" t="s">
        <v>72</v>
      </c>
    </row>
    <row r="54" spans="2:3" x14ac:dyDescent="0.35">
      <c r="B54" s="2" t="s">
        <v>66</v>
      </c>
      <c r="C54" s="2" t="s">
        <v>73</v>
      </c>
    </row>
    <row r="55" spans="2:3" x14ac:dyDescent="0.35">
      <c r="B55" s="11" t="s">
        <v>66</v>
      </c>
      <c r="C55" s="11" t="s">
        <v>74</v>
      </c>
    </row>
    <row r="56" spans="2:3" x14ac:dyDescent="0.35">
      <c r="B56" s="2" t="s">
        <v>66</v>
      </c>
      <c r="C56" s="2" t="s">
        <v>75</v>
      </c>
    </row>
    <row r="57" spans="2:3" x14ac:dyDescent="0.35">
      <c r="B57" s="11" t="s">
        <v>66</v>
      </c>
      <c r="C57" s="11" t="s">
        <v>76</v>
      </c>
    </row>
    <row r="58" spans="2:3" x14ac:dyDescent="0.35">
      <c r="B58" s="2" t="s">
        <v>66</v>
      </c>
      <c r="C58" s="2" t="s">
        <v>77</v>
      </c>
    </row>
    <row r="59" spans="2:3" x14ac:dyDescent="0.35">
      <c r="B59" s="11" t="s">
        <v>66</v>
      </c>
      <c r="C59" s="11" t="s">
        <v>78</v>
      </c>
    </row>
    <row r="60" spans="2:3" x14ac:dyDescent="0.35">
      <c r="B60" s="2" t="s">
        <v>66</v>
      </c>
      <c r="C60" s="2" t="s">
        <v>79</v>
      </c>
    </row>
    <row r="61" spans="2:3" x14ac:dyDescent="0.35">
      <c r="B61" s="11" t="s">
        <v>66</v>
      </c>
      <c r="C61" s="11" t="s">
        <v>80</v>
      </c>
    </row>
    <row r="62" spans="2:3" x14ac:dyDescent="0.35">
      <c r="B62" s="2" t="s">
        <v>66</v>
      </c>
      <c r="C62" s="2" t="s">
        <v>81</v>
      </c>
    </row>
    <row r="63" spans="2:3" x14ac:dyDescent="0.35">
      <c r="B63" s="11" t="s">
        <v>66</v>
      </c>
      <c r="C63" s="11" t="s">
        <v>82</v>
      </c>
    </row>
    <row r="64" spans="2:3" x14ac:dyDescent="0.35">
      <c r="B64" s="2" t="s">
        <v>66</v>
      </c>
      <c r="C64" s="2" t="s">
        <v>83</v>
      </c>
    </row>
    <row r="65" spans="2:3" x14ac:dyDescent="0.35">
      <c r="B65" s="11" t="s">
        <v>66</v>
      </c>
      <c r="C65" s="11" t="s">
        <v>84</v>
      </c>
    </row>
    <row r="66" spans="2:3" x14ac:dyDescent="0.35">
      <c r="B66" s="2" t="s">
        <v>66</v>
      </c>
      <c r="C66" s="2" t="s">
        <v>85</v>
      </c>
    </row>
    <row r="67" spans="2:3" x14ac:dyDescent="0.35">
      <c r="B67" s="11" t="s">
        <v>66</v>
      </c>
      <c r="C67" s="11" t="s">
        <v>86</v>
      </c>
    </row>
    <row r="68" spans="2:3" x14ac:dyDescent="0.35">
      <c r="B68" s="2" t="s">
        <v>66</v>
      </c>
      <c r="C68" s="2" t="s">
        <v>87</v>
      </c>
    </row>
    <row r="69" spans="2:3" x14ac:dyDescent="0.35">
      <c r="B69" s="11" t="s">
        <v>66</v>
      </c>
      <c r="C69" s="11" t="s">
        <v>88</v>
      </c>
    </row>
    <row r="70" spans="2:3" x14ac:dyDescent="0.35">
      <c r="B70" s="2" t="s">
        <v>66</v>
      </c>
      <c r="C70" s="2" t="s">
        <v>89</v>
      </c>
    </row>
    <row r="71" spans="2:3" x14ac:dyDescent="0.35">
      <c r="B71" s="11" t="s">
        <v>66</v>
      </c>
      <c r="C71" s="1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59"/>
  <sheetViews>
    <sheetView tabSelected="1" workbookViewId="0">
      <pane xSplit="1" ySplit="11" topLeftCell="AF12" activePane="bottomRight" state="frozen"/>
      <selection pane="topRight"/>
      <selection pane="bottomLeft"/>
      <selection pane="bottomRight" activeCell="AW13" sqref="AW13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</cols>
  <sheetData>
    <row r="1" spans="1:49" x14ac:dyDescent="0.35">
      <c r="A1" s="2" t="s">
        <v>91</v>
      </c>
    </row>
    <row r="2" spans="1:49" x14ac:dyDescent="0.35">
      <c r="A2" s="2" t="s">
        <v>92</v>
      </c>
      <c r="B2" s="1" t="s">
        <v>0</v>
      </c>
    </row>
    <row r="3" spans="1:49" x14ac:dyDescent="0.35">
      <c r="A3" s="2" t="s">
        <v>93</v>
      </c>
      <c r="B3" s="2" t="s">
        <v>6</v>
      </c>
    </row>
    <row r="4" spans="1:49" x14ac:dyDescent="0.35"/>
    <row r="5" spans="1:49" x14ac:dyDescent="0.35">
      <c r="A5" s="1" t="s">
        <v>12</v>
      </c>
      <c r="C5" s="2" t="s">
        <v>17</v>
      </c>
    </row>
    <row r="6" spans="1:49" x14ac:dyDescent="0.35">
      <c r="A6" s="1" t="s">
        <v>13</v>
      </c>
      <c r="C6" s="2" t="s">
        <v>18</v>
      </c>
    </row>
    <row r="7" spans="1:49" x14ac:dyDescent="0.35">
      <c r="A7" s="1" t="s">
        <v>14</v>
      </c>
      <c r="C7" s="2" t="s">
        <v>19</v>
      </c>
    </row>
    <row r="8" spans="1:49" x14ac:dyDescent="0.35">
      <c r="A8" s="1" t="s">
        <v>15</v>
      </c>
      <c r="C8" s="2" t="s">
        <v>20</v>
      </c>
    </row>
    <row r="9" spans="1:49" x14ac:dyDescent="0.35">
      <c r="Y9" t="s">
        <v>108</v>
      </c>
      <c r="AW9" t="s">
        <v>109</v>
      </c>
    </row>
    <row r="10" spans="1:49" x14ac:dyDescent="0.35">
      <c r="A10" s="3" t="s">
        <v>94</v>
      </c>
      <c r="B10" s="22" t="s">
        <v>67</v>
      </c>
      <c r="C10" s="22" t="s">
        <v>95</v>
      </c>
      <c r="D10" s="22" t="s">
        <v>68</v>
      </c>
      <c r="E10" s="22" t="s">
        <v>95</v>
      </c>
      <c r="F10" s="22" t="s">
        <v>69</v>
      </c>
      <c r="G10" s="22" t="s">
        <v>95</v>
      </c>
      <c r="H10" s="22" t="s">
        <v>70</v>
      </c>
      <c r="I10" s="22" t="s">
        <v>95</v>
      </c>
      <c r="J10" s="22" t="s">
        <v>71</v>
      </c>
      <c r="K10" s="22" t="s">
        <v>95</v>
      </c>
      <c r="L10" s="22" t="s">
        <v>72</v>
      </c>
      <c r="M10" s="22" t="s">
        <v>95</v>
      </c>
      <c r="N10" s="22" t="s">
        <v>73</v>
      </c>
      <c r="O10" s="22" t="s">
        <v>95</v>
      </c>
      <c r="P10" s="22" t="s">
        <v>74</v>
      </c>
      <c r="Q10" s="22" t="s">
        <v>95</v>
      </c>
      <c r="R10" s="22" t="s">
        <v>75</v>
      </c>
      <c r="S10" s="22" t="s">
        <v>95</v>
      </c>
      <c r="T10" s="22" t="s">
        <v>76</v>
      </c>
      <c r="U10" s="22" t="s">
        <v>95</v>
      </c>
      <c r="V10" s="22" t="s">
        <v>77</v>
      </c>
      <c r="W10" s="22" t="s">
        <v>95</v>
      </c>
      <c r="X10" s="22" t="s">
        <v>78</v>
      </c>
      <c r="Y10" s="22" t="s">
        <v>95</v>
      </c>
      <c r="Z10" s="22" t="s">
        <v>79</v>
      </c>
      <c r="AA10" s="22" t="s">
        <v>95</v>
      </c>
      <c r="AB10" s="22" t="s">
        <v>80</v>
      </c>
      <c r="AC10" s="22" t="s">
        <v>95</v>
      </c>
      <c r="AD10" s="22" t="s">
        <v>81</v>
      </c>
      <c r="AE10" s="22" t="s">
        <v>95</v>
      </c>
      <c r="AF10" s="22" t="s">
        <v>82</v>
      </c>
      <c r="AG10" s="22" t="s">
        <v>95</v>
      </c>
      <c r="AH10" s="22" t="s">
        <v>83</v>
      </c>
      <c r="AI10" s="22" t="s">
        <v>95</v>
      </c>
      <c r="AJ10" s="22" t="s">
        <v>84</v>
      </c>
      <c r="AK10" s="22" t="s">
        <v>95</v>
      </c>
      <c r="AL10" s="22" t="s">
        <v>85</v>
      </c>
      <c r="AM10" s="22" t="s">
        <v>95</v>
      </c>
      <c r="AN10" s="22" t="s">
        <v>86</v>
      </c>
      <c r="AO10" s="22" t="s">
        <v>95</v>
      </c>
      <c r="AP10" s="22" t="s">
        <v>87</v>
      </c>
      <c r="AQ10" s="22" t="s">
        <v>95</v>
      </c>
      <c r="AR10" s="22" t="s">
        <v>88</v>
      </c>
      <c r="AS10" s="22" t="s">
        <v>95</v>
      </c>
      <c r="AT10" s="22" t="s">
        <v>89</v>
      </c>
      <c r="AU10" s="22" t="s">
        <v>95</v>
      </c>
      <c r="AV10" s="22" t="s">
        <v>90</v>
      </c>
      <c r="AW10" s="22" t="s">
        <v>95</v>
      </c>
    </row>
    <row r="11" spans="1:49" x14ac:dyDescent="0.35">
      <c r="A11" s="4" t="s">
        <v>96</v>
      </c>
      <c r="B11" s="6" t="s">
        <v>95</v>
      </c>
      <c r="C11" s="6" t="s">
        <v>95</v>
      </c>
      <c r="D11" s="6" t="s">
        <v>95</v>
      </c>
      <c r="E11" s="6" t="s">
        <v>95</v>
      </c>
      <c r="F11" s="6" t="s">
        <v>95</v>
      </c>
      <c r="G11" s="6" t="s">
        <v>95</v>
      </c>
      <c r="H11" s="6" t="s">
        <v>95</v>
      </c>
      <c r="I11" s="6" t="s">
        <v>95</v>
      </c>
      <c r="J11" s="6" t="s">
        <v>95</v>
      </c>
      <c r="K11" s="6" t="s">
        <v>95</v>
      </c>
      <c r="L11" s="6" t="s">
        <v>95</v>
      </c>
      <c r="M11" s="6" t="s">
        <v>95</v>
      </c>
      <c r="N11" s="6" t="s">
        <v>95</v>
      </c>
      <c r="O11" s="6" t="s">
        <v>95</v>
      </c>
      <c r="P11" s="6" t="s">
        <v>95</v>
      </c>
      <c r="Q11" s="6" t="s">
        <v>95</v>
      </c>
      <c r="R11" s="6" t="s">
        <v>95</v>
      </c>
      <c r="S11" s="6" t="s">
        <v>95</v>
      </c>
      <c r="T11" s="6" t="s">
        <v>95</v>
      </c>
      <c r="U11" s="6" t="s">
        <v>95</v>
      </c>
      <c r="V11" s="6" t="s">
        <v>95</v>
      </c>
      <c r="W11" s="6" t="s">
        <v>95</v>
      </c>
      <c r="X11" s="6" t="s">
        <v>95</v>
      </c>
      <c r="Y11" s="6" t="s">
        <v>95</v>
      </c>
      <c r="Z11" s="6" t="s">
        <v>95</v>
      </c>
      <c r="AA11" s="6" t="s">
        <v>95</v>
      </c>
      <c r="AB11" s="6" t="s">
        <v>95</v>
      </c>
      <c r="AC11" s="6" t="s">
        <v>95</v>
      </c>
      <c r="AD11" s="6" t="s">
        <v>95</v>
      </c>
      <c r="AE11" s="6" t="s">
        <v>95</v>
      </c>
      <c r="AF11" s="6" t="s">
        <v>95</v>
      </c>
      <c r="AG11" s="6" t="s">
        <v>95</v>
      </c>
      <c r="AH11" s="6" t="s">
        <v>95</v>
      </c>
      <c r="AI11" s="6" t="s">
        <v>95</v>
      </c>
      <c r="AJ11" s="6" t="s">
        <v>95</v>
      </c>
      <c r="AK11" s="6" t="s">
        <v>95</v>
      </c>
      <c r="AL11" s="6" t="s">
        <v>95</v>
      </c>
      <c r="AM11" s="6" t="s">
        <v>95</v>
      </c>
      <c r="AN11" s="6" t="s">
        <v>95</v>
      </c>
      <c r="AO11" s="6" t="s">
        <v>95</v>
      </c>
      <c r="AP11" s="6" t="s">
        <v>95</v>
      </c>
      <c r="AQ11" s="6" t="s">
        <v>95</v>
      </c>
      <c r="AR11" s="6" t="s">
        <v>95</v>
      </c>
      <c r="AS11" s="6" t="s">
        <v>95</v>
      </c>
      <c r="AT11" s="6" t="s">
        <v>95</v>
      </c>
      <c r="AU11" s="6" t="s">
        <v>95</v>
      </c>
      <c r="AV11" s="6" t="s">
        <v>95</v>
      </c>
      <c r="AW11" s="6" t="s">
        <v>95</v>
      </c>
    </row>
    <row r="12" spans="1:49" x14ac:dyDescent="0.35">
      <c r="A12" s="5" t="s">
        <v>26</v>
      </c>
      <c r="B12" s="8" t="s">
        <v>97</v>
      </c>
      <c r="C12" s="8" t="s">
        <v>95</v>
      </c>
      <c r="D12" s="8" t="s">
        <v>97</v>
      </c>
      <c r="E12" s="8" t="s">
        <v>95</v>
      </c>
      <c r="F12" s="8" t="s">
        <v>97</v>
      </c>
      <c r="G12" s="8" t="s">
        <v>95</v>
      </c>
      <c r="H12" s="8" t="s">
        <v>97</v>
      </c>
      <c r="I12" s="8" t="s">
        <v>95</v>
      </c>
      <c r="J12" s="8" t="s">
        <v>97</v>
      </c>
      <c r="K12" s="8" t="s">
        <v>95</v>
      </c>
      <c r="L12" s="8" t="s">
        <v>97</v>
      </c>
      <c r="M12" s="8" t="s">
        <v>95</v>
      </c>
      <c r="N12" s="8" t="s">
        <v>97</v>
      </c>
      <c r="O12" s="8" t="s">
        <v>95</v>
      </c>
      <c r="P12" s="8" t="s">
        <v>97</v>
      </c>
      <c r="Q12" s="8" t="s">
        <v>95</v>
      </c>
      <c r="R12" s="8" t="s">
        <v>97</v>
      </c>
      <c r="S12" s="8" t="s">
        <v>95</v>
      </c>
      <c r="T12" s="8" t="s">
        <v>97</v>
      </c>
      <c r="U12" s="8" t="s">
        <v>95</v>
      </c>
      <c r="V12" s="8" t="s">
        <v>97</v>
      </c>
      <c r="W12" s="8" t="s">
        <v>95</v>
      </c>
      <c r="X12" s="8" t="s">
        <v>97</v>
      </c>
      <c r="Y12" s="8" t="s">
        <v>95</v>
      </c>
      <c r="Z12" s="15">
        <v>2861.645</v>
      </c>
      <c r="AA12" s="8" t="s">
        <v>95</v>
      </c>
      <c r="AB12" s="19">
        <v>2625.13</v>
      </c>
      <c r="AC12" s="8" t="s">
        <v>95</v>
      </c>
      <c r="AD12" s="15">
        <v>2826.3449999999998</v>
      </c>
      <c r="AE12" s="8" t="s">
        <v>95</v>
      </c>
      <c r="AF12" s="15">
        <v>2554.5680000000002</v>
      </c>
      <c r="AG12" s="8" t="s">
        <v>95</v>
      </c>
      <c r="AH12" s="19">
        <v>2681.07</v>
      </c>
      <c r="AI12" s="8" t="s">
        <v>95</v>
      </c>
      <c r="AJ12" s="15">
        <v>2428.1680000000001</v>
      </c>
      <c r="AK12" s="8" t="s">
        <v>95</v>
      </c>
      <c r="AL12" s="15">
        <v>2645.3040000000001</v>
      </c>
      <c r="AM12" s="8" t="s">
        <v>95</v>
      </c>
      <c r="AN12" s="15">
        <v>2713.7159999999999</v>
      </c>
      <c r="AO12" s="8" t="s">
        <v>95</v>
      </c>
      <c r="AP12" s="15">
        <v>2407.7080000000001</v>
      </c>
      <c r="AQ12" s="8" t="s">
        <v>95</v>
      </c>
      <c r="AR12" s="15">
        <v>2704.9059999999999</v>
      </c>
      <c r="AS12" s="8" t="s">
        <v>95</v>
      </c>
      <c r="AT12" s="15">
        <v>2746.0830000000001</v>
      </c>
      <c r="AU12" s="8" t="s">
        <v>95</v>
      </c>
      <c r="AV12" s="15">
        <v>3026.8809999999999</v>
      </c>
      <c r="AW12" s="8" t="s">
        <v>95</v>
      </c>
    </row>
    <row r="13" spans="1:49" x14ac:dyDescent="0.35">
      <c r="A13" s="5" t="s">
        <v>27</v>
      </c>
      <c r="B13" s="18">
        <v>0.5</v>
      </c>
      <c r="C13" s="7" t="s">
        <v>95</v>
      </c>
      <c r="D13" s="18">
        <v>0.5</v>
      </c>
      <c r="E13" s="7" t="s">
        <v>95</v>
      </c>
      <c r="F13" s="18">
        <v>0.5</v>
      </c>
      <c r="G13" s="7" t="s">
        <v>95</v>
      </c>
      <c r="H13" s="18">
        <v>0.5</v>
      </c>
      <c r="I13" s="7" t="s">
        <v>95</v>
      </c>
      <c r="J13" s="18">
        <v>0.5</v>
      </c>
      <c r="K13" s="7" t="s">
        <v>95</v>
      </c>
      <c r="L13" s="18">
        <v>0.4</v>
      </c>
      <c r="M13" s="7" t="s">
        <v>95</v>
      </c>
      <c r="N13" s="18">
        <v>0.5</v>
      </c>
      <c r="O13" s="7" t="s">
        <v>95</v>
      </c>
      <c r="P13" s="18">
        <v>0.5</v>
      </c>
      <c r="Q13" s="7" t="s">
        <v>95</v>
      </c>
      <c r="R13" s="18">
        <v>0.5</v>
      </c>
      <c r="S13" s="7" t="s">
        <v>95</v>
      </c>
      <c r="T13" s="18">
        <v>0.5</v>
      </c>
      <c r="U13" s="7" t="s">
        <v>95</v>
      </c>
      <c r="V13" s="18">
        <v>0.5</v>
      </c>
      <c r="W13" s="7" t="s">
        <v>95</v>
      </c>
      <c r="X13" s="18">
        <v>0.5</v>
      </c>
      <c r="Y13" s="7">
        <f>SUM(B13:X13)</f>
        <v>5.9</v>
      </c>
      <c r="Z13" s="18">
        <v>1.5</v>
      </c>
      <c r="AA13" s="7" t="s">
        <v>95</v>
      </c>
      <c r="AB13" s="18">
        <v>1.4</v>
      </c>
      <c r="AC13" s="7" t="s">
        <v>95</v>
      </c>
      <c r="AD13" s="18">
        <v>1.4</v>
      </c>
      <c r="AE13" s="7" t="s">
        <v>95</v>
      </c>
      <c r="AF13" s="18">
        <v>1.2</v>
      </c>
      <c r="AG13" s="7" t="s">
        <v>95</v>
      </c>
      <c r="AH13" s="18">
        <v>1</v>
      </c>
      <c r="AI13" s="7" t="s">
        <v>95</v>
      </c>
      <c r="AJ13" s="18">
        <v>1.1000000000000001</v>
      </c>
      <c r="AK13" s="7" t="s">
        <v>95</v>
      </c>
      <c r="AL13" s="18">
        <v>1.2</v>
      </c>
      <c r="AM13" s="7" t="s">
        <v>95</v>
      </c>
      <c r="AN13" s="18">
        <v>1.1000000000000001</v>
      </c>
      <c r="AO13" s="7" t="s">
        <v>95</v>
      </c>
      <c r="AP13" s="18">
        <v>1.2</v>
      </c>
      <c r="AQ13" s="7" t="s">
        <v>95</v>
      </c>
      <c r="AR13" s="18">
        <v>1.3</v>
      </c>
      <c r="AS13" s="7" t="s">
        <v>95</v>
      </c>
      <c r="AT13" s="18">
        <v>1.3</v>
      </c>
      <c r="AU13" s="7" t="s">
        <v>95</v>
      </c>
      <c r="AV13" s="18">
        <v>1.3</v>
      </c>
      <c r="AW13" s="7">
        <f>SUM(Z13:AV13)</f>
        <v>15</v>
      </c>
    </row>
    <row r="14" spans="1:49" x14ac:dyDescent="0.35">
      <c r="A14" s="5" t="s">
        <v>28</v>
      </c>
      <c r="B14" s="15">
        <v>5.8769999999999998</v>
      </c>
      <c r="C14" s="8" t="s">
        <v>95</v>
      </c>
      <c r="D14" s="15">
        <v>4.726</v>
      </c>
      <c r="E14" s="8" t="s">
        <v>95</v>
      </c>
      <c r="F14" s="15">
        <v>4.7409999999999997</v>
      </c>
      <c r="G14" s="8" t="s">
        <v>95</v>
      </c>
      <c r="H14" s="15">
        <v>3.9670000000000001</v>
      </c>
      <c r="I14" s="8" t="s">
        <v>95</v>
      </c>
      <c r="J14" s="15">
        <v>4.1680000000000001</v>
      </c>
      <c r="K14" s="8" t="s">
        <v>95</v>
      </c>
      <c r="L14" s="15">
        <v>4.0350000000000001</v>
      </c>
      <c r="M14" s="8" t="s">
        <v>95</v>
      </c>
      <c r="N14" s="15">
        <v>4.2270000000000003</v>
      </c>
      <c r="O14" s="8" t="s">
        <v>95</v>
      </c>
      <c r="P14" s="15">
        <v>4.7030000000000003</v>
      </c>
      <c r="Q14" s="8" t="s">
        <v>95</v>
      </c>
      <c r="R14" s="15">
        <v>4.6269999999999998</v>
      </c>
      <c r="S14" s="8" t="s">
        <v>95</v>
      </c>
      <c r="T14" s="15">
        <v>4.7939999999999996</v>
      </c>
      <c r="U14" s="8" t="s">
        <v>95</v>
      </c>
      <c r="V14" s="15">
        <v>4.7560000000000002</v>
      </c>
      <c r="W14" s="8" t="s">
        <v>95</v>
      </c>
      <c r="X14" s="19">
        <v>3.73</v>
      </c>
      <c r="Y14" s="7">
        <f t="shared" ref="Y14:Y51" si="0">SUM(B14:X14)</f>
        <v>54.350999999999999</v>
      </c>
      <c r="Z14" s="15">
        <v>0.97899999999999998</v>
      </c>
      <c r="AA14" s="8" t="s">
        <v>95</v>
      </c>
      <c r="AB14" s="15">
        <v>0.71399999999999997</v>
      </c>
      <c r="AC14" s="8" t="s">
        <v>95</v>
      </c>
      <c r="AD14" s="15">
        <v>0.70099999999999996</v>
      </c>
      <c r="AE14" s="8" t="s">
        <v>95</v>
      </c>
      <c r="AF14" s="15">
        <v>0.55600000000000005</v>
      </c>
      <c r="AG14" s="8" t="s">
        <v>95</v>
      </c>
      <c r="AH14" s="15">
        <v>0.55900000000000005</v>
      </c>
      <c r="AI14" s="8" t="s">
        <v>95</v>
      </c>
      <c r="AJ14" s="19">
        <v>0.59</v>
      </c>
      <c r="AK14" s="8" t="s">
        <v>95</v>
      </c>
      <c r="AL14" s="19">
        <v>0.74</v>
      </c>
      <c r="AM14" s="8" t="s">
        <v>95</v>
      </c>
      <c r="AN14" s="15">
        <v>0.61499999999999999</v>
      </c>
      <c r="AO14" s="8" t="s">
        <v>95</v>
      </c>
      <c r="AP14" s="19">
        <v>0.62</v>
      </c>
      <c r="AQ14" s="8" t="s">
        <v>95</v>
      </c>
      <c r="AR14" s="19">
        <v>0.59</v>
      </c>
      <c r="AS14" s="8" t="s">
        <v>95</v>
      </c>
      <c r="AT14" s="15">
        <v>0.69199999999999995</v>
      </c>
      <c r="AU14" s="8" t="s">
        <v>95</v>
      </c>
      <c r="AV14" s="15">
        <v>0.78400000000000003</v>
      </c>
      <c r="AW14" s="7">
        <f t="shared" ref="AW14:AW51" si="1">SUM(Z14:AV14)</f>
        <v>8.14</v>
      </c>
    </row>
    <row r="15" spans="1:49" x14ac:dyDescent="0.35">
      <c r="A15" s="5" t="s">
        <v>29</v>
      </c>
      <c r="B15" s="14">
        <v>17.984999999999999</v>
      </c>
      <c r="C15" s="7" t="s">
        <v>95</v>
      </c>
      <c r="D15" s="14">
        <v>15.340999999999999</v>
      </c>
      <c r="E15" s="7" t="s">
        <v>95</v>
      </c>
      <c r="F15" s="14">
        <v>16.884</v>
      </c>
      <c r="G15" s="7" t="s">
        <v>95</v>
      </c>
      <c r="H15" s="14">
        <v>16.337</v>
      </c>
      <c r="I15" s="7" t="s">
        <v>95</v>
      </c>
      <c r="J15" s="14">
        <v>16.393000000000001</v>
      </c>
      <c r="K15" s="7" t="s">
        <v>95</v>
      </c>
      <c r="L15" s="14">
        <v>15.731999999999999</v>
      </c>
      <c r="M15" s="7" t="s">
        <v>95</v>
      </c>
      <c r="N15" s="14">
        <v>16.663</v>
      </c>
      <c r="O15" s="7" t="s">
        <v>95</v>
      </c>
      <c r="P15" s="14">
        <v>15.898</v>
      </c>
      <c r="Q15" s="7" t="s">
        <v>95</v>
      </c>
      <c r="R15" s="18">
        <v>15.32</v>
      </c>
      <c r="S15" s="7" t="s">
        <v>95</v>
      </c>
      <c r="T15" s="14">
        <v>15.624000000000001</v>
      </c>
      <c r="U15" s="7" t="s">
        <v>95</v>
      </c>
      <c r="V15" s="18">
        <v>16.64</v>
      </c>
      <c r="W15" s="7" t="s">
        <v>95</v>
      </c>
      <c r="X15" s="14">
        <v>17.257999999999999</v>
      </c>
      <c r="Y15" s="7">
        <f t="shared" si="0"/>
        <v>196.07500000000002</v>
      </c>
      <c r="Z15" s="14">
        <v>15.468</v>
      </c>
      <c r="AA15" s="7" t="s">
        <v>95</v>
      </c>
      <c r="AB15" s="14">
        <v>14.749000000000001</v>
      </c>
      <c r="AC15" s="7" t="s">
        <v>95</v>
      </c>
      <c r="AD15" s="14">
        <v>15.721</v>
      </c>
      <c r="AE15" s="7" t="s">
        <v>95</v>
      </c>
      <c r="AF15" s="18">
        <v>14.82</v>
      </c>
      <c r="AG15" s="7" t="s">
        <v>95</v>
      </c>
      <c r="AH15" s="14">
        <v>15.391999999999999</v>
      </c>
      <c r="AI15" s="7" t="s">
        <v>95</v>
      </c>
      <c r="AJ15" s="14">
        <v>13.973000000000001</v>
      </c>
      <c r="AK15" s="7" t="s">
        <v>95</v>
      </c>
      <c r="AL15" s="14">
        <v>14.986000000000001</v>
      </c>
      <c r="AM15" s="7" t="s">
        <v>95</v>
      </c>
      <c r="AN15" s="14">
        <v>14.611000000000001</v>
      </c>
      <c r="AO15" s="7" t="s">
        <v>95</v>
      </c>
      <c r="AP15" s="14">
        <v>14.221</v>
      </c>
      <c r="AQ15" s="7" t="s">
        <v>95</v>
      </c>
      <c r="AR15" s="14">
        <v>15.055</v>
      </c>
      <c r="AS15" s="7" t="s">
        <v>95</v>
      </c>
      <c r="AT15" s="14">
        <v>15.215999999999999</v>
      </c>
      <c r="AU15" s="7" t="s">
        <v>95</v>
      </c>
      <c r="AV15" s="14">
        <v>22.257000000000001</v>
      </c>
      <c r="AW15" s="7">
        <f t="shared" si="1"/>
        <v>186.46900000000002</v>
      </c>
    </row>
    <row r="16" spans="1:49" x14ac:dyDescent="0.35">
      <c r="A16" s="5" t="s">
        <v>30</v>
      </c>
      <c r="B16" s="15">
        <v>146.744</v>
      </c>
      <c r="C16" s="8" t="s">
        <v>95</v>
      </c>
      <c r="D16" s="15">
        <v>131.798</v>
      </c>
      <c r="E16" s="8" t="s">
        <v>95</v>
      </c>
      <c r="F16" s="15">
        <v>139.27699999999999</v>
      </c>
      <c r="G16" s="8" t="s">
        <v>95</v>
      </c>
      <c r="H16" s="15">
        <v>120.19199999999999</v>
      </c>
      <c r="I16" s="8" t="s">
        <v>95</v>
      </c>
      <c r="J16" s="15">
        <v>135.738</v>
      </c>
      <c r="K16" s="8" t="s">
        <v>95</v>
      </c>
      <c r="L16" s="15">
        <v>102.667</v>
      </c>
      <c r="M16" s="8" t="s">
        <v>95</v>
      </c>
      <c r="N16" s="15">
        <v>112.30800000000001</v>
      </c>
      <c r="O16" s="8" t="s">
        <v>95</v>
      </c>
      <c r="P16" s="15">
        <v>105.84099999999999</v>
      </c>
      <c r="Q16" s="8" t="s">
        <v>95</v>
      </c>
      <c r="R16" s="15">
        <v>126.895</v>
      </c>
      <c r="S16" s="8" t="s">
        <v>95</v>
      </c>
      <c r="T16" s="15">
        <v>109.33199999999999</v>
      </c>
      <c r="U16" s="8" t="s">
        <v>95</v>
      </c>
      <c r="V16" s="15">
        <v>126.22499999999999</v>
      </c>
      <c r="W16" s="8" t="s">
        <v>95</v>
      </c>
      <c r="X16" s="15">
        <v>70.524000000000001</v>
      </c>
      <c r="Y16" s="7">
        <f t="shared" si="0"/>
        <v>1427.5409999999997</v>
      </c>
      <c r="Z16" s="15">
        <v>107.777</v>
      </c>
      <c r="AA16" s="8" t="s">
        <v>95</v>
      </c>
      <c r="AB16" s="15">
        <v>100.38500000000001</v>
      </c>
      <c r="AC16" s="8" t="s">
        <v>95</v>
      </c>
      <c r="AD16" s="15">
        <v>110.535</v>
      </c>
      <c r="AE16" s="8" t="s">
        <v>95</v>
      </c>
      <c r="AF16" s="15">
        <v>166.572</v>
      </c>
      <c r="AG16" s="8" t="s">
        <v>95</v>
      </c>
      <c r="AH16" s="15">
        <v>130.096</v>
      </c>
      <c r="AI16" s="8" t="s">
        <v>95</v>
      </c>
      <c r="AJ16" s="15">
        <v>129.304</v>
      </c>
      <c r="AK16" s="8" t="s">
        <v>95</v>
      </c>
      <c r="AL16" s="15">
        <v>119.408</v>
      </c>
      <c r="AM16" s="8" t="s">
        <v>95</v>
      </c>
      <c r="AN16" s="19">
        <v>170.25</v>
      </c>
      <c r="AO16" s="8" t="s">
        <v>95</v>
      </c>
      <c r="AP16" s="15">
        <v>159.994</v>
      </c>
      <c r="AQ16" s="8" t="s">
        <v>95</v>
      </c>
      <c r="AR16" s="15">
        <v>161.83600000000001</v>
      </c>
      <c r="AS16" s="8" t="s">
        <v>95</v>
      </c>
      <c r="AT16" s="15">
        <v>183.39400000000001</v>
      </c>
      <c r="AU16" s="8" t="s">
        <v>95</v>
      </c>
      <c r="AV16" s="15">
        <v>261.91899999999998</v>
      </c>
      <c r="AW16" s="7">
        <f t="shared" si="1"/>
        <v>1801.4699999999998</v>
      </c>
    </row>
    <row r="17" spans="1:49" x14ac:dyDescent="0.35">
      <c r="A17" s="5" t="s">
        <v>31</v>
      </c>
      <c r="B17" s="18">
        <v>470</v>
      </c>
      <c r="C17" s="7" t="s">
        <v>95</v>
      </c>
      <c r="D17" s="18">
        <v>432</v>
      </c>
      <c r="E17" s="7" t="s">
        <v>95</v>
      </c>
      <c r="F17" s="18">
        <v>429</v>
      </c>
      <c r="G17" s="7" t="s">
        <v>95</v>
      </c>
      <c r="H17" s="18">
        <v>439</v>
      </c>
      <c r="I17" s="7" t="s">
        <v>95</v>
      </c>
      <c r="J17" s="18">
        <v>445</v>
      </c>
      <c r="K17" s="7" t="s">
        <v>95</v>
      </c>
      <c r="L17" s="18">
        <v>415</v>
      </c>
      <c r="M17" s="7" t="s">
        <v>95</v>
      </c>
      <c r="N17" s="18">
        <v>431</v>
      </c>
      <c r="O17" s="7" t="s">
        <v>95</v>
      </c>
      <c r="P17" s="18">
        <v>408</v>
      </c>
      <c r="Q17" s="7" t="s">
        <v>95</v>
      </c>
      <c r="R17" s="18">
        <v>269</v>
      </c>
      <c r="S17" s="7" t="s">
        <v>95</v>
      </c>
      <c r="T17" s="18">
        <v>274</v>
      </c>
      <c r="U17" s="7" t="s">
        <v>95</v>
      </c>
      <c r="V17" s="18">
        <v>414</v>
      </c>
      <c r="W17" s="7" t="s">
        <v>95</v>
      </c>
      <c r="X17" s="18">
        <v>448</v>
      </c>
      <c r="Y17" s="7">
        <f t="shared" si="0"/>
        <v>4874</v>
      </c>
      <c r="Z17" s="18">
        <v>357</v>
      </c>
      <c r="AA17" s="7" t="s">
        <v>95</v>
      </c>
      <c r="AB17" s="18">
        <v>332</v>
      </c>
      <c r="AC17" s="7" t="s">
        <v>95</v>
      </c>
      <c r="AD17" s="18">
        <v>344</v>
      </c>
      <c r="AE17" s="7" t="s">
        <v>95</v>
      </c>
      <c r="AF17" s="18">
        <v>312</v>
      </c>
      <c r="AG17" s="7" t="s">
        <v>95</v>
      </c>
      <c r="AH17" s="18">
        <v>326</v>
      </c>
      <c r="AI17" s="7" t="s">
        <v>95</v>
      </c>
      <c r="AJ17" s="18">
        <v>296</v>
      </c>
      <c r="AK17" s="7" t="s">
        <v>95</v>
      </c>
      <c r="AL17" s="18">
        <v>318</v>
      </c>
      <c r="AM17" s="7" t="s">
        <v>95</v>
      </c>
      <c r="AN17" s="18">
        <v>314</v>
      </c>
      <c r="AO17" s="7" t="s">
        <v>95</v>
      </c>
      <c r="AP17" s="18">
        <v>315</v>
      </c>
      <c r="AQ17" s="7" t="s">
        <v>95</v>
      </c>
      <c r="AR17" s="18">
        <v>311</v>
      </c>
      <c r="AS17" s="7" t="s">
        <v>95</v>
      </c>
      <c r="AT17" s="18">
        <v>312</v>
      </c>
      <c r="AU17" s="7" t="s">
        <v>95</v>
      </c>
      <c r="AV17" s="18">
        <v>336</v>
      </c>
      <c r="AW17" s="7">
        <f t="shared" si="1"/>
        <v>3873</v>
      </c>
    </row>
    <row r="18" spans="1:49" x14ac:dyDescent="0.35">
      <c r="A18" s="5" t="s">
        <v>32</v>
      </c>
      <c r="B18" s="8" t="s">
        <v>97</v>
      </c>
      <c r="C18" s="8" t="s">
        <v>95</v>
      </c>
      <c r="D18" s="8" t="s">
        <v>97</v>
      </c>
      <c r="E18" s="8" t="s">
        <v>95</v>
      </c>
      <c r="F18" s="8" t="s">
        <v>97</v>
      </c>
      <c r="G18" s="8" t="s">
        <v>95</v>
      </c>
      <c r="H18" s="8" t="s">
        <v>97</v>
      </c>
      <c r="I18" s="8" t="s">
        <v>95</v>
      </c>
      <c r="J18" s="19">
        <v>0</v>
      </c>
      <c r="K18" s="8" t="s">
        <v>95</v>
      </c>
      <c r="L18" s="8" t="s">
        <v>97</v>
      </c>
      <c r="M18" s="8" t="s">
        <v>95</v>
      </c>
      <c r="N18" s="8" t="s">
        <v>97</v>
      </c>
      <c r="O18" s="8" t="s">
        <v>95</v>
      </c>
      <c r="P18" s="8" t="s">
        <v>97</v>
      </c>
      <c r="Q18" s="8" t="s">
        <v>95</v>
      </c>
      <c r="R18" s="8" t="s">
        <v>97</v>
      </c>
      <c r="S18" s="8" t="s">
        <v>95</v>
      </c>
      <c r="T18" s="8" t="s">
        <v>97</v>
      </c>
      <c r="U18" s="8" t="s">
        <v>95</v>
      </c>
      <c r="V18" s="8" t="s">
        <v>97</v>
      </c>
      <c r="W18" s="8" t="s">
        <v>95</v>
      </c>
      <c r="X18" s="8" t="s">
        <v>97</v>
      </c>
      <c r="Y18" s="7">
        <f t="shared" si="0"/>
        <v>0</v>
      </c>
      <c r="Z18" s="19">
        <v>0</v>
      </c>
      <c r="AA18" s="8" t="s">
        <v>95</v>
      </c>
      <c r="AB18" s="19">
        <v>0</v>
      </c>
      <c r="AC18" s="8" t="s">
        <v>95</v>
      </c>
      <c r="AD18" s="19">
        <v>0</v>
      </c>
      <c r="AE18" s="8" t="s">
        <v>95</v>
      </c>
      <c r="AF18" s="19">
        <v>0</v>
      </c>
      <c r="AG18" s="8" t="s">
        <v>95</v>
      </c>
      <c r="AH18" s="19">
        <v>0</v>
      </c>
      <c r="AI18" s="8" t="s">
        <v>95</v>
      </c>
      <c r="AJ18" s="19">
        <v>0</v>
      </c>
      <c r="AK18" s="8" t="s">
        <v>95</v>
      </c>
      <c r="AL18" s="19">
        <v>0</v>
      </c>
      <c r="AM18" s="8" t="s">
        <v>95</v>
      </c>
      <c r="AN18" s="19">
        <v>0</v>
      </c>
      <c r="AO18" s="8" t="s">
        <v>95</v>
      </c>
      <c r="AP18" s="19">
        <v>0</v>
      </c>
      <c r="AQ18" s="8" t="s">
        <v>95</v>
      </c>
      <c r="AR18" s="19">
        <v>0</v>
      </c>
      <c r="AS18" s="8" t="s">
        <v>95</v>
      </c>
      <c r="AT18" s="19">
        <v>0</v>
      </c>
      <c r="AU18" s="8" t="s">
        <v>95</v>
      </c>
      <c r="AV18" s="19">
        <v>0</v>
      </c>
      <c r="AW18" s="7">
        <f t="shared" si="1"/>
        <v>0</v>
      </c>
    </row>
    <row r="19" spans="1:49" x14ac:dyDescent="0.35">
      <c r="A19" s="5" t="s">
        <v>33</v>
      </c>
      <c r="B19" s="14">
        <v>203.87799999999999</v>
      </c>
      <c r="C19" s="7" t="s">
        <v>95</v>
      </c>
      <c r="D19" s="14">
        <v>183.44499999999999</v>
      </c>
      <c r="E19" s="7" t="s">
        <v>95</v>
      </c>
      <c r="F19" s="18">
        <v>195.49</v>
      </c>
      <c r="G19" s="7" t="s">
        <v>95</v>
      </c>
      <c r="H19" s="14">
        <v>185.13399999999999</v>
      </c>
      <c r="I19" s="7" t="s">
        <v>95</v>
      </c>
      <c r="J19" s="14">
        <v>174.13300000000001</v>
      </c>
      <c r="K19" s="7" t="s">
        <v>95</v>
      </c>
      <c r="L19" s="14">
        <v>173.553</v>
      </c>
      <c r="M19" s="7" t="s">
        <v>95</v>
      </c>
      <c r="N19" s="14">
        <v>169.733</v>
      </c>
      <c r="O19" s="7" t="s">
        <v>95</v>
      </c>
      <c r="P19" s="14">
        <v>165.05600000000001</v>
      </c>
      <c r="Q19" s="7" t="s">
        <v>95</v>
      </c>
      <c r="R19" s="14">
        <v>121.16200000000001</v>
      </c>
      <c r="S19" s="7" t="s">
        <v>95</v>
      </c>
      <c r="T19" s="14">
        <v>149.92500000000001</v>
      </c>
      <c r="U19" s="7" t="s">
        <v>95</v>
      </c>
      <c r="V19" s="14">
        <v>151.245</v>
      </c>
      <c r="W19" s="7" t="s">
        <v>95</v>
      </c>
      <c r="X19" s="14">
        <v>156.89699999999999</v>
      </c>
      <c r="Y19" s="7">
        <f t="shared" si="0"/>
        <v>2029.6509999999998</v>
      </c>
      <c r="Z19" s="14">
        <v>94.228999999999999</v>
      </c>
      <c r="AA19" s="7" t="s">
        <v>95</v>
      </c>
      <c r="AB19" s="14">
        <v>87.683000000000007</v>
      </c>
      <c r="AC19" s="7" t="s">
        <v>95</v>
      </c>
      <c r="AD19" s="14">
        <v>96.941000000000003</v>
      </c>
      <c r="AE19" s="7" t="s">
        <v>95</v>
      </c>
      <c r="AF19" s="14">
        <v>94.516000000000005</v>
      </c>
      <c r="AG19" s="7" t="s">
        <v>95</v>
      </c>
      <c r="AH19" s="14">
        <v>96.096000000000004</v>
      </c>
      <c r="AI19" s="7" t="s">
        <v>95</v>
      </c>
      <c r="AJ19" s="14">
        <v>76.096000000000004</v>
      </c>
      <c r="AK19" s="7" t="s">
        <v>95</v>
      </c>
      <c r="AL19" s="14">
        <v>95.293999999999997</v>
      </c>
      <c r="AM19" s="7" t="s">
        <v>95</v>
      </c>
      <c r="AN19" s="14">
        <v>92.399000000000001</v>
      </c>
      <c r="AO19" s="7" t="s">
        <v>95</v>
      </c>
      <c r="AP19" s="14">
        <v>88.421999999999997</v>
      </c>
      <c r="AQ19" s="7" t="s">
        <v>95</v>
      </c>
      <c r="AR19" s="14">
        <v>87.734999999999999</v>
      </c>
      <c r="AS19" s="7" t="s">
        <v>95</v>
      </c>
      <c r="AT19" s="14">
        <v>85.995000000000005</v>
      </c>
      <c r="AU19" s="7" t="s">
        <v>95</v>
      </c>
      <c r="AV19" s="14">
        <v>85.379000000000005</v>
      </c>
      <c r="AW19" s="7">
        <f t="shared" si="1"/>
        <v>1080.7850000000001</v>
      </c>
    </row>
    <row r="20" spans="1:49" x14ac:dyDescent="0.35">
      <c r="A20" s="5" t="s">
        <v>34</v>
      </c>
      <c r="B20" s="15">
        <v>0.77700000000000002</v>
      </c>
      <c r="C20" s="8" t="s">
        <v>95</v>
      </c>
      <c r="D20" s="15">
        <v>0.55900000000000005</v>
      </c>
      <c r="E20" s="8" t="s">
        <v>95</v>
      </c>
      <c r="F20" s="15">
        <v>0.64400000000000002</v>
      </c>
      <c r="G20" s="8" t="s">
        <v>95</v>
      </c>
      <c r="H20" s="15">
        <v>0.69399999999999995</v>
      </c>
      <c r="I20" s="8" t="s">
        <v>95</v>
      </c>
      <c r="J20" s="15">
        <v>0.55400000000000005</v>
      </c>
      <c r="K20" s="8" t="s">
        <v>95</v>
      </c>
      <c r="L20" s="15">
        <v>0.50600000000000001</v>
      </c>
      <c r="M20" s="8" t="s">
        <v>95</v>
      </c>
      <c r="N20" s="19">
        <v>0.36</v>
      </c>
      <c r="O20" s="8" t="s">
        <v>95</v>
      </c>
      <c r="P20" s="15">
        <v>0.41599999999999998</v>
      </c>
      <c r="Q20" s="8" t="s">
        <v>95</v>
      </c>
      <c r="R20" s="15">
        <v>0.56499999999999995</v>
      </c>
      <c r="S20" s="8" t="s">
        <v>95</v>
      </c>
      <c r="T20" s="15">
        <v>0.38700000000000001</v>
      </c>
      <c r="U20" s="8" t="s">
        <v>95</v>
      </c>
      <c r="V20" s="15">
        <v>0.52800000000000002</v>
      </c>
      <c r="W20" s="8" t="s">
        <v>95</v>
      </c>
      <c r="X20" s="19">
        <v>0.49</v>
      </c>
      <c r="Y20" s="7">
        <f t="shared" si="0"/>
        <v>6.4800000000000022</v>
      </c>
      <c r="Z20" s="19">
        <v>0.31</v>
      </c>
      <c r="AA20" s="8" t="s">
        <v>95</v>
      </c>
      <c r="AB20" s="15">
        <v>0.252</v>
      </c>
      <c r="AC20" s="8" t="s">
        <v>95</v>
      </c>
      <c r="AD20" s="15">
        <v>7.4999999999999997E-2</v>
      </c>
      <c r="AE20" s="8" t="s">
        <v>95</v>
      </c>
      <c r="AF20" s="15">
        <v>0.158</v>
      </c>
      <c r="AG20" s="8" t="s">
        <v>95</v>
      </c>
      <c r="AH20" s="15">
        <v>0.217</v>
      </c>
      <c r="AI20" s="8" t="s">
        <v>95</v>
      </c>
      <c r="AJ20" s="15">
        <v>0.17599999999999999</v>
      </c>
      <c r="AK20" s="8" t="s">
        <v>95</v>
      </c>
      <c r="AL20" s="15">
        <v>8.3000000000000004E-2</v>
      </c>
      <c r="AM20" s="8" t="s">
        <v>95</v>
      </c>
      <c r="AN20" s="15">
        <v>7.9000000000000001E-2</v>
      </c>
      <c r="AO20" s="8" t="s">
        <v>95</v>
      </c>
      <c r="AP20" s="15">
        <v>0.107</v>
      </c>
      <c r="AQ20" s="8" t="s">
        <v>95</v>
      </c>
      <c r="AR20" s="15">
        <v>0.124</v>
      </c>
      <c r="AS20" s="8" t="s">
        <v>95</v>
      </c>
      <c r="AT20" s="15">
        <v>0.187</v>
      </c>
      <c r="AU20" s="8" t="s">
        <v>95</v>
      </c>
      <c r="AV20" s="15">
        <v>0.223</v>
      </c>
      <c r="AW20" s="7">
        <f t="shared" si="1"/>
        <v>1.9910000000000001</v>
      </c>
    </row>
    <row r="21" spans="1:49" x14ac:dyDescent="0.35">
      <c r="A21" s="5" t="s">
        <v>35</v>
      </c>
      <c r="B21" s="18">
        <v>6</v>
      </c>
      <c r="C21" s="7" t="s">
        <v>95</v>
      </c>
      <c r="D21" s="18">
        <v>4</v>
      </c>
      <c r="E21" s="7" t="s">
        <v>95</v>
      </c>
      <c r="F21" s="18">
        <v>6</v>
      </c>
      <c r="G21" s="7" t="s">
        <v>95</v>
      </c>
      <c r="H21" s="18">
        <v>5</v>
      </c>
      <c r="I21" s="7" t="s">
        <v>95</v>
      </c>
      <c r="J21" s="18">
        <v>4</v>
      </c>
      <c r="K21" s="7" t="s">
        <v>95</v>
      </c>
      <c r="L21" s="18">
        <v>1</v>
      </c>
      <c r="M21" s="7" t="s">
        <v>95</v>
      </c>
      <c r="N21" s="7" t="s">
        <v>97</v>
      </c>
      <c r="O21" s="7" t="s">
        <v>95</v>
      </c>
      <c r="P21" s="18">
        <v>2</v>
      </c>
      <c r="Q21" s="7" t="s">
        <v>95</v>
      </c>
      <c r="R21" s="18">
        <v>6</v>
      </c>
      <c r="S21" s="7" t="s">
        <v>95</v>
      </c>
      <c r="T21" s="18">
        <v>5</v>
      </c>
      <c r="U21" s="7" t="s">
        <v>95</v>
      </c>
      <c r="V21" s="18">
        <v>3</v>
      </c>
      <c r="W21" s="7" t="s">
        <v>95</v>
      </c>
      <c r="X21" s="18">
        <v>4</v>
      </c>
      <c r="Y21" s="7">
        <f t="shared" si="0"/>
        <v>46</v>
      </c>
      <c r="Z21" s="14">
        <v>0.441</v>
      </c>
      <c r="AA21" s="7" t="s">
        <v>95</v>
      </c>
      <c r="AB21" s="14">
        <v>2.6760000000000002</v>
      </c>
      <c r="AC21" s="7" t="s">
        <v>95</v>
      </c>
      <c r="AD21" s="14">
        <v>1.2749999999999999</v>
      </c>
      <c r="AE21" s="7" t="s">
        <v>95</v>
      </c>
      <c r="AF21" s="14">
        <v>1.629</v>
      </c>
      <c r="AG21" s="7" t="s">
        <v>95</v>
      </c>
      <c r="AH21" s="14">
        <v>2.4380000000000002</v>
      </c>
      <c r="AI21" s="7" t="s">
        <v>95</v>
      </c>
      <c r="AJ21" s="14">
        <v>0.374</v>
      </c>
      <c r="AK21" s="7" t="s">
        <v>95</v>
      </c>
      <c r="AL21" s="18">
        <v>0</v>
      </c>
      <c r="AM21" s="7" t="s">
        <v>95</v>
      </c>
      <c r="AN21" s="14">
        <v>0.442</v>
      </c>
      <c r="AO21" s="7" t="s">
        <v>95</v>
      </c>
      <c r="AP21" s="14">
        <v>0.36199999999999999</v>
      </c>
      <c r="AQ21" s="7" t="s">
        <v>95</v>
      </c>
      <c r="AR21" s="14">
        <v>3.7280000000000002</v>
      </c>
      <c r="AS21" s="7" t="s">
        <v>95</v>
      </c>
      <c r="AT21" s="14">
        <v>1.073</v>
      </c>
      <c r="AU21" s="7" t="s">
        <v>95</v>
      </c>
      <c r="AV21" s="14">
        <v>7.0270000000000001</v>
      </c>
      <c r="AW21" s="7">
        <f t="shared" si="1"/>
        <v>21.465</v>
      </c>
    </row>
    <row r="22" spans="1:49" x14ac:dyDescent="0.35">
      <c r="A22" s="5" t="s">
        <v>36</v>
      </c>
      <c r="B22" s="15">
        <v>1.597</v>
      </c>
      <c r="C22" s="8" t="s">
        <v>95</v>
      </c>
      <c r="D22" s="15">
        <v>1.5369999999999999</v>
      </c>
      <c r="E22" s="8" t="s">
        <v>95</v>
      </c>
      <c r="F22" s="15">
        <v>1.621</v>
      </c>
      <c r="G22" s="8" t="s">
        <v>95</v>
      </c>
      <c r="H22" s="15">
        <v>1.2949999999999999</v>
      </c>
      <c r="I22" s="8" t="s">
        <v>95</v>
      </c>
      <c r="J22" s="15">
        <v>1.524</v>
      </c>
      <c r="K22" s="8" t="s">
        <v>95</v>
      </c>
      <c r="L22" s="15">
        <v>1.0169999999999999</v>
      </c>
      <c r="M22" s="8" t="s">
        <v>95</v>
      </c>
      <c r="N22" s="15">
        <v>1.077</v>
      </c>
      <c r="O22" s="8" t="s">
        <v>95</v>
      </c>
      <c r="P22" s="15">
        <v>0.67500000000000004</v>
      </c>
      <c r="Q22" s="8" t="s">
        <v>95</v>
      </c>
      <c r="R22" s="15">
        <v>0.252</v>
      </c>
      <c r="S22" s="8" t="s">
        <v>95</v>
      </c>
      <c r="T22" s="15">
        <v>1.9830000000000001</v>
      </c>
      <c r="U22" s="8" t="s">
        <v>95</v>
      </c>
      <c r="V22" s="15">
        <v>2.3570000000000002</v>
      </c>
      <c r="W22" s="8" t="s">
        <v>95</v>
      </c>
      <c r="X22" s="15">
        <v>2.4140000000000001</v>
      </c>
      <c r="Y22" s="7">
        <f t="shared" si="0"/>
        <v>17.349000000000004</v>
      </c>
      <c r="Z22" s="15">
        <v>2.1389999999999998</v>
      </c>
      <c r="AA22" s="8" t="s">
        <v>95</v>
      </c>
      <c r="AB22" s="15">
        <v>1.9219999999999999</v>
      </c>
      <c r="AC22" s="8" t="s">
        <v>95</v>
      </c>
      <c r="AD22" s="15">
        <v>1.756</v>
      </c>
      <c r="AE22" s="8" t="s">
        <v>95</v>
      </c>
      <c r="AF22" s="15">
        <v>1.222</v>
      </c>
      <c r="AG22" s="8" t="s">
        <v>95</v>
      </c>
      <c r="AH22" s="15">
        <v>0.28499999999999998</v>
      </c>
      <c r="AI22" s="8" t="s">
        <v>95</v>
      </c>
      <c r="AJ22" s="19">
        <v>0</v>
      </c>
      <c r="AK22" s="8" t="s">
        <v>95</v>
      </c>
      <c r="AL22" s="15">
        <v>8.5999999999999993E-2</v>
      </c>
      <c r="AM22" s="8" t="s">
        <v>95</v>
      </c>
      <c r="AN22" s="15">
        <v>7.6999999999999999E-2</v>
      </c>
      <c r="AO22" s="8" t="s">
        <v>95</v>
      </c>
      <c r="AP22" s="15">
        <v>0.106</v>
      </c>
      <c r="AQ22" s="8" t="s">
        <v>95</v>
      </c>
      <c r="AR22" s="15">
        <v>0.56499999999999995</v>
      </c>
      <c r="AS22" s="8" t="s">
        <v>95</v>
      </c>
      <c r="AT22" s="15">
        <v>2.149</v>
      </c>
      <c r="AU22" s="8" t="s">
        <v>95</v>
      </c>
      <c r="AV22" s="15">
        <v>2.069</v>
      </c>
      <c r="AW22" s="7">
        <f t="shared" si="1"/>
        <v>12.375999999999998</v>
      </c>
    </row>
    <row r="23" spans="1:49" x14ac:dyDescent="0.35">
      <c r="A23" s="5" t="s">
        <v>37</v>
      </c>
      <c r="B23" s="18">
        <v>83.6</v>
      </c>
      <c r="C23" s="7" t="s">
        <v>95</v>
      </c>
      <c r="D23" s="18">
        <v>78.28</v>
      </c>
      <c r="E23" s="7" t="s">
        <v>95</v>
      </c>
      <c r="F23" s="14">
        <v>82.105000000000004</v>
      </c>
      <c r="G23" s="7" t="s">
        <v>95</v>
      </c>
      <c r="H23" s="18">
        <v>78</v>
      </c>
      <c r="I23" s="7" t="s">
        <v>95</v>
      </c>
      <c r="J23" s="18">
        <v>78.599999999999994</v>
      </c>
      <c r="K23" s="7" t="s">
        <v>95</v>
      </c>
      <c r="L23" s="18">
        <v>75.099999999999994</v>
      </c>
      <c r="M23" s="7" t="s">
        <v>95</v>
      </c>
      <c r="N23" s="18">
        <v>76.400000000000006</v>
      </c>
      <c r="O23" s="7" t="s">
        <v>95</v>
      </c>
      <c r="P23" s="18">
        <v>74.5</v>
      </c>
      <c r="Q23" s="7" t="s">
        <v>95</v>
      </c>
      <c r="R23" s="18">
        <v>49.1</v>
      </c>
      <c r="S23" s="7" t="s">
        <v>95</v>
      </c>
      <c r="T23" s="18">
        <v>73.3</v>
      </c>
      <c r="U23" s="7" t="s">
        <v>95</v>
      </c>
      <c r="V23" s="18">
        <v>70.599999999999994</v>
      </c>
      <c r="W23" s="7" t="s">
        <v>95</v>
      </c>
      <c r="X23" s="18">
        <v>68.8</v>
      </c>
      <c r="Y23" s="7">
        <f t="shared" si="0"/>
        <v>888.38499999999999</v>
      </c>
      <c r="Z23" s="18">
        <v>56.8</v>
      </c>
      <c r="AA23" s="7" t="s">
        <v>95</v>
      </c>
      <c r="AB23" s="18">
        <v>53.1</v>
      </c>
      <c r="AC23" s="7" t="s">
        <v>95</v>
      </c>
      <c r="AD23" s="18">
        <v>56.9</v>
      </c>
      <c r="AE23" s="7" t="s">
        <v>95</v>
      </c>
      <c r="AF23" s="18">
        <v>56.1</v>
      </c>
      <c r="AG23" s="7" t="s">
        <v>95</v>
      </c>
      <c r="AH23" s="18">
        <v>57.5</v>
      </c>
      <c r="AI23" s="7" t="s">
        <v>95</v>
      </c>
      <c r="AJ23" s="18">
        <v>61.7</v>
      </c>
      <c r="AK23" s="7" t="s">
        <v>95</v>
      </c>
      <c r="AL23" s="18">
        <v>67</v>
      </c>
      <c r="AM23" s="7" t="s">
        <v>95</v>
      </c>
      <c r="AN23" s="18">
        <v>73.599999999999994</v>
      </c>
      <c r="AO23" s="7" t="s">
        <v>95</v>
      </c>
      <c r="AP23" s="18">
        <v>68.599999999999994</v>
      </c>
      <c r="AQ23" s="7" t="s">
        <v>95</v>
      </c>
      <c r="AR23" s="18">
        <v>70.5</v>
      </c>
      <c r="AS23" s="7" t="s">
        <v>95</v>
      </c>
      <c r="AT23" s="18">
        <v>68.2</v>
      </c>
      <c r="AU23" s="7" t="s">
        <v>95</v>
      </c>
      <c r="AV23" s="18">
        <v>64.099999999999994</v>
      </c>
      <c r="AW23" s="7">
        <f t="shared" si="1"/>
        <v>754.1</v>
      </c>
    </row>
    <row r="24" spans="1:49" x14ac:dyDescent="0.35">
      <c r="A24" s="5" t="s">
        <v>38</v>
      </c>
      <c r="B24" s="19">
        <v>364</v>
      </c>
      <c r="C24" s="8" t="s">
        <v>95</v>
      </c>
      <c r="D24" s="19">
        <v>345</v>
      </c>
      <c r="E24" s="8" t="s">
        <v>95</v>
      </c>
      <c r="F24" s="19">
        <v>359</v>
      </c>
      <c r="G24" s="8" t="s">
        <v>95</v>
      </c>
      <c r="H24" s="19">
        <v>328</v>
      </c>
      <c r="I24" s="8" t="s">
        <v>95</v>
      </c>
      <c r="J24" s="19">
        <v>339</v>
      </c>
      <c r="K24" s="8" t="s">
        <v>95</v>
      </c>
      <c r="L24" s="19">
        <v>317</v>
      </c>
      <c r="M24" s="8" t="s">
        <v>95</v>
      </c>
      <c r="N24" s="19">
        <v>332</v>
      </c>
      <c r="O24" s="8" t="s">
        <v>95</v>
      </c>
      <c r="P24" s="19">
        <v>298</v>
      </c>
      <c r="Q24" s="8" t="s">
        <v>95</v>
      </c>
      <c r="R24" s="19">
        <v>301</v>
      </c>
      <c r="S24" s="8" t="s">
        <v>95</v>
      </c>
      <c r="T24" s="19">
        <v>312</v>
      </c>
      <c r="U24" s="8" t="s">
        <v>95</v>
      </c>
      <c r="V24" s="19">
        <v>310</v>
      </c>
      <c r="W24" s="8" t="s">
        <v>95</v>
      </c>
      <c r="X24" s="19">
        <v>327</v>
      </c>
      <c r="Y24" s="7">
        <f t="shared" si="0"/>
        <v>3932</v>
      </c>
      <c r="Z24" s="19">
        <v>250</v>
      </c>
      <c r="AA24" s="8" t="s">
        <v>95</v>
      </c>
      <c r="AB24" s="15">
        <v>236.505</v>
      </c>
      <c r="AC24" s="8" t="s">
        <v>95</v>
      </c>
      <c r="AD24" s="15">
        <v>251.50800000000001</v>
      </c>
      <c r="AE24" s="8" t="s">
        <v>95</v>
      </c>
      <c r="AF24" s="15">
        <v>242.244</v>
      </c>
      <c r="AG24" s="8" t="s">
        <v>95</v>
      </c>
      <c r="AH24" s="15">
        <v>247.31899999999999</v>
      </c>
      <c r="AI24" s="8" t="s">
        <v>95</v>
      </c>
      <c r="AJ24" s="15">
        <v>231.59100000000001</v>
      </c>
      <c r="AK24" s="8" t="s">
        <v>95</v>
      </c>
      <c r="AL24" s="19">
        <v>221</v>
      </c>
      <c r="AM24" s="8" t="s">
        <v>95</v>
      </c>
      <c r="AN24" s="15">
        <v>231.142</v>
      </c>
      <c r="AO24" s="8" t="s">
        <v>95</v>
      </c>
      <c r="AP24" s="15">
        <v>226.66900000000001</v>
      </c>
      <c r="AQ24" s="8" t="s">
        <v>95</v>
      </c>
      <c r="AR24" s="15">
        <v>239.91900000000001</v>
      </c>
      <c r="AS24" s="8" t="s">
        <v>95</v>
      </c>
      <c r="AT24" s="15">
        <v>239.85499999999999</v>
      </c>
      <c r="AU24" s="8" t="s">
        <v>95</v>
      </c>
      <c r="AV24" s="15">
        <v>322.49200000000002</v>
      </c>
      <c r="AW24" s="7">
        <f t="shared" si="1"/>
        <v>2940.2440000000001</v>
      </c>
    </row>
    <row r="25" spans="1:49" x14ac:dyDescent="0.35">
      <c r="A25" s="5" t="s">
        <v>39</v>
      </c>
      <c r="B25" s="18">
        <v>0</v>
      </c>
      <c r="C25" s="7" t="s">
        <v>95</v>
      </c>
      <c r="D25" s="18">
        <v>0</v>
      </c>
      <c r="E25" s="7" t="s">
        <v>95</v>
      </c>
      <c r="F25" s="18">
        <v>0</v>
      </c>
      <c r="G25" s="7" t="s">
        <v>95</v>
      </c>
      <c r="H25" s="18">
        <v>0</v>
      </c>
      <c r="I25" s="7" t="s">
        <v>95</v>
      </c>
      <c r="J25" s="18">
        <v>0</v>
      </c>
      <c r="K25" s="7" t="s">
        <v>95</v>
      </c>
      <c r="L25" s="18">
        <v>0</v>
      </c>
      <c r="M25" s="7" t="s">
        <v>95</v>
      </c>
      <c r="N25" s="18">
        <v>0</v>
      </c>
      <c r="O25" s="7" t="s">
        <v>95</v>
      </c>
      <c r="P25" s="18">
        <v>0</v>
      </c>
      <c r="Q25" s="7" t="s">
        <v>95</v>
      </c>
      <c r="R25" s="18">
        <v>0</v>
      </c>
      <c r="S25" s="7" t="s">
        <v>95</v>
      </c>
      <c r="T25" s="18">
        <v>0</v>
      </c>
      <c r="U25" s="7" t="s">
        <v>95</v>
      </c>
      <c r="V25" s="18">
        <v>0</v>
      </c>
      <c r="W25" s="7" t="s">
        <v>95</v>
      </c>
      <c r="X25" s="18">
        <v>0</v>
      </c>
      <c r="Y25" s="7">
        <f t="shared" si="0"/>
        <v>0</v>
      </c>
      <c r="Z25" s="18">
        <v>0</v>
      </c>
      <c r="AA25" s="7" t="s">
        <v>95</v>
      </c>
      <c r="AB25" s="18">
        <v>0</v>
      </c>
      <c r="AC25" s="7" t="s">
        <v>95</v>
      </c>
      <c r="AD25" s="18">
        <v>0</v>
      </c>
      <c r="AE25" s="7" t="s">
        <v>95</v>
      </c>
      <c r="AF25" s="18">
        <v>0</v>
      </c>
      <c r="AG25" s="7" t="s">
        <v>95</v>
      </c>
      <c r="AH25" s="18">
        <v>0</v>
      </c>
      <c r="AI25" s="7" t="s">
        <v>95</v>
      </c>
      <c r="AJ25" s="18">
        <v>0</v>
      </c>
      <c r="AK25" s="7" t="s">
        <v>95</v>
      </c>
      <c r="AL25" s="18">
        <v>0</v>
      </c>
      <c r="AM25" s="7" t="s">
        <v>95</v>
      </c>
      <c r="AN25" s="18">
        <v>0</v>
      </c>
      <c r="AO25" s="7" t="s">
        <v>95</v>
      </c>
      <c r="AP25" s="18">
        <v>0</v>
      </c>
      <c r="AQ25" s="7" t="s">
        <v>95</v>
      </c>
      <c r="AR25" s="18">
        <v>0</v>
      </c>
      <c r="AS25" s="7" t="s">
        <v>95</v>
      </c>
      <c r="AT25" s="18">
        <v>0</v>
      </c>
      <c r="AU25" s="7" t="s">
        <v>95</v>
      </c>
      <c r="AV25" s="18">
        <v>0</v>
      </c>
      <c r="AW25" s="7">
        <f t="shared" si="1"/>
        <v>0</v>
      </c>
    </row>
    <row r="26" spans="1:49" x14ac:dyDescent="0.35">
      <c r="A26" s="5" t="s">
        <v>40</v>
      </c>
      <c r="B26" s="8" t="s">
        <v>97</v>
      </c>
      <c r="C26" s="8" t="s">
        <v>95</v>
      </c>
      <c r="D26" s="8" t="s">
        <v>97</v>
      </c>
      <c r="E26" s="8" t="s">
        <v>95</v>
      </c>
      <c r="F26" s="8" t="s">
        <v>97</v>
      </c>
      <c r="G26" s="8" t="s">
        <v>95</v>
      </c>
      <c r="H26" s="8" t="s">
        <v>97</v>
      </c>
      <c r="I26" s="8" t="s">
        <v>95</v>
      </c>
      <c r="J26" s="8" t="s">
        <v>97</v>
      </c>
      <c r="K26" s="8" t="s">
        <v>95</v>
      </c>
      <c r="L26" s="8" t="s">
        <v>97</v>
      </c>
      <c r="M26" s="8" t="s">
        <v>95</v>
      </c>
      <c r="N26" s="8" t="s">
        <v>97</v>
      </c>
      <c r="O26" s="8" t="s">
        <v>95</v>
      </c>
      <c r="P26" s="8" t="s">
        <v>97</v>
      </c>
      <c r="Q26" s="8" t="s">
        <v>95</v>
      </c>
      <c r="R26" s="8" t="s">
        <v>97</v>
      </c>
      <c r="S26" s="8" t="s">
        <v>95</v>
      </c>
      <c r="T26" s="8" t="s">
        <v>97</v>
      </c>
      <c r="U26" s="8" t="s">
        <v>95</v>
      </c>
      <c r="V26" s="8" t="s">
        <v>97</v>
      </c>
      <c r="W26" s="8" t="s">
        <v>95</v>
      </c>
      <c r="X26" s="8" t="s">
        <v>97</v>
      </c>
      <c r="Y26" s="7">
        <f t="shared" si="0"/>
        <v>0</v>
      </c>
      <c r="Z26" s="19">
        <v>0</v>
      </c>
      <c r="AA26" s="8" t="s">
        <v>95</v>
      </c>
      <c r="AB26" s="19">
        <v>0</v>
      </c>
      <c r="AC26" s="8" t="s">
        <v>95</v>
      </c>
      <c r="AD26" s="19">
        <v>0</v>
      </c>
      <c r="AE26" s="8" t="s">
        <v>95</v>
      </c>
      <c r="AF26" s="19">
        <v>0</v>
      </c>
      <c r="AG26" s="8" t="s">
        <v>95</v>
      </c>
      <c r="AH26" s="19">
        <v>0</v>
      </c>
      <c r="AI26" s="8" t="s">
        <v>95</v>
      </c>
      <c r="AJ26" s="19">
        <v>0</v>
      </c>
      <c r="AK26" s="8" t="s">
        <v>95</v>
      </c>
      <c r="AL26" s="19">
        <v>0</v>
      </c>
      <c r="AM26" s="8" t="s">
        <v>95</v>
      </c>
      <c r="AN26" s="19">
        <v>0</v>
      </c>
      <c r="AO26" s="8" t="s">
        <v>95</v>
      </c>
      <c r="AP26" s="19">
        <v>0</v>
      </c>
      <c r="AQ26" s="8" t="s">
        <v>95</v>
      </c>
      <c r="AR26" s="19">
        <v>0</v>
      </c>
      <c r="AS26" s="8" t="s">
        <v>95</v>
      </c>
      <c r="AT26" s="19">
        <v>0</v>
      </c>
      <c r="AU26" s="8" t="s">
        <v>95</v>
      </c>
      <c r="AV26" s="19">
        <v>0</v>
      </c>
      <c r="AW26" s="7">
        <f t="shared" si="1"/>
        <v>0</v>
      </c>
    </row>
    <row r="27" spans="1:49" x14ac:dyDescent="0.35">
      <c r="A27" s="5" t="s">
        <v>41</v>
      </c>
      <c r="B27" s="7" t="s">
        <v>97</v>
      </c>
      <c r="C27" s="7" t="s">
        <v>95</v>
      </c>
      <c r="D27" s="7" t="s">
        <v>97</v>
      </c>
      <c r="E27" s="7" t="s">
        <v>95</v>
      </c>
      <c r="F27" s="7" t="s">
        <v>97</v>
      </c>
      <c r="G27" s="7" t="s">
        <v>95</v>
      </c>
      <c r="H27" s="7" t="s">
        <v>97</v>
      </c>
      <c r="I27" s="7" t="s">
        <v>95</v>
      </c>
      <c r="J27" s="7" t="s">
        <v>97</v>
      </c>
      <c r="K27" s="7" t="s">
        <v>95</v>
      </c>
      <c r="L27" s="7" t="s">
        <v>97</v>
      </c>
      <c r="M27" s="7" t="s">
        <v>95</v>
      </c>
      <c r="N27" s="7" t="s">
        <v>97</v>
      </c>
      <c r="O27" s="7" t="s">
        <v>95</v>
      </c>
      <c r="P27" s="7" t="s">
        <v>97</v>
      </c>
      <c r="Q27" s="7" t="s">
        <v>95</v>
      </c>
      <c r="R27" s="7" t="s">
        <v>97</v>
      </c>
      <c r="S27" s="7" t="s">
        <v>95</v>
      </c>
      <c r="T27" s="7" t="s">
        <v>97</v>
      </c>
      <c r="U27" s="7" t="s">
        <v>95</v>
      </c>
      <c r="V27" s="7" t="s">
        <v>97</v>
      </c>
      <c r="W27" s="7" t="s">
        <v>95</v>
      </c>
      <c r="X27" s="7" t="s">
        <v>97</v>
      </c>
      <c r="Y27" s="7">
        <f t="shared" si="0"/>
        <v>0</v>
      </c>
      <c r="Z27" s="7" t="s">
        <v>97</v>
      </c>
      <c r="AA27" s="7" t="s">
        <v>95</v>
      </c>
      <c r="AB27" s="7" t="s">
        <v>97</v>
      </c>
      <c r="AC27" s="7" t="s">
        <v>95</v>
      </c>
      <c r="AD27" s="7" t="s">
        <v>97</v>
      </c>
      <c r="AE27" s="7" t="s">
        <v>95</v>
      </c>
      <c r="AF27" s="7" t="s">
        <v>97</v>
      </c>
      <c r="AG27" s="7" t="s">
        <v>95</v>
      </c>
      <c r="AH27" s="7" t="s">
        <v>97</v>
      </c>
      <c r="AI27" s="7" t="s">
        <v>95</v>
      </c>
      <c r="AJ27" s="7" t="s">
        <v>97</v>
      </c>
      <c r="AK27" s="7" t="s">
        <v>95</v>
      </c>
      <c r="AL27" s="7" t="s">
        <v>97</v>
      </c>
      <c r="AM27" s="7" t="s">
        <v>95</v>
      </c>
      <c r="AN27" s="7" t="s">
        <v>97</v>
      </c>
      <c r="AO27" s="7" t="s">
        <v>95</v>
      </c>
      <c r="AP27" s="7" t="s">
        <v>97</v>
      </c>
      <c r="AQ27" s="7" t="s">
        <v>95</v>
      </c>
      <c r="AR27" s="7" t="s">
        <v>97</v>
      </c>
      <c r="AS27" s="7" t="s">
        <v>95</v>
      </c>
      <c r="AT27" s="7" t="s">
        <v>97</v>
      </c>
      <c r="AU27" s="7" t="s">
        <v>95</v>
      </c>
      <c r="AV27" s="7" t="s">
        <v>97</v>
      </c>
      <c r="AW27" s="7">
        <f t="shared" si="1"/>
        <v>0</v>
      </c>
    </row>
    <row r="28" spans="1:49" x14ac:dyDescent="0.35">
      <c r="A28" s="5" t="s">
        <v>42</v>
      </c>
      <c r="B28" s="8" t="s">
        <v>97</v>
      </c>
      <c r="C28" s="8" t="s">
        <v>95</v>
      </c>
      <c r="D28" s="8" t="s">
        <v>97</v>
      </c>
      <c r="E28" s="8" t="s">
        <v>95</v>
      </c>
      <c r="F28" s="8" t="s">
        <v>97</v>
      </c>
      <c r="G28" s="8" t="s">
        <v>95</v>
      </c>
      <c r="H28" s="8" t="s">
        <v>97</v>
      </c>
      <c r="I28" s="8" t="s">
        <v>95</v>
      </c>
      <c r="J28" s="8" t="s">
        <v>97</v>
      </c>
      <c r="K28" s="8" t="s">
        <v>95</v>
      </c>
      <c r="L28" s="8" t="s">
        <v>97</v>
      </c>
      <c r="M28" s="8" t="s">
        <v>95</v>
      </c>
      <c r="N28" s="8" t="s">
        <v>97</v>
      </c>
      <c r="O28" s="8" t="s">
        <v>95</v>
      </c>
      <c r="P28" s="8" t="s">
        <v>97</v>
      </c>
      <c r="Q28" s="8" t="s">
        <v>95</v>
      </c>
      <c r="R28" s="8" t="s">
        <v>97</v>
      </c>
      <c r="S28" s="8" t="s">
        <v>95</v>
      </c>
      <c r="T28" s="8" t="s">
        <v>97</v>
      </c>
      <c r="U28" s="8" t="s">
        <v>95</v>
      </c>
      <c r="V28" s="8" t="s">
        <v>97</v>
      </c>
      <c r="W28" s="8" t="s">
        <v>95</v>
      </c>
      <c r="X28" s="8" t="s">
        <v>97</v>
      </c>
      <c r="Y28" s="7">
        <f t="shared" si="0"/>
        <v>0</v>
      </c>
      <c r="Z28" s="19">
        <v>0</v>
      </c>
      <c r="AA28" s="8" t="s">
        <v>95</v>
      </c>
      <c r="AB28" s="19">
        <v>0</v>
      </c>
      <c r="AC28" s="8" t="s">
        <v>95</v>
      </c>
      <c r="AD28" s="19">
        <v>0</v>
      </c>
      <c r="AE28" s="8" t="s">
        <v>95</v>
      </c>
      <c r="AF28" s="19">
        <v>0</v>
      </c>
      <c r="AG28" s="8" t="s">
        <v>95</v>
      </c>
      <c r="AH28" s="19">
        <v>0</v>
      </c>
      <c r="AI28" s="8" t="s">
        <v>95</v>
      </c>
      <c r="AJ28" s="19">
        <v>0</v>
      </c>
      <c r="AK28" s="8" t="s">
        <v>95</v>
      </c>
      <c r="AL28" s="19">
        <v>0</v>
      </c>
      <c r="AM28" s="8" t="s">
        <v>95</v>
      </c>
      <c r="AN28" s="19">
        <v>0</v>
      </c>
      <c r="AO28" s="8" t="s">
        <v>95</v>
      </c>
      <c r="AP28" s="19">
        <v>0</v>
      </c>
      <c r="AQ28" s="8" t="s">
        <v>95</v>
      </c>
      <c r="AR28" s="19">
        <v>0</v>
      </c>
      <c r="AS28" s="8" t="s">
        <v>95</v>
      </c>
      <c r="AT28" s="19">
        <v>0</v>
      </c>
      <c r="AU28" s="8" t="s">
        <v>95</v>
      </c>
      <c r="AV28" s="19">
        <v>0</v>
      </c>
      <c r="AW28" s="7">
        <f t="shared" si="1"/>
        <v>0</v>
      </c>
    </row>
    <row r="29" spans="1:49" x14ac:dyDescent="0.35">
      <c r="A29" s="5" t="s">
        <v>43</v>
      </c>
      <c r="B29" s="18">
        <v>155</v>
      </c>
      <c r="C29" s="7" t="s">
        <v>95</v>
      </c>
      <c r="D29" s="18">
        <v>140</v>
      </c>
      <c r="E29" s="7" t="s">
        <v>95</v>
      </c>
      <c r="F29" s="18">
        <v>149</v>
      </c>
      <c r="G29" s="7" t="s">
        <v>95</v>
      </c>
      <c r="H29" s="18">
        <v>143</v>
      </c>
      <c r="I29" s="7" t="s">
        <v>95</v>
      </c>
      <c r="J29" s="18">
        <v>138</v>
      </c>
      <c r="K29" s="7" t="s">
        <v>95</v>
      </c>
      <c r="L29" s="18">
        <v>134</v>
      </c>
      <c r="M29" s="7" t="s">
        <v>95</v>
      </c>
      <c r="N29" s="18">
        <v>135</v>
      </c>
      <c r="O29" s="7" t="s">
        <v>95</v>
      </c>
      <c r="P29" s="18">
        <v>140</v>
      </c>
      <c r="Q29" s="7" t="s">
        <v>95</v>
      </c>
      <c r="R29" s="18">
        <v>136</v>
      </c>
      <c r="S29" s="7" t="s">
        <v>95</v>
      </c>
      <c r="T29" s="18">
        <v>143</v>
      </c>
      <c r="U29" s="7" t="s">
        <v>95</v>
      </c>
      <c r="V29" s="18">
        <v>135</v>
      </c>
      <c r="W29" s="7" t="s">
        <v>95</v>
      </c>
      <c r="X29" s="18">
        <v>137</v>
      </c>
      <c r="Y29" s="7">
        <f t="shared" si="0"/>
        <v>1685</v>
      </c>
      <c r="Z29" s="18">
        <v>153.4</v>
      </c>
      <c r="AA29" s="7" t="s">
        <v>95</v>
      </c>
      <c r="AB29" s="18">
        <v>140.4</v>
      </c>
      <c r="AC29" s="7" t="s">
        <v>95</v>
      </c>
      <c r="AD29" s="18">
        <v>142.19999999999999</v>
      </c>
      <c r="AE29" s="7" t="s">
        <v>95</v>
      </c>
      <c r="AF29" s="18">
        <v>148.1</v>
      </c>
      <c r="AG29" s="7" t="s">
        <v>95</v>
      </c>
      <c r="AH29" s="18">
        <v>152.80000000000001</v>
      </c>
      <c r="AI29" s="7" t="s">
        <v>95</v>
      </c>
      <c r="AJ29" s="18">
        <v>140.69999999999999</v>
      </c>
      <c r="AK29" s="7" t="s">
        <v>95</v>
      </c>
      <c r="AL29" s="18">
        <v>148.6</v>
      </c>
      <c r="AM29" s="7" t="s">
        <v>95</v>
      </c>
      <c r="AN29" s="18">
        <v>144.6</v>
      </c>
      <c r="AO29" s="7" t="s">
        <v>95</v>
      </c>
      <c r="AP29" s="18">
        <v>144.4</v>
      </c>
      <c r="AQ29" s="7" t="s">
        <v>95</v>
      </c>
      <c r="AR29" s="18">
        <v>141</v>
      </c>
      <c r="AS29" s="7" t="s">
        <v>95</v>
      </c>
      <c r="AT29" s="18">
        <v>131.6</v>
      </c>
      <c r="AU29" s="7" t="s">
        <v>95</v>
      </c>
      <c r="AV29" s="18">
        <v>136</v>
      </c>
      <c r="AW29" s="7">
        <f t="shared" si="1"/>
        <v>1723.8</v>
      </c>
    </row>
    <row r="30" spans="1:49" x14ac:dyDescent="0.35">
      <c r="A30" s="5" t="s">
        <v>44</v>
      </c>
      <c r="B30" s="19">
        <v>0</v>
      </c>
      <c r="C30" s="8" t="s">
        <v>95</v>
      </c>
      <c r="D30" s="8" t="s">
        <v>97</v>
      </c>
      <c r="E30" s="8" t="s">
        <v>95</v>
      </c>
      <c r="F30" s="19">
        <v>0</v>
      </c>
      <c r="G30" s="8" t="s">
        <v>95</v>
      </c>
      <c r="H30" s="8" t="s">
        <v>97</v>
      </c>
      <c r="I30" s="8" t="s">
        <v>95</v>
      </c>
      <c r="J30" s="19">
        <v>0</v>
      </c>
      <c r="K30" s="8" t="s">
        <v>95</v>
      </c>
      <c r="L30" s="8" t="s">
        <v>97</v>
      </c>
      <c r="M30" s="8" t="s">
        <v>95</v>
      </c>
      <c r="N30" s="8" t="s">
        <v>97</v>
      </c>
      <c r="O30" s="8" t="s">
        <v>95</v>
      </c>
      <c r="P30" s="19">
        <v>0</v>
      </c>
      <c r="Q30" s="8" t="s">
        <v>95</v>
      </c>
      <c r="R30" s="19">
        <v>0</v>
      </c>
      <c r="S30" s="8" t="s">
        <v>95</v>
      </c>
      <c r="T30" s="19">
        <v>0</v>
      </c>
      <c r="U30" s="8" t="s">
        <v>95</v>
      </c>
      <c r="V30" s="8" t="s">
        <v>97</v>
      </c>
      <c r="W30" s="8" t="s">
        <v>95</v>
      </c>
      <c r="X30" s="8" t="s">
        <v>97</v>
      </c>
      <c r="Y30" s="7">
        <f t="shared" si="0"/>
        <v>0</v>
      </c>
      <c r="Z30" s="19">
        <v>0</v>
      </c>
      <c r="AA30" s="8" t="s">
        <v>95</v>
      </c>
      <c r="AB30" s="19">
        <v>0</v>
      </c>
      <c r="AC30" s="8" t="s">
        <v>95</v>
      </c>
      <c r="AD30" s="19">
        <v>0</v>
      </c>
      <c r="AE30" s="8" t="s">
        <v>95</v>
      </c>
      <c r="AF30" s="19">
        <v>0</v>
      </c>
      <c r="AG30" s="8" t="s">
        <v>95</v>
      </c>
      <c r="AH30" s="19">
        <v>0</v>
      </c>
      <c r="AI30" s="8" t="s">
        <v>95</v>
      </c>
      <c r="AJ30" s="19">
        <v>0</v>
      </c>
      <c r="AK30" s="8" t="s">
        <v>95</v>
      </c>
      <c r="AL30" s="19">
        <v>0</v>
      </c>
      <c r="AM30" s="8" t="s">
        <v>95</v>
      </c>
      <c r="AN30" s="19">
        <v>0</v>
      </c>
      <c r="AO30" s="8" t="s">
        <v>95</v>
      </c>
      <c r="AP30" s="19">
        <v>0</v>
      </c>
      <c r="AQ30" s="8" t="s">
        <v>95</v>
      </c>
      <c r="AR30" s="19">
        <v>0</v>
      </c>
      <c r="AS30" s="8" t="s">
        <v>95</v>
      </c>
      <c r="AT30" s="19">
        <v>0</v>
      </c>
      <c r="AU30" s="8" t="s">
        <v>95</v>
      </c>
      <c r="AV30" s="19">
        <v>0</v>
      </c>
      <c r="AW30" s="7">
        <f t="shared" si="1"/>
        <v>0</v>
      </c>
    </row>
    <row r="31" spans="1:49" x14ac:dyDescent="0.35">
      <c r="A31" s="5" t="s">
        <v>45</v>
      </c>
      <c r="B31" s="18">
        <v>2785.94</v>
      </c>
      <c r="C31" s="7" t="s">
        <v>95</v>
      </c>
      <c r="D31" s="14">
        <v>2254.2109999999998</v>
      </c>
      <c r="E31" s="7" t="s">
        <v>95</v>
      </c>
      <c r="F31" s="14">
        <v>2022.5609999999999</v>
      </c>
      <c r="G31" s="7" t="s">
        <v>95</v>
      </c>
      <c r="H31" s="14">
        <v>2231.7069999999999</v>
      </c>
      <c r="I31" s="7" t="s">
        <v>95</v>
      </c>
      <c r="J31" s="14">
        <v>2546.7629999999999</v>
      </c>
      <c r="K31" s="7" t="s">
        <v>95</v>
      </c>
      <c r="L31" s="14">
        <v>1728.886</v>
      </c>
      <c r="M31" s="7" t="s">
        <v>95</v>
      </c>
      <c r="N31" s="18">
        <v>1457.96</v>
      </c>
      <c r="O31" s="7" t="s">
        <v>95</v>
      </c>
      <c r="P31" s="14">
        <v>1387.8030000000001</v>
      </c>
      <c r="Q31" s="7" t="s">
        <v>95</v>
      </c>
      <c r="R31" s="14">
        <v>1340.3720000000001</v>
      </c>
      <c r="S31" s="7" t="s">
        <v>95</v>
      </c>
      <c r="T31" s="14">
        <v>2022.9290000000001</v>
      </c>
      <c r="U31" s="7" t="s">
        <v>95</v>
      </c>
      <c r="V31" s="14">
        <v>2021.4380000000001</v>
      </c>
      <c r="W31" s="7" t="s">
        <v>95</v>
      </c>
      <c r="X31" s="14">
        <v>2165.5529999999999</v>
      </c>
      <c r="Y31" s="7">
        <f t="shared" si="0"/>
        <v>23966.123</v>
      </c>
      <c r="Z31" s="14">
        <v>950.62900000000002</v>
      </c>
      <c r="AA31" s="7" t="s">
        <v>95</v>
      </c>
      <c r="AB31" s="14">
        <v>836.80600000000004</v>
      </c>
      <c r="AC31" s="7" t="s">
        <v>95</v>
      </c>
      <c r="AD31" s="14">
        <v>935.59400000000005</v>
      </c>
      <c r="AE31" s="7" t="s">
        <v>95</v>
      </c>
      <c r="AF31" s="14">
        <v>693.10400000000004</v>
      </c>
      <c r="AG31" s="7" t="s">
        <v>95</v>
      </c>
      <c r="AH31" s="14">
        <v>812.80200000000002</v>
      </c>
      <c r="AI31" s="7" t="s">
        <v>95</v>
      </c>
      <c r="AJ31" s="14">
        <v>689.58199999999999</v>
      </c>
      <c r="AK31" s="7" t="s">
        <v>95</v>
      </c>
      <c r="AL31" s="14">
        <v>836.10299999999995</v>
      </c>
      <c r="AM31" s="7" t="s">
        <v>95</v>
      </c>
      <c r="AN31" s="14">
        <v>839.125</v>
      </c>
      <c r="AO31" s="7" t="s">
        <v>95</v>
      </c>
      <c r="AP31" s="14">
        <v>624.95699999999999</v>
      </c>
      <c r="AQ31" s="7" t="s">
        <v>95</v>
      </c>
      <c r="AR31" s="14">
        <v>823.52700000000004</v>
      </c>
      <c r="AS31" s="7" t="s">
        <v>95</v>
      </c>
      <c r="AT31" s="14">
        <v>880.72699999999998</v>
      </c>
      <c r="AU31" s="7" t="s">
        <v>95</v>
      </c>
      <c r="AV31" s="14">
        <v>915.81700000000001</v>
      </c>
      <c r="AW31" s="7">
        <f t="shared" si="1"/>
        <v>9838.773000000001</v>
      </c>
    </row>
    <row r="32" spans="1:49" x14ac:dyDescent="0.35">
      <c r="A32" s="5" t="s">
        <v>46</v>
      </c>
      <c r="B32" s="15">
        <v>76.355000000000004</v>
      </c>
      <c r="C32" s="8" t="s">
        <v>95</v>
      </c>
      <c r="D32" s="15">
        <v>70.278999999999996</v>
      </c>
      <c r="E32" s="8" t="s">
        <v>95</v>
      </c>
      <c r="F32" s="15">
        <v>72.906999999999996</v>
      </c>
      <c r="G32" s="8" t="s">
        <v>95</v>
      </c>
      <c r="H32" s="15">
        <v>60.817</v>
      </c>
      <c r="I32" s="8" t="s">
        <v>95</v>
      </c>
      <c r="J32" s="15">
        <v>63.881</v>
      </c>
      <c r="K32" s="8" t="s">
        <v>95</v>
      </c>
      <c r="L32" s="15">
        <v>58.677</v>
      </c>
      <c r="M32" s="8" t="s">
        <v>95</v>
      </c>
      <c r="N32" s="15">
        <v>63.302999999999997</v>
      </c>
      <c r="O32" s="8" t="s">
        <v>95</v>
      </c>
      <c r="P32" s="15">
        <v>62.960999999999999</v>
      </c>
      <c r="Q32" s="8" t="s">
        <v>95</v>
      </c>
      <c r="R32" s="15">
        <v>56.116999999999997</v>
      </c>
      <c r="S32" s="8" t="s">
        <v>95</v>
      </c>
      <c r="T32" s="15">
        <v>64.153999999999996</v>
      </c>
      <c r="U32" s="8" t="s">
        <v>95</v>
      </c>
      <c r="V32" s="15">
        <v>62.192</v>
      </c>
      <c r="W32" s="8" t="s">
        <v>95</v>
      </c>
      <c r="X32" s="15">
        <v>62.332999999999998</v>
      </c>
      <c r="Y32" s="7">
        <f t="shared" si="0"/>
        <v>773.976</v>
      </c>
      <c r="Z32" s="19">
        <v>47.9</v>
      </c>
      <c r="AA32" s="8" t="s">
        <v>95</v>
      </c>
      <c r="AB32" s="15">
        <v>44.662999999999997</v>
      </c>
      <c r="AC32" s="8" t="s">
        <v>95</v>
      </c>
      <c r="AD32" s="15">
        <v>47.878</v>
      </c>
      <c r="AE32" s="8" t="s">
        <v>95</v>
      </c>
      <c r="AF32" s="15">
        <v>44.234000000000002</v>
      </c>
      <c r="AG32" s="8" t="s">
        <v>95</v>
      </c>
      <c r="AH32" s="15">
        <v>46.898000000000003</v>
      </c>
      <c r="AI32" s="8" t="s">
        <v>95</v>
      </c>
      <c r="AJ32" s="15">
        <v>44.948</v>
      </c>
      <c r="AK32" s="8" t="s">
        <v>95</v>
      </c>
      <c r="AL32" s="15">
        <v>49.621000000000002</v>
      </c>
      <c r="AM32" s="8" t="s">
        <v>95</v>
      </c>
      <c r="AN32" s="15">
        <v>48.338999999999999</v>
      </c>
      <c r="AO32" s="8" t="s">
        <v>95</v>
      </c>
      <c r="AP32" s="15">
        <v>42.506999999999998</v>
      </c>
      <c r="AQ32" s="8" t="s">
        <v>95</v>
      </c>
      <c r="AR32" s="15">
        <v>42.417000000000002</v>
      </c>
      <c r="AS32" s="8" t="s">
        <v>95</v>
      </c>
      <c r="AT32" s="15">
        <v>43.094000000000001</v>
      </c>
      <c r="AU32" s="8" t="s">
        <v>95</v>
      </c>
      <c r="AV32" s="15">
        <v>45.573</v>
      </c>
      <c r="AW32" s="7">
        <f t="shared" si="1"/>
        <v>548.072</v>
      </c>
    </row>
    <row r="33" spans="1:49" x14ac:dyDescent="0.35">
      <c r="A33" s="5" t="s">
        <v>47</v>
      </c>
      <c r="B33" s="14">
        <v>506.745</v>
      </c>
      <c r="C33" s="7" t="s">
        <v>95</v>
      </c>
      <c r="D33" s="14">
        <v>476.608</v>
      </c>
      <c r="E33" s="7" t="s">
        <v>95</v>
      </c>
      <c r="F33" s="18">
        <v>503.56</v>
      </c>
      <c r="G33" s="7" t="s">
        <v>95</v>
      </c>
      <c r="H33" s="18">
        <v>475.02</v>
      </c>
      <c r="I33" s="7" t="s">
        <v>95</v>
      </c>
      <c r="J33" s="14">
        <v>401.22300000000001</v>
      </c>
      <c r="K33" s="7" t="s">
        <v>95</v>
      </c>
      <c r="L33" s="18">
        <v>396.34</v>
      </c>
      <c r="M33" s="7" t="s">
        <v>95</v>
      </c>
      <c r="N33" s="14">
        <v>480.64299999999997</v>
      </c>
      <c r="O33" s="7" t="s">
        <v>95</v>
      </c>
      <c r="P33" s="14">
        <v>475.22300000000001</v>
      </c>
      <c r="Q33" s="7" t="s">
        <v>95</v>
      </c>
      <c r="R33" s="14">
        <v>406.39699999999999</v>
      </c>
      <c r="S33" s="7" t="s">
        <v>95</v>
      </c>
      <c r="T33" s="14">
        <v>489.29399999999998</v>
      </c>
      <c r="U33" s="7" t="s">
        <v>95</v>
      </c>
      <c r="V33" s="14">
        <v>482.68400000000003</v>
      </c>
      <c r="W33" s="7" t="s">
        <v>95</v>
      </c>
      <c r="X33" s="14">
        <v>499.14299999999997</v>
      </c>
      <c r="Y33" s="7">
        <f t="shared" si="0"/>
        <v>5592.88</v>
      </c>
      <c r="Z33" s="7" t="s">
        <v>97</v>
      </c>
      <c r="AA33" s="7" t="s">
        <v>100</v>
      </c>
      <c r="AB33" s="7" t="s">
        <v>97</v>
      </c>
      <c r="AC33" s="7" t="s">
        <v>100</v>
      </c>
      <c r="AD33" s="7" t="s">
        <v>97</v>
      </c>
      <c r="AE33" s="7" t="s">
        <v>100</v>
      </c>
      <c r="AF33" s="7" t="s">
        <v>97</v>
      </c>
      <c r="AG33" s="7" t="s">
        <v>100</v>
      </c>
      <c r="AH33" s="7" t="s">
        <v>97</v>
      </c>
      <c r="AI33" s="7" t="s">
        <v>100</v>
      </c>
      <c r="AJ33" s="7" t="s">
        <v>97</v>
      </c>
      <c r="AK33" s="7" t="s">
        <v>100</v>
      </c>
      <c r="AL33" s="7" t="s">
        <v>97</v>
      </c>
      <c r="AM33" s="7" t="s">
        <v>100</v>
      </c>
      <c r="AN33" s="7" t="s">
        <v>97</v>
      </c>
      <c r="AO33" s="7" t="s">
        <v>100</v>
      </c>
      <c r="AP33" s="7" t="s">
        <v>97</v>
      </c>
      <c r="AQ33" s="7" t="s">
        <v>100</v>
      </c>
      <c r="AR33" s="7" t="s">
        <v>97</v>
      </c>
      <c r="AS33" s="7" t="s">
        <v>100</v>
      </c>
      <c r="AT33" s="7" t="s">
        <v>97</v>
      </c>
      <c r="AU33" s="7" t="s">
        <v>100</v>
      </c>
      <c r="AV33" s="7" t="s">
        <v>97</v>
      </c>
      <c r="AW33" s="7">
        <f t="shared" si="1"/>
        <v>0</v>
      </c>
    </row>
    <row r="34" spans="1:49" x14ac:dyDescent="0.35">
      <c r="A34" s="5" t="s">
        <v>48</v>
      </c>
      <c r="B34" s="8" t="s">
        <v>97</v>
      </c>
      <c r="C34" s="8" t="s">
        <v>95</v>
      </c>
      <c r="D34" s="8" t="s">
        <v>97</v>
      </c>
      <c r="E34" s="8" t="s">
        <v>95</v>
      </c>
      <c r="F34" s="8" t="s">
        <v>97</v>
      </c>
      <c r="G34" s="8" t="s">
        <v>95</v>
      </c>
      <c r="H34" s="8" t="s">
        <v>97</v>
      </c>
      <c r="I34" s="8" t="s">
        <v>95</v>
      </c>
      <c r="J34" s="8" t="s">
        <v>97</v>
      </c>
      <c r="K34" s="8" t="s">
        <v>95</v>
      </c>
      <c r="L34" s="8" t="s">
        <v>97</v>
      </c>
      <c r="M34" s="8" t="s">
        <v>95</v>
      </c>
      <c r="N34" s="8" t="s">
        <v>97</v>
      </c>
      <c r="O34" s="8" t="s">
        <v>95</v>
      </c>
      <c r="P34" s="8" t="s">
        <v>97</v>
      </c>
      <c r="Q34" s="8" t="s">
        <v>95</v>
      </c>
      <c r="R34" s="8" t="s">
        <v>97</v>
      </c>
      <c r="S34" s="8" t="s">
        <v>95</v>
      </c>
      <c r="T34" s="8" t="s">
        <v>97</v>
      </c>
      <c r="U34" s="8" t="s">
        <v>95</v>
      </c>
      <c r="V34" s="8" t="s">
        <v>97</v>
      </c>
      <c r="W34" s="8" t="s">
        <v>95</v>
      </c>
      <c r="X34" s="8" t="s">
        <v>97</v>
      </c>
      <c r="Y34" s="7">
        <f t="shared" si="0"/>
        <v>0</v>
      </c>
      <c r="Z34" s="19">
        <v>0</v>
      </c>
      <c r="AA34" s="8" t="s">
        <v>95</v>
      </c>
      <c r="AB34" s="19">
        <v>0</v>
      </c>
      <c r="AC34" s="8" t="s">
        <v>95</v>
      </c>
      <c r="AD34" s="19">
        <v>0</v>
      </c>
      <c r="AE34" s="8" t="s">
        <v>95</v>
      </c>
      <c r="AF34" s="19">
        <v>0</v>
      </c>
      <c r="AG34" s="8" t="s">
        <v>95</v>
      </c>
      <c r="AH34" s="19">
        <v>0</v>
      </c>
      <c r="AI34" s="8" t="s">
        <v>95</v>
      </c>
      <c r="AJ34" s="19">
        <v>0</v>
      </c>
      <c r="AK34" s="8" t="s">
        <v>95</v>
      </c>
      <c r="AL34" s="19">
        <v>0</v>
      </c>
      <c r="AM34" s="8" t="s">
        <v>95</v>
      </c>
      <c r="AN34" s="19">
        <v>0</v>
      </c>
      <c r="AO34" s="8" t="s">
        <v>95</v>
      </c>
      <c r="AP34" s="19">
        <v>0</v>
      </c>
      <c r="AQ34" s="8" t="s">
        <v>95</v>
      </c>
      <c r="AR34" s="19">
        <v>0</v>
      </c>
      <c r="AS34" s="8" t="s">
        <v>95</v>
      </c>
      <c r="AT34" s="19">
        <v>0</v>
      </c>
      <c r="AU34" s="8" t="s">
        <v>95</v>
      </c>
      <c r="AV34" s="19">
        <v>0</v>
      </c>
      <c r="AW34" s="7">
        <f t="shared" si="1"/>
        <v>0</v>
      </c>
    </row>
    <row r="35" spans="1:49" x14ac:dyDescent="0.35">
      <c r="A35" s="5" t="s">
        <v>49</v>
      </c>
      <c r="B35" s="18">
        <v>880</v>
      </c>
      <c r="C35" s="7" t="s">
        <v>95</v>
      </c>
      <c r="D35" s="18">
        <v>806</v>
      </c>
      <c r="E35" s="7" t="s">
        <v>95</v>
      </c>
      <c r="F35" s="18">
        <v>852</v>
      </c>
      <c r="G35" s="7" t="s">
        <v>95</v>
      </c>
      <c r="H35" s="18">
        <v>759</v>
      </c>
      <c r="I35" s="7" t="s">
        <v>95</v>
      </c>
      <c r="J35" s="18">
        <v>651</v>
      </c>
      <c r="K35" s="7" t="s">
        <v>95</v>
      </c>
      <c r="L35" s="18">
        <v>621</v>
      </c>
      <c r="M35" s="7" t="s">
        <v>95</v>
      </c>
      <c r="N35" s="18">
        <v>640</v>
      </c>
      <c r="O35" s="7" t="s">
        <v>95</v>
      </c>
      <c r="P35" s="18">
        <v>661</v>
      </c>
      <c r="Q35" s="7" t="s">
        <v>95</v>
      </c>
      <c r="R35" s="18">
        <v>735</v>
      </c>
      <c r="S35" s="7" t="s">
        <v>95</v>
      </c>
      <c r="T35" s="18">
        <v>798</v>
      </c>
      <c r="U35" s="7" t="s">
        <v>95</v>
      </c>
      <c r="V35" s="18">
        <v>795</v>
      </c>
      <c r="W35" s="7" t="s">
        <v>95</v>
      </c>
      <c r="X35" s="18">
        <v>819</v>
      </c>
      <c r="Y35" s="7">
        <f t="shared" si="0"/>
        <v>9017</v>
      </c>
      <c r="Z35" s="18">
        <v>819</v>
      </c>
      <c r="AA35" s="7" t="s">
        <v>95</v>
      </c>
      <c r="AB35" s="18">
        <v>768</v>
      </c>
      <c r="AC35" s="7" t="s">
        <v>95</v>
      </c>
      <c r="AD35" s="18">
        <v>816</v>
      </c>
      <c r="AE35" s="7" t="s">
        <v>95</v>
      </c>
      <c r="AF35" s="18">
        <v>774</v>
      </c>
      <c r="AG35" s="7" t="s">
        <v>95</v>
      </c>
      <c r="AH35" s="18">
        <v>788</v>
      </c>
      <c r="AI35" s="7" t="s">
        <v>95</v>
      </c>
      <c r="AJ35" s="18">
        <v>739</v>
      </c>
      <c r="AK35" s="7" t="s">
        <v>95</v>
      </c>
      <c r="AL35" s="18">
        <v>770</v>
      </c>
      <c r="AM35" s="7" t="s">
        <v>95</v>
      </c>
      <c r="AN35" s="18">
        <v>780</v>
      </c>
      <c r="AO35" s="7" t="s">
        <v>95</v>
      </c>
      <c r="AP35" s="18">
        <v>717</v>
      </c>
      <c r="AQ35" s="7" t="s">
        <v>95</v>
      </c>
      <c r="AR35" s="18">
        <v>802</v>
      </c>
      <c r="AS35" s="7" t="s">
        <v>95</v>
      </c>
      <c r="AT35" s="18">
        <v>777</v>
      </c>
      <c r="AU35" s="7" t="s">
        <v>95</v>
      </c>
      <c r="AV35" s="18">
        <v>822</v>
      </c>
      <c r="AW35" s="7">
        <f t="shared" si="1"/>
        <v>9372</v>
      </c>
    </row>
    <row r="36" spans="1:49" x14ac:dyDescent="0.35">
      <c r="A36" s="5" t="s">
        <v>50</v>
      </c>
      <c r="B36" s="15">
        <v>0.60399999999999998</v>
      </c>
      <c r="C36" s="8" t="s">
        <v>95</v>
      </c>
      <c r="D36" s="15">
        <v>0.49399999999999999</v>
      </c>
      <c r="E36" s="8" t="s">
        <v>95</v>
      </c>
      <c r="F36" s="15">
        <v>0.49399999999999999</v>
      </c>
      <c r="G36" s="8" t="s">
        <v>95</v>
      </c>
      <c r="H36" s="15">
        <v>0.48599999999999999</v>
      </c>
      <c r="I36" s="8" t="s">
        <v>95</v>
      </c>
      <c r="J36" s="15">
        <v>0.45800000000000002</v>
      </c>
      <c r="K36" s="8" t="s">
        <v>95</v>
      </c>
      <c r="L36" s="15">
        <v>0.433</v>
      </c>
      <c r="M36" s="8" t="s">
        <v>95</v>
      </c>
      <c r="N36" s="15">
        <v>0.11799999999999999</v>
      </c>
      <c r="O36" s="8" t="s">
        <v>95</v>
      </c>
      <c r="P36" s="15">
        <v>0.41599999999999998</v>
      </c>
      <c r="Q36" s="8" t="s">
        <v>95</v>
      </c>
      <c r="R36" s="19">
        <v>0.41</v>
      </c>
      <c r="S36" s="8" t="s">
        <v>95</v>
      </c>
      <c r="T36" s="15">
        <v>0.436</v>
      </c>
      <c r="U36" s="8" t="s">
        <v>95</v>
      </c>
      <c r="V36" s="15">
        <v>0.45800000000000002</v>
      </c>
      <c r="W36" s="8" t="s">
        <v>95</v>
      </c>
      <c r="X36" s="15">
        <v>0.52700000000000002</v>
      </c>
      <c r="Y36" s="7">
        <f t="shared" si="0"/>
        <v>5.3340000000000005</v>
      </c>
      <c r="Z36" s="15">
        <v>0.34799999999999998</v>
      </c>
      <c r="AA36" s="8" t="s">
        <v>95</v>
      </c>
      <c r="AB36" s="15">
        <v>0.32800000000000001</v>
      </c>
      <c r="AC36" s="8" t="s">
        <v>95</v>
      </c>
      <c r="AD36" s="15">
        <v>0.379</v>
      </c>
      <c r="AE36" s="8" t="s">
        <v>95</v>
      </c>
      <c r="AF36" s="15">
        <v>0.35399999999999998</v>
      </c>
      <c r="AG36" s="8" t="s">
        <v>95</v>
      </c>
      <c r="AH36" s="15">
        <v>0.34899999999999998</v>
      </c>
      <c r="AI36" s="8" t="s">
        <v>95</v>
      </c>
      <c r="AJ36" s="15">
        <v>0.35799999999999998</v>
      </c>
      <c r="AK36" s="8" t="s">
        <v>95</v>
      </c>
      <c r="AL36" s="15">
        <v>0.17399999999999999</v>
      </c>
      <c r="AM36" s="8" t="s">
        <v>95</v>
      </c>
      <c r="AN36" s="15">
        <v>0.23300000000000001</v>
      </c>
      <c r="AO36" s="8" t="s">
        <v>95</v>
      </c>
      <c r="AP36" s="15">
        <v>0.29899999999999999</v>
      </c>
      <c r="AQ36" s="8" t="s">
        <v>95</v>
      </c>
      <c r="AR36" s="15">
        <v>0.34499999999999997</v>
      </c>
      <c r="AS36" s="8" t="s">
        <v>95</v>
      </c>
      <c r="AT36" s="15">
        <v>0.33700000000000002</v>
      </c>
      <c r="AU36" s="8" t="s">
        <v>95</v>
      </c>
      <c r="AV36" s="15">
        <v>0.29799999999999999</v>
      </c>
      <c r="AW36" s="7">
        <f t="shared" si="1"/>
        <v>3.802</v>
      </c>
    </row>
    <row r="37" spans="1:49" x14ac:dyDescent="0.35">
      <c r="A37" s="5" t="s">
        <v>51</v>
      </c>
      <c r="B37" s="14">
        <v>6.3490000000000002</v>
      </c>
      <c r="C37" s="7" t="s">
        <v>95</v>
      </c>
      <c r="D37" s="14">
        <v>5.508</v>
      </c>
      <c r="E37" s="7" t="s">
        <v>95</v>
      </c>
      <c r="F37" s="14">
        <v>5.5730000000000004</v>
      </c>
      <c r="G37" s="7" t="s">
        <v>95</v>
      </c>
      <c r="H37" s="14">
        <v>6.508</v>
      </c>
      <c r="I37" s="7" t="s">
        <v>95</v>
      </c>
      <c r="J37" s="14">
        <v>5.7389999999999999</v>
      </c>
      <c r="K37" s="7" t="s">
        <v>95</v>
      </c>
      <c r="L37" s="14">
        <v>5.0039999999999996</v>
      </c>
      <c r="M37" s="7" t="s">
        <v>95</v>
      </c>
      <c r="N37" s="14">
        <v>5.6289999999999996</v>
      </c>
      <c r="O37" s="7" t="s">
        <v>95</v>
      </c>
      <c r="P37" s="14">
        <v>5.4569999999999999</v>
      </c>
      <c r="Q37" s="7" t="s">
        <v>95</v>
      </c>
      <c r="R37" s="18">
        <v>4.79</v>
      </c>
      <c r="S37" s="7" t="s">
        <v>95</v>
      </c>
      <c r="T37" s="14">
        <v>5.3049999999999997</v>
      </c>
      <c r="U37" s="7" t="s">
        <v>95</v>
      </c>
      <c r="V37" s="14">
        <v>5.3869999999999996</v>
      </c>
      <c r="W37" s="7" t="s">
        <v>95</v>
      </c>
      <c r="X37" s="14">
        <v>5.452</v>
      </c>
      <c r="Y37" s="7">
        <f t="shared" si="0"/>
        <v>66.700999999999993</v>
      </c>
      <c r="Z37" s="14">
        <v>3.7250000000000001</v>
      </c>
      <c r="AA37" s="7" t="s">
        <v>95</v>
      </c>
      <c r="AB37" s="14">
        <v>3.5459999999999998</v>
      </c>
      <c r="AC37" s="7" t="s">
        <v>95</v>
      </c>
      <c r="AD37" s="14">
        <v>3.4820000000000002</v>
      </c>
      <c r="AE37" s="7" t="s">
        <v>95</v>
      </c>
      <c r="AF37" s="14">
        <v>3.758</v>
      </c>
      <c r="AG37" s="7" t="s">
        <v>95</v>
      </c>
      <c r="AH37" s="14">
        <v>3.319</v>
      </c>
      <c r="AI37" s="7" t="s">
        <v>95</v>
      </c>
      <c r="AJ37" s="14">
        <v>2.6760000000000002</v>
      </c>
      <c r="AK37" s="7" t="s">
        <v>95</v>
      </c>
      <c r="AL37" s="18">
        <v>3.01</v>
      </c>
      <c r="AM37" s="7" t="s">
        <v>95</v>
      </c>
      <c r="AN37" s="14">
        <v>3.1040000000000001</v>
      </c>
      <c r="AO37" s="7" t="s">
        <v>95</v>
      </c>
      <c r="AP37" s="14">
        <v>3.2440000000000002</v>
      </c>
      <c r="AQ37" s="7" t="s">
        <v>95</v>
      </c>
      <c r="AR37" s="14">
        <v>3.266</v>
      </c>
      <c r="AS37" s="7" t="s">
        <v>95</v>
      </c>
      <c r="AT37" s="14">
        <v>3.2639999999999998</v>
      </c>
      <c r="AU37" s="7" t="s">
        <v>95</v>
      </c>
      <c r="AV37" s="14">
        <v>3.6429999999999998</v>
      </c>
      <c r="AW37" s="7">
        <f t="shared" si="1"/>
        <v>40.036999999999999</v>
      </c>
    </row>
    <row r="38" spans="1:49" x14ac:dyDescent="0.35">
      <c r="A38" s="5" t="s">
        <v>52</v>
      </c>
      <c r="B38" s="8" t="s">
        <v>97</v>
      </c>
      <c r="C38" s="8" t="s">
        <v>95</v>
      </c>
      <c r="D38" s="8" t="s">
        <v>97</v>
      </c>
      <c r="E38" s="8" t="s">
        <v>95</v>
      </c>
      <c r="F38" s="8" t="s">
        <v>97</v>
      </c>
      <c r="G38" s="8" t="s">
        <v>95</v>
      </c>
      <c r="H38" s="8" t="s">
        <v>97</v>
      </c>
      <c r="I38" s="8" t="s">
        <v>95</v>
      </c>
      <c r="J38" s="8" t="s">
        <v>97</v>
      </c>
      <c r="K38" s="8" t="s">
        <v>95</v>
      </c>
      <c r="L38" s="8" t="s">
        <v>97</v>
      </c>
      <c r="M38" s="8" t="s">
        <v>95</v>
      </c>
      <c r="N38" s="8" t="s">
        <v>97</v>
      </c>
      <c r="O38" s="8" t="s">
        <v>95</v>
      </c>
      <c r="P38" s="8" t="s">
        <v>97</v>
      </c>
      <c r="Q38" s="8" t="s">
        <v>95</v>
      </c>
      <c r="R38" s="8" t="s">
        <v>97</v>
      </c>
      <c r="S38" s="8" t="s">
        <v>95</v>
      </c>
      <c r="T38" s="8" t="s">
        <v>97</v>
      </c>
      <c r="U38" s="8" t="s">
        <v>95</v>
      </c>
      <c r="V38" s="8" t="s">
        <v>97</v>
      </c>
      <c r="W38" s="8" t="s">
        <v>95</v>
      </c>
      <c r="X38" s="8" t="s">
        <v>97</v>
      </c>
      <c r="Y38" s="7">
        <f t="shared" si="0"/>
        <v>0</v>
      </c>
      <c r="Z38" s="19">
        <v>0</v>
      </c>
      <c r="AA38" s="8" t="s">
        <v>95</v>
      </c>
      <c r="AB38" s="19">
        <v>0</v>
      </c>
      <c r="AC38" s="8" t="s">
        <v>95</v>
      </c>
      <c r="AD38" s="19">
        <v>0</v>
      </c>
      <c r="AE38" s="8" t="s">
        <v>95</v>
      </c>
      <c r="AF38" s="19">
        <v>0</v>
      </c>
      <c r="AG38" s="8" t="s">
        <v>95</v>
      </c>
      <c r="AH38" s="19">
        <v>0</v>
      </c>
      <c r="AI38" s="8" t="s">
        <v>95</v>
      </c>
      <c r="AJ38" s="19">
        <v>0</v>
      </c>
      <c r="AK38" s="8" t="s">
        <v>95</v>
      </c>
      <c r="AL38" s="19">
        <v>0</v>
      </c>
      <c r="AM38" s="8" t="s">
        <v>95</v>
      </c>
      <c r="AN38" s="19">
        <v>0</v>
      </c>
      <c r="AO38" s="8" t="s">
        <v>95</v>
      </c>
      <c r="AP38" s="19">
        <v>0</v>
      </c>
      <c r="AQ38" s="8" t="s">
        <v>95</v>
      </c>
      <c r="AR38" s="19">
        <v>0</v>
      </c>
      <c r="AS38" s="8" t="s">
        <v>95</v>
      </c>
      <c r="AT38" s="19">
        <v>0</v>
      </c>
      <c r="AU38" s="8" t="s">
        <v>95</v>
      </c>
      <c r="AV38" s="19">
        <v>0</v>
      </c>
      <c r="AW38" s="7">
        <f t="shared" si="1"/>
        <v>0</v>
      </c>
    </row>
    <row r="39" spans="1:49" x14ac:dyDescent="0.35">
      <c r="A39" s="5" t="s">
        <v>53</v>
      </c>
      <c r="B39" s="7" t="s">
        <v>97</v>
      </c>
      <c r="C39" s="7" t="s">
        <v>95</v>
      </c>
      <c r="D39" s="7" t="s">
        <v>97</v>
      </c>
      <c r="E39" s="7" t="s">
        <v>95</v>
      </c>
      <c r="F39" s="7" t="s">
        <v>97</v>
      </c>
      <c r="G39" s="7" t="s">
        <v>95</v>
      </c>
      <c r="H39" s="7" t="s">
        <v>97</v>
      </c>
      <c r="I39" s="7" t="s">
        <v>95</v>
      </c>
      <c r="J39" s="7" t="s">
        <v>97</v>
      </c>
      <c r="K39" s="7" t="s">
        <v>95</v>
      </c>
      <c r="L39" s="7" t="s">
        <v>97</v>
      </c>
      <c r="M39" s="7" t="s">
        <v>95</v>
      </c>
      <c r="N39" s="7" t="s">
        <v>97</v>
      </c>
      <c r="O39" s="7" t="s">
        <v>95</v>
      </c>
      <c r="P39" s="7" t="s">
        <v>97</v>
      </c>
      <c r="Q39" s="7" t="s">
        <v>95</v>
      </c>
      <c r="R39" s="7" t="s">
        <v>97</v>
      </c>
      <c r="S39" s="7" t="s">
        <v>95</v>
      </c>
      <c r="T39" s="7" t="s">
        <v>97</v>
      </c>
      <c r="U39" s="7" t="s">
        <v>95</v>
      </c>
      <c r="V39" s="7" t="s">
        <v>97</v>
      </c>
      <c r="W39" s="7" t="s">
        <v>95</v>
      </c>
      <c r="X39" s="7" t="s">
        <v>97</v>
      </c>
      <c r="Y39" s="7">
        <f t="shared" si="0"/>
        <v>0</v>
      </c>
      <c r="Z39" s="18">
        <v>0</v>
      </c>
      <c r="AA39" s="7" t="s">
        <v>95</v>
      </c>
      <c r="AB39" s="18">
        <v>0</v>
      </c>
      <c r="AC39" s="7" t="s">
        <v>95</v>
      </c>
      <c r="AD39" s="18">
        <v>0</v>
      </c>
      <c r="AE39" s="7" t="s">
        <v>95</v>
      </c>
      <c r="AF39" s="18">
        <v>0</v>
      </c>
      <c r="AG39" s="7" t="s">
        <v>95</v>
      </c>
      <c r="AH39" s="18">
        <v>0</v>
      </c>
      <c r="AI39" s="7" t="s">
        <v>95</v>
      </c>
      <c r="AJ39" s="18">
        <v>0</v>
      </c>
      <c r="AK39" s="7" t="s">
        <v>95</v>
      </c>
      <c r="AL39" s="18">
        <v>0</v>
      </c>
      <c r="AM39" s="7" t="s">
        <v>95</v>
      </c>
      <c r="AN39" s="18">
        <v>0</v>
      </c>
      <c r="AO39" s="7" t="s">
        <v>95</v>
      </c>
      <c r="AP39" s="18">
        <v>0</v>
      </c>
      <c r="AQ39" s="7" t="s">
        <v>95</v>
      </c>
      <c r="AR39" s="18">
        <v>0</v>
      </c>
      <c r="AS39" s="7" t="s">
        <v>95</v>
      </c>
      <c r="AT39" s="18">
        <v>0</v>
      </c>
      <c r="AU39" s="7" t="s">
        <v>95</v>
      </c>
      <c r="AV39" s="18">
        <v>0</v>
      </c>
      <c r="AW39" s="7">
        <f t="shared" si="1"/>
        <v>0</v>
      </c>
    </row>
    <row r="40" spans="1:49" x14ac:dyDescent="0.35">
      <c r="A40" s="5" t="s">
        <v>54</v>
      </c>
      <c r="B40" s="8" t="s">
        <v>97</v>
      </c>
      <c r="C40" s="8" t="s">
        <v>95</v>
      </c>
      <c r="D40" s="8" t="s">
        <v>97</v>
      </c>
      <c r="E40" s="8" t="s">
        <v>95</v>
      </c>
      <c r="F40" s="8" t="s">
        <v>97</v>
      </c>
      <c r="G40" s="8" t="s">
        <v>95</v>
      </c>
      <c r="H40" s="8" t="s">
        <v>97</v>
      </c>
      <c r="I40" s="8" t="s">
        <v>95</v>
      </c>
      <c r="J40" s="8" t="s">
        <v>97</v>
      </c>
      <c r="K40" s="8" t="s">
        <v>95</v>
      </c>
      <c r="L40" s="8" t="s">
        <v>97</v>
      </c>
      <c r="M40" s="8" t="s">
        <v>95</v>
      </c>
      <c r="N40" s="8" t="s">
        <v>97</v>
      </c>
      <c r="O40" s="8" t="s">
        <v>95</v>
      </c>
      <c r="P40" s="8" t="s">
        <v>97</v>
      </c>
      <c r="Q40" s="8" t="s">
        <v>95</v>
      </c>
      <c r="R40" s="8" t="s">
        <v>97</v>
      </c>
      <c r="S40" s="8" t="s">
        <v>95</v>
      </c>
      <c r="T40" s="8" t="s">
        <v>97</v>
      </c>
      <c r="U40" s="8" t="s">
        <v>95</v>
      </c>
      <c r="V40" s="8" t="s">
        <v>97</v>
      </c>
      <c r="W40" s="8" t="s">
        <v>95</v>
      </c>
      <c r="X40" s="8" t="s">
        <v>97</v>
      </c>
      <c r="Y40" s="7">
        <f t="shared" si="0"/>
        <v>0</v>
      </c>
      <c r="Z40" s="8" t="s">
        <v>97</v>
      </c>
      <c r="AA40" s="8" t="s">
        <v>95</v>
      </c>
      <c r="AB40" s="8" t="s">
        <v>97</v>
      </c>
      <c r="AC40" s="8" t="s">
        <v>95</v>
      </c>
      <c r="AD40" s="8" t="s">
        <v>97</v>
      </c>
      <c r="AE40" s="8" t="s">
        <v>95</v>
      </c>
      <c r="AF40" s="8" t="s">
        <v>97</v>
      </c>
      <c r="AG40" s="8" t="s">
        <v>95</v>
      </c>
      <c r="AH40" s="8" t="s">
        <v>97</v>
      </c>
      <c r="AI40" s="8" t="s">
        <v>95</v>
      </c>
      <c r="AJ40" s="8" t="s">
        <v>97</v>
      </c>
      <c r="AK40" s="8" t="s">
        <v>95</v>
      </c>
      <c r="AL40" s="8" t="s">
        <v>97</v>
      </c>
      <c r="AM40" s="8" t="s">
        <v>95</v>
      </c>
      <c r="AN40" s="8" t="s">
        <v>97</v>
      </c>
      <c r="AO40" s="8" t="s">
        <v>95</v>
      </c>
      <c r="AP40" s="8" t="s">
        <v>97</v>
      </c>
      <c r="AQ40" s="8" t="s">
        <v>95</v>
      </c>
      <c r="AR40" s="8" t="s">
        <v>97</v>
      </c>
      <c r="AS40" s="8" t="s">
        <v>95</v>
      </c>
      <c r="AT40" s="8" t="s">
        <v>97</v>
      </c>
      <c r="AU40" s="8" t="s">
        <v>95</v>
      </c>
      <c r="AV40" s="8" t="s">
        <v>97</v>
      </c>
      <c r="AW40" s="7">
        <f t="shared" si="1"/>
        <v>0</v>
      </c>
    </row>
    <row r="41" spans="1:49" x14ac:dyDescent="0.35">
      <c r="A41" s="5" t="s">
        <v>55</v>
      </c>
      <c r="B41" s="18">
        <v>10820.9</v>
      </c>
      <c r="C41" s="7" t="s">
        <v>95</v>
      </c>
      <c r="D41" s="14">
        <v>10207.213</v>
      </c>
      <c r="E41" s="7" t="s">
        <v>95</v>
      </c>
      <c r="F41" s="18">
        <v>11064.13</v>
      </c>
      <c r="G41" s="7" t="s">
        <v>95</v>
      </c>
      <c r="H41" s="14">
        <v>9456.6110000000008</v>
      </c>
      <c r="I41" s="7" t="s">
        <v>95</v>
      </c>
      <c r="J41" s="14">
        <v>8539.6119999999992</v>
      </c>
      <c r="K41" s="7" t="s">
        <v>95</v>
      </c>
      <c r="L41" s="14">
        <v>8696.1409999999996</v>
      </c>
      <c r="M41" s="7" t="s">
        <v>95</v>
      </c>
      <c r="N41" s="14">
        <v>9797.8729999999996</v>
      </c>
      <c r="O41" s="7" t="s">
        <v>95</v>
      </c>
      <c r="P41" s="14">
        <v>9204.7260000000006</v>
      </c>
      <c r="Q41" s="7" t="s">
        <v>95</v>
      </c>
      <c r="R41" s="18">
        <v>8594.69</v>
      </c>
      <c r="S41" s="7" t="s">
        <v>95</v>
      </c>
      <c r="T41" s="14">
        <v>9266.7839999999997</v>
      </c>
      <c r="U41" s="7" t="s">
        <v>95</v>
      </c>
      <c r="V41" s="14">
        <v>9926.5470000000005</v>
      </c>
      <c r="W41" s="7" t="s">
        <v>95</v>
      </c>
      <c r="X41" s="18">
        <v>10630.89</v>
      </c>
      <c r="Y41" s="7">
        <f t="shared" si="0"/>
        <v>116206.11699999998</v>
      </c>
      <c r="Z41" s="14">
        <v>12067.916999999999</v>
      </c>
      <c r="AA41" s="7" t="s">
        <v>95</v>
      </c>
      <c r="AB41" s="14">
        <v>10726.960999999999</v>
      </c>
      <c r="AC41" s="7" t="s">
        <v>95</v>
      </c>
      <c r="AD41" s="14">
        <v>11641.106</v>
      </c>
      <c r="AE41" s="7" t="s">
        <v>95</v>
      </c>
      <c r="AF41" s="14">
        <v>10689.342000000001</v>
      </c>
      <c r="AG41" s="7" t="s">
        <v>95</v>
      </c>
      <c r="AH41" s="14">
        <v>10273.852000000001</v>
      </c>
      <c r="AI41" s="7" t="s">
        <v>95</v>
      </c>
      <c r="AJ41" s="14">
        <v>10640.611000000001</v>
      </c>
      <c r="AK41" s="7" t="s">
        <v>95</v>
      </c>
      <c r="AL41" s="14">
        <v>11454.674000000001</v>
      </c>
      <c r="AM41" s="7" t="s">
        <v>95</v>
      </c>
      <c r="AN41" s="18">
        <v>11093.61</v>
      </c>
      <c r="AO41" s="7" t="s">
        <v>95</v>
      </c>
      <c r="AP41" s="14">
        <v>7429.0450000000001</v>
      </c>
      <c r="AQ41" s="7" t="s">
        <v>95</v>
      </c>
      <c r="AR41" s="14">
        <v>10862.319</v>
      </c>
      <c r="AS41" s="7" t="s">
        <v>95</v>
      </c>
      <c r="AT41" s="14">
        <v>11093.468000000001</v>
      </c>
      <c r="AU41" s="7" t="s">
        <v>95</v>
      </c>
      <c r="AV41" s="7" t="s">
        <v>97</v>
      </c>
      <c r="AW41" s="7">
        <f t="shared" si="1"/>
        <v>117972.905</v>
      </c>
    </row>
    <row r="42" spans="1:49" x14ac:dyDescent="0.35">
      <c r="A42" s="5" t="s">
        <v>56</v>
      </c>
      <c r="B42" s="15">
        <v>3675.9189999999999</v>
      </c>
      <c r="C42" s="8" t="s">
        <v>95</v>
      </c>
      <c r="D42" s="15">
        <v>3312.4810000000002</v>
      </c>
      <c r="E42" s="8" t="s">
        <v>95</v>
      </c>
      <c r="F42" s="15">
        <v>3388.8389999999999</v>
      </c>
      <c r="G42" s="8" t="s">
        <v>95</v>
      </c>
      <c r="H42" s="15">
        <v>3509.239</v>
      </c>
      <c r="I42" s="8" t="s">
        <v>95</v>
      </c>
      <c r="J42" s="15">
        <v>3592.5880000000002</v>
      </c>
      <c r="K42" s="8" t="s">
        <v>95</v>
      </c>
      <c r="L42" s="15">
        <v>3283.5279999999998</v>
      </c>
      <c r="M42" s="8" t="s">
        <v>95</v>
      </c>
      <c r="N42" s="15">
        <v>3358.2429999999999</v>
      </c>
      <c r="O42" s="8" t="s">
        <v>95</v>
      </c>
      <c r="P42" s="15">
        <v>2797.953</v>
      </c>
      <c r="Q42" s="8" t="s">
        <v>95</v>
      </c>
      <c r="R42" s="15">
        <v>2573.4650000000001</v>
      </c>
      <c r="S42" s="8" t="s">
        <v>95</v>
      </c>
      <c r="T42" s="15">
        <v>3344.297</v>
      </c>
      <c r="U42" s="8" t="s">
        <v>95</v>
      </c>
      <c r="V42" s="8" t="s">
        <v>97</v>
      </c>
      <c r="W42" s="8" t="s">
        <v>95</v>
      </c>
      <c r="X42" s="8" t="s">
        <v>97</v>
      </c>
      <c r="Y42" s="7">
        <f t="shared" si="0"/>
        <v>32836.551999999996</v>
      </c>
      <c r="Z42" s="8" t="s">
        <v>97</v>
      </c>
      <c r="AA42" s="8" t="s">
        <v>95</v>
      </c>
      <c r="AB42" s="8" t="s">
        <v>97</v>
      </c>
      <c r="AC42" s="8" t="s">
        <v>95</v>
      </c>
      <c r="AD42" s="8" t="s">
        <v>97</v>
      </c>
      <c r="AE42" s="8" t="s">
        <v>95</v>
      </c>
      <c r="AF42" s="8" t="s">
        <v>97</v>
      </c>
      <c r="AG42" s="8" t="s">
        <v>95</v>
      </c>
      <c r="AH42" s="8" t="s">
        <v>97</v>
      </c>
      <c r="AI42" s="8" t="s">
        <v>95</v>
      </c>
      <c r="AJ42" s="8" t="s">
        <v>97</v>
      </c>
      <c r="AK42" s="8" t="s">
        <v>95</v>
      </c>
      <c r="AL42" s="8" t="s">
        <v>97</v>
      </c>
      <c r="AM42" s="8" t="s">
        <v>95</v>
      </c>
      <c r="AN42" s="8" t="s">
        <v>97</v>
      </c>
      <c r="AO42" s="8" t="s">
        <v>95</v>
      </c>
      <c r="AP42" s="8" t="s">
        <v>97</v>
      </c>
      <c r="AQ42" s="8" t="s">
        <v>95</v>
      </c>
      <c r="AR42" s="8" t="s">
        <v>97</v>
      </c>
      <c r="AS42" s="8" t="s">
        <v>95</v>
      </c>
      <c r="AT42" s="8" t="s">
        <v>97</v>
      </c>
      <c r="AU42" s="8" t="s">
        <v>95</v>
      </c>
      <c r="AV42" s="8" t="s">
        <v>97</v>
      </c>
      <c r="AW42" s="7">
        <f t="shared" si="1"/>
        <v>0</v>
      </c>
    </row>
    <row r="43" spans="1:49" x14ac:dyDescent="0.35">
      <c r="A43" s="5" t="s">
        <v>57</v>
      </c>
      <c r="B43" s="7" t="s">
        <v>97</v>
      </c>
      <c r="C43" s="7" t="s">
        <v>95</v>
      </c>
      <c r="D43" s="7" t="s">
        <v>97</v>
      </c>
      <c r="E43" s="7" t="s">
        <v>95</v>
      </c>
      <c r="F43" s="7" t="s">
        <v>97</v>
      </c>
      <c r="G43" s="7" t="s">
        <v>95</v>
      </c>
      <c r="H43" s="7" t="s">
        <v>97</v>
      </c>
      <c r="I43" s="7" t="s">
        <v>95</v>
      </c>
      <c r="J43" s="7" t="s">
        <v>97</v>
      </c>
      <c r="K43" s="7" t="s">
        <v>95</v>
      </c>
      <c r="L43" s="7" t="s">
        <v>97</v>
      </c>
      <c r="M43" s="7" t="s">
        <v>95</v>
      </c>
      <c r="N43" s="7" t="s">
        <v>97</v>
      </c>
      <c r="O43" s="7" t="s">
        <v>95</v>
      </c>
      <c r="P43" s="7" t="s">
        <v>97</v>
      </c>
      <c r="Q43" s="7" t="s">
        <v>95</v>
      </c>
      <c r="R43" s="7" t="s">
        <v>97</v>
      </c>
      <c r="S43" s="7" t="s">
        <v>95</v>
      </c>
      <c r="T43" s="7" t="s">
        <v>97</v>
      </c>
      <c r="U43" s="7" t="s">
        <v>95</v>
      </c>
      <c r="V43" s="7" t="s">
        <v>97</v>
      </c>
      <c r="W43" s="7" t="s">
        <v>95</v>
      </c>
      <c r="X43" s="7" t="s">
        <v>97</v>
      </c>
      <c r="Y43" s="7">
        <f t="shared" si="0"/>
        <v>0</v>
      </c>
      <c r="Z43" s="18">
        <v>0</v>
      </c>
      <c r="AA43" s="7" t="s">
        <v>95</v>
      </c>
      <c r="AB43" s="18">
        <v>0</v>
      </c>
      <c r="AC43" s="7" t="s">
        <v>95</v>
      </c>
      <c r="AD43" s="18">
        <v>0</v>
      </c>
      <c r="AE43" s="7" t="s">
        <v>95</v>
      </c>
      <c r="AF43" s="18">
        <v>0</v>
      </c>
      <c r="AG43" s="7" t="s">
        <v>95</v>
      </c>
      <c r="AH43" s="18">
        <v>0</v>
      </c>
      <c r="AI43" s="7" t="s">
        <v>95</v>
      </c>
      <c r="AJ43" s="18">
        <v>0</v>
      </c>
      <c r="AK43" s="7" t="s">
        <v>95</v>
      </c>
      <c r="AL43" s="18">
        <v>0</v>
      </c>
      <c r="AM43" s="7" t="s">
        <v>95</v>
      </c>
      <c r="AN43" s="18">
        <v>0</v>
      </c>
      <c r="AO43" s="7" t="s">
        <v>95</v>
      </c>
      <c r="AP43" s="18">
        <v>0</v>
      </c>
      <c r="AQ43" s="7" t="s">
        <v>95</v>
      </c>
      <c r="AR43" s="18">
        <v>0</v>
      </c>
      <c r="AS43" s="7" t="s">
        <v>95</v>
      </c>
      <c r="AT43" s="18">
        <v>0</v>
      </c>
      <c r="AU43" s="7" t="s">
        <v>95</v>
      </c>
      <c r="AV43" s="18">
        <v>0</v>
      </c>
      <c r="AW43" s="7">
        <f t="shared" si="1"/>
        <v>0</v>
      </c>
    </row>
    <row r="44" spans="1:49" x14ac:dyDescent="0.35">
      <c r="A44" s="5" t="s">
        <v>58</v>
      </c>
      <c r="B44" s="8" t="s">
        <v>97</v>
      </c>
      <c r="C44" s="8" t="s">
        <v>95</v>
      </c>
      <c r="D44" s="8" t="s">
        <v>97</v>
      </c>
      <c r="E44" s="8" t="s">
        <v>95</v>
      </c>
      <c r="F44" s="8" t="s">
        <v>97</v>
      </c>
      <c r="G44" s="8" t="s">
        <v>95</v>
      </c>
      <c r="H44" s="8" t="s">
        <v>97</v>
      </c>
      <c r="I44" s="8" t="s">
        <v>95</v>
      </c>
      <c r="J44" s="8" t="s">
        <v>97</v>
      </c>
      <c r="K44" s="8" t="s">
        <v>95</v>
      </c>
      <c r="L44" s="8" t="s">
        <v>97</v>
      </c>
      <c r="M44" s="8" t="s">
        <v>95</v>
      </c>
      <c r="N44" s="8" t="s">
        <v>97</v>
      </c>
      <c r="O44" s="8" t="s">
        <v>95</v>
      </c>
      <c r="P44" s="8" t="s">
        <v>97</v>
      </c>
      <c r="Q44" s="8" t="s">
        <v>95</v>
      </c>
      <c r="R44" s="8" t="s">
        <v>97</v>
      </c>
      <c r="S44" s="8" t="s">
        <v>95</v>
      </c>
      <c r="T44" s="8" t="s">
        <v>97</v>
      </c>
      <c r="U44" s="8" t="s">
        <v>95</v>
      </c>
      <c r="V44" s="8" t="s">
        <v>97</v>
      </c>
      <c r="W44" s="8" t="s">
        <v>95</v>
      </c>
      <c r="X44" s="8" t="s">
        <v>97</v>
      </c>
      <c r="Y44" s="7">
        <f t="shared" si="0"/>
        <v>0</v>
      </c>
      <c r="Z44" s="19">
        <v>0</v>
      </c>
      <c r="AA44" s="8" t="s">
        <v>95</v>
      </c>
      <c r="AB44" s="19">
        <v>0</v>
      </c>
      <c r="AC44" s="8" t="s">
        <v>95</v>
      </c>
      <c r="AD44" s="19">
        <v>0</v>
      </c>
      <c r="AE44" s="8" t="s">
        <v>95</v>
      </c>
      <c r="AF44" s="19">
        <v>0</v>
      </c>
      <c r="AG44" s="8" t="s">
        <v>95</v>
      </c>
      <c r="AH44" s="19">
        <v>0</v>
      </c>
      <c r="AI44" s="8" t="s">
        <v>95</v>
      </c>
      <c r="AJ44" s="19">
        <v>0</v>
      </c>
      <c r="AK44" s="8" t="s">
        <v>95</v>
      </c>
      <c r="AL44" s="19">
        <v>0</v>
      </c>
      <c r="AM44" s="8" t="s">
        <v>95</v>
      </c>
      <c r="AN44" s="19">
        <v>0</v>
      </c>
      <c r="AO44" s="8" t="s">
        <v>95</v>
      </c>
      <c r="AP44" s="19">
        <v>0</v>
      </c>
      <c r="AQ44" s="8" t="s">
        <v>95</v>
      </c>
      <c r="AR44" s="19">
        <v>0</v>
      </c>
      <c r="AS44" s="8" t="s">
        <v>95</v>
      </c>
      <c r="AT44" s="19">
        <v>0</v>
      </c>
      <c r="AU44" s="8" t="s">
        <v>95</v>
      </c>
      <c r="AV44" s="8" t="s">
        <v>97</v>
      </c>
      <c r="AW44" s="7">
        <f t="shared" si="1"/>
        <v>0</v>
      </c>
    </row>
    <row r="45" spans="1:49" x14ac:dyDescent="0.35">
      <c r="A45" s="5" t="s">
        <v>59</v>
      </c>
      <c r="B45" s="7" t="s">
        <v>97</v>
      </c>
      <c r="C45" s="7" t="s">
        <v>95</v>
      </c>
      <c r="D45" s="7" t="s">
        <v>97</v>
      </c>
      <c r="E45" s="7" t="s">
        <v>95</v>
      </c>
      <c r="F45" s="7" t="s">
        <v>97</v>
      </c>
      <c r="G45" s="7" t="s">
        <v>95</v>
      </c>
      <c r="H45" s="7" t="s">
        <v>97</v>
      </c>
      <c r="I45" s="7" t="s">
        <v>95</v>
      </c>
      <c r="J45" s="7" t="s">
        <v>97</v>
      </c>
      <c r="K45" s="7" t="s">
        <v>95</v>
      </c>
      <c r="L45" s="7" t="s">
        <v>97</v>
      </c>
      <c r="M45" s="7" t="s">
        <v>95</v>
      </c>
      <c r="N45" s="7" t="s">
        <v>97</v>
      </c>
      <c r="O45" s="7" t="s">
        <v>95</v>
      </c>
      <c r="P45" s="7" t="s">
        <v>97</v>
      </c>
      <c r="Q45" s="7" t="s">
        <v>95</v>
      </c>
      <c r="R45" s="7" t="s">
        <v>97</v>
      </c>
      <c r="S45" s="7" t="s">
        <v>95</v>
      </c>
      <c r="T45" s="18">
        <v>0</v>
      </c>
      <c r="U45" s="7" t="s">
        <v>95</v>
      </c>
      <c r="V45" s="7" t="s">
        <v>97</v>
      </c>
      <c r="W45" s="7" t="s">
        <v>95</v>
      </c>
      <c r="X45" s="7" t="s">
        <v>97</v>
      </c>
      <c r="Y45" s="7">
        <f t="shared" si="0"/>
        <v>0</v>
      </c>
      <c r="Z45" s="18">
        <v>0</v>
      </c>
      <c r="AA45" s="7" t="s">
        <v>95</v>
      </c>
      <c r="AB45" s="18">
        <v>0</v>
      </c>
      <c r="AC45" s="7" t="s">
        <v>95</v>
      </c>
      <c r="AD45" s="18">
        <v>0</v>
      </c>
      <c r="AE45" s="7" t="s">
        <v>95</v>
      </c>
      <c r="AF45" s="18">
        <v>0</v>
      </c>
      <c r="AG45" s="7" t="s">
        <v>95</v>
      </c>
      <c r="AH45" s="18">
        <v>0</v>
      </c>
      <c r="AI45" s="7" t="s">
        <v>95</v>
      </c>
      <c r="AJ45" s="18">
        <v>0</v>
      </c>
      <c r="AK45" s="7" t="s">
        <v>95</v>
      </c>
      <c r="AL45" s="18">
        <v>0</v>
      </c>
      <c r="AM45" s="7" t="s">
        <v>95</v>
      </c>
      <c r="AN45" s="18">
        <v>0</v>
      </c>
      <c r="AO45" s="7" t="s">
        <v>95</v>
      </c>
      <c r="AP45" s="18">
        <v>0</v>
      </c>
      <c r="AQ45" s="7" t="s">
        <v>95</v>
      </c>
      <c r="AR45" s="18">
        <v>0</v>
      </c>
      <c r="AS45" s="7" t="s">
        <v>95</v>
      </c>
      <c r="AT45" s="18">
        <v>0</v>
      </c>
      <c r="AU45" s="7" t="s">
        <v>95</v>
      </c>
      <c r="AV45" s="7" t="s">
        <v>97</v>
      </c>
      <c r="AW45" s="7">
        <f t="shared" si="1"/>
        <v>0</v>
      </c>
    </row>
    <row r="46" spans="1:49" x14ac:dyDescent="0.35">
      <c r="A46" s="5" t="s">
        <v>60</v>
      </c>
      <c r="B46" s="19">
        <v>0.7</v>
      </c>
      <c r="C46" s="8" t="s">
        <v>95</v>
      </c>
      <c r="D46" s="19">
        <v>0.68</v>
      </c>
      <c r="E46" s="8" t="s">
        <v>95</v>
      </c>
      <c r="F46" s="19">
        <v>0.71</v>
      </c>
      <c r="G46" s="8" t="s">
        <v>95</v>
      </c>
      <c r="H46" s="19">
        <v>0.67</v>
      </c>
      <c r="I46" s="8" t="s">
        <v>95</v>
      </c>
      <c r="J46" s="19">
        <v>0.7</v>
      </c>
      <c r="K46" s="8" t="s">
        <v>95</v>
      </c>
      <c r="L46" s="19">
        <v>0.65</v>
      </c>
      <c r="M46" s="8" t="s">
        <v>95</v>
      </c>
      <c r="N46" s="19">
        <v>0.72</v>
      </c>
      <c r="O46" s="8" t="s">
        <v>95</v>
      </c>
      <c r="P46" s="19">
        <v>0.7</v>
      </c>
      <c r="Q46" s="8" t="s">
        <v>95</v>
      </c>
      <c r="R46" s="19">
        <v>0.63</v>
      </c>
      <c r="S46" s="8" t="s">
        <v>95</v>
      </c>
      <c r="T46" s="19">
        <v>0.65</v>
      </c>
      <c r="U46" s="8" t="s">
        <v>95</v>
      </c>
      <c r="V46" s="19">
        <v>0.67</v>
      </c>
      <c r="W46" s="8" t="s">
        <v>95</v>
      </c>
      <c r="X46" s="19">
        <v>0.63</v>
      </c>
      <c r="Y46" s="7">
        <f t="shared" si="0"/>
        <v>8.1100000000000012</v>
      </c>
      <c r="Z46" s="19">
        <v>1.26</v>
      </c>
      <c r="AA46" s="8" t="s">
        <v>95</v>
      </c>
      <c r="AB46" s="19">
        <v>1.03</v>
      </c>
      <c r="AC46" s="8" t="s">
        <v>95</v>
      </c>
      <c r="AD46" s="19">
        <v>1.1100000000000001</v>
      </c>
      <c r="AE46" s="8" t="s">
        <v>95</v>
      </c>
      <c r="AF46" s="19">
        <v>1.25</v>
      </c>
      <c r="AG46" s="8" t="s">
        <v>95</v>
      </c>
      <c r="AH46" s="19">
        <v>1.32</v>
      </c>
      <c r="AI46" s="8" t="s">
        <v>95</v>
      </c>
      <c r="AJ46" s="19">
        <v>1.27</v>
      </c>
      <c r="AK46" s="8" t="s">
        <v>95</v>
      </c>
      <c r="AL46" s="19">
        <v>1.41</v>
      </c>
      <c r="AM46" s="8" t="s">
        <v>95</v>
      </c>
      <c r="AN46" s="19">
        <v>1.47</v>
      </c>
      <c r="AO46" s="8" t="s">
        <v>95</v>
      </c>
      <c r="AP46" s="19">
        <v>1.35</v>
      </c>
      <c r="AQ46" s="8" t="s">
        <v>95</v>
      </c>
      <c r="AR46" s="19">
        <v>1.27</v>
      </c>
      <c r="AS46" s="8" t="s">
        <v>95</v>
      </c>
      <c r="AT46" s="19">
        <v>1.19</v>
      </c>
      <c r="AU46" s="8" t="s">
        <v>95</v>
      </c>
      <c r="AV46" s="8" t="s">
        <v>97</v>
      </c>
      <c r="AW46" s="7">
        <f t="shared" si="1"/>
        <v>13.93</v>
      </c>
    </row>
    <row r="47" spans="1:49" x14ac:dyDescent="0.35">
      <c r="A47" s="5" t="s">
        <v>61</v>
      </c>
      <c r="B47" s="14">
        <v>6.1260000000000003</v>
      </c>
      <c r="C47" s="7" t="s">
        <v>95</v>
      </c>
      <c r="D47" s="14">
        <v>5.7039999999999997</v>
      </c>
      <c r="E47" s="7" t="s">
        <v>95</v>
      </c>
      <c r="F47" s="14">
        <v>6.0620000000000003</v>
      </c>
      <c r="G47" s="7" t="s">
        <v>95</v>
      </c>
      <c r="H47" s="14">
        <v>1.417</v>
      </c>
      <c r="I47" s="7" t="s">
        <v>95</v>
      </c>
      <c r="J47" s="14">
        <v>2.3660000000000001</v>
      </c>
      <c r="K47" s="7" t="s">
        <v>95</v>
      </c>
      <c r="L47" s="14">
        <v>4.819</v>
      </c>
      <c r="M47" s="7" t="s">
        <v>95</v>
      </c>
      <c r="N47" s="14">
        <v>5.1109999999999998</v>
      </c>
      <c r="O47" s="7" t="s">
        <v>95</v>
      </c>
      <c r="P47" s="14">
        <v>5.2460000000000004</v>
      </c>
      <c r="Q47" s="7" t="s">
        <v>95</v>
      </c>
      <c r="R47" s="18">
        <v>5.03</v>
      </c>
      <c r="S47" s="7" t="s">
        <v>95</v>
      </c>
      <c r="T47" s="14">
        <v>5.085</v>
      </c>
      <c r="U47" s="7" t="s">
        <v>95</v>
      </c>
      <c r="V47" s="14">
        <v>4.9130000000000003</v>
      </c>
      <c r="W47" s="7" t="s">
        <v>95</v>
      </c>
      <c r="X47" s="14">
        <v>5.016</v>
      </c>
      <c r="Y47" s="23">
        <f t="shared" si="0"/>
        <v>56.895000000000003</v>
      </c>
      <c r="Z47" s="18">
        <v>3.82</v>
      </c>
      <c r="AA47" s="7" t="s">
        <v>95</v>
      </c>
      <c r="AB47" s="14">
        <v>3.4809999999999999</v>
      </c>
      <c r="AC47" s="7" t="s">
        <v>95</v>
      </c>
      <c r="AD47" s="18">
        <v>3.56</v>
      </c>
      <c r="AE47" s="7" t="s">
        <v>95</v>
      </c>
      <c r="AF47" s="18">
        <v>3.74</v>
      </c>
      <c r="AG47" s="7" t="s">
        <v>95</v>
      </c>
      <c r="AH47" s="18">
        <v>3.68</v>
      </c>
      <c r="AI47" s="7" t="s">
        <v>95</v>
      </c>
      <c r="AJ47" s="14">
        <v>4.9189999999999996</v>
      </c>
      <c r="AK47" s="7" t="s">
        <v>95</v>
      </c>
      <c r="AL47" s="14">
        <v>3.7719999999999998</v>
      </c>
      <c r="AM47" s="7" t="s">
        <v>95</v>
      </c>
      <c r="AN47" s="18">
        <v>6.48</v>
      </c>
      <c r="AO47" s="7" t="s">
        <v>95</v>
      </c>
      <c r="AP47" s="18">
        <v>5.9</v>
      </c>
      <c r="AQ47" s="7" t="s">
        <v>95</v>
      </c>
      <c r="AR47" s="18">
        <v>5.1100000000000003</v>
      </c>
      <c r="AS47" s="7" t="s">
        <v>95</v>
      </c>
      <c r="AT47" s="14">
        <v>5.7389999999999999</v>
      </c>
      <c r="AU47" s="7" t="s">
        <v>95</v>
      </c>
      <c r="AV47" s="18">
        <v>3.75</v>
      </c>
      <c r="AW47" s="7">
        <f t="shared" si="1"/>
        <v>53.950999999999993</v>
      </c>
    </row>
    <row r="48" spans="1:49" x14ac:dyDescent="0.35">
      <c r="A48" s="5" t="s">
        <v>62</v>
      </c>
      <c r="B48" s="19">
        <v>36</v>
      </c>
      <c r="C48" s="8" t="s">
        <v>95</v>
      </c>
      <c r="D48" s="19">
        <v>33</v>
      </c>
      <c r="E48" s="8" t="s">
        <v>95</v>
      </c>
      <c r="F48" s="19">
        <v>36</v>
      </c>
      <c r="G48" s="8" t="s">
        <v>95</v>
      </c>
      <c r="H48" s="19">
        <v>34</v>
      </c>
      <c r="I48" s="8" t="s">
        <v>95</v>
      </c>
      <c r="J48" s="19">
        <v>35</v>
      </c>
      <c r="K48" s="8" t="s">
        <v>95</v>
      </c>
      <c r="L48" s="19">
        <v>35</v>
      </c>
      <c r="M48" s="8" t="s">
        <v>95</v>
      </c>
      <c r="N48" s="19">
        <v>35</v>
      </c>
      <c r="O48" s="8" t="s">
        <v>95</v>
      </c>
      <c r="P48" s="19">
        <v>35</v>
      </c>
      <c r="Q48" s="8" t="s">
        <v>95</v>
      </c>
      <c r="R48" s="19">
        <v>33</v>
      </c>
      <c r="S48" s="8" t="s">
        <v>95</v>
      </c>
      <c r="T48" s="19">
        <v>34</v>
      </c>
      <c r="U48" s="8" t="s">
        <v>95</v>
      </c>
      <c r="V48" s="19">
        <v>31</v>
      </c>
      <c r="W48" s="8" t="s">
        <v>95</v>
      </c>
      <c r="X48" s="19">
        <v>32</v>
      </c>
      <c r="Y48" s="7">
        <f t="shared" si="0"/>
        <v>409</v>
      </c>
      <c r="Z48" s="19">
        <v>26</v>
      </c>
      <c r="AA48" s="8" t="s">
        <v>95</v>
      </c>
      <c r="AB48" s="19">
        <v>24</v>
      </c>
      <c r="AC48" s="8" t="s">
        <v>95</v>
      </c>
      <c r="AD48" s="19">
        <v>25</v>
      </c>
      <c r="AE48" s="8" t="s">
        <v>95</v>
      </c>
      <c r="AF48" s="19">
        <v>25</v>
      </c>
      <c r="AG48" s="8" t="s">
        <v>95</v>
      </c>
      <c r="AH48" s="19">
        <v>26</v>
      </c>
      <c r="AI48" s="8" t="s">
        <v>95</v>
      </c>
      <c r="AJ48" s="19">
        <v>20</v>
      </c>
      <c r="AK48" s="8" t="s">
        <v>95</v>
      </c>
      <c r="AL48" s="19">
        <v>24</v>
      </c>
      <c r="AM48" s="8" t="s">
        <v>95</v>
      </c>
      <c r="AN48" s="19">
        <v>25</v>
      </c>
      <c r="AO48" s="8" t="s">
        <v>95</v>
      </c>
      <c r="AP48" s="19">
        <v>24</v>
      </c>
      <c r="AQ48" s="8" t="s">
        <v>95</v>
      </c>
      <c r="AR48" s="19">
        <v>26</v>
      </c>
      <c r="AS48" s="8" t="s">
        <v>95</v>
      </c>
      <c r="AT48" s="19">
        <v>25</v>
      </c>
      <c r="AU48" s="8" t="s">
        <v>95</v>
      </c>
      <c r="AV48" s="19">
        <v>25</v>
      </c>
      <c r="AW48" s="7">
        <f t="shared" si="1"/>
        <v>295</v>
      </c>
    </row>
    <row r="49" spans="1:49" x14ac:dyDescent="0.35">
      <c r="A49" s="5" t="s">
        <v>63</v>
      </c>
      <c r="B49" s="18">
        <v>37.880000000000003</v>
      </c>
      <c r="C49" s="7" t="s">
        <v>95</v>
      </c>
      <c r="D49" s="18">
        <v>36.99</v>
      </c>
      <c r="E49" s="7" t="s">
        <v>95</v>
      </c>
      <c r="F49" s="18">
        <v>44.57</v>
      </c>
      <c r="G49" s="7" t="s">
        <v>95</v>
      </c>
      <c r="H49" s="18">
        <v>40.619999999999997</v>
      </c>
      <c r="I49" s="7" t="s">
        <v>95</v>
      </c>
      <c r="J49" s="18">
        <v>32.42</v>
      </c>
      <c r="K49" s="7" t="s">
        <v>95</v>
      </c>
      <c r="L49" s="18">
        <v>39.43</v>
      </c>
      <c r="M49" s="7" t="s">
        <v>95</v>
      </c>
      <c r="N49" s="18">
        <v>34.590000000000003</v>
      </c>
      <c r="O49" s="7" t="s">
        <v>95</v>
      </c>
      <c r="P49" s="18">
        <v>36.770000000000003</v>
      </c>
      <c r="Q49" s="7" t="s">
        <v>95</v>
      </c>
      <c r="R49" s="18">
        <v>35.89</v>
      </c>
      <c r="S49" s="7" t="s">
        <v>95</v>
      </c>
      <c r="T49" s="18">
        <v>35.25</v>
      </c>
      <c r="U49" s="7" t="s">
        <v>95</v>
      </c>
      <c r="V49" s="18">
        <v>32.01</v>
      </c>
      <c r="W49" s="7" t="s">
        <v>95</v>
      </c>
      <c r="X49" s="18">
        <v>31.09</v>
      </c>
      <c r="Y49" s="7">
        <f t="shared" si="0"/>
        <v>437.50999999999993</v>
      </c>
      <c r="Z49" s="14">
        <v>115.752</v>
      </c>
      <c r="AA49" s="7" t="s">
        <v>95</v>
      </c>
      <c r="AB49" s="14">
        <v>121.676</v>
      </c>
      <c r="AC49" s="7" t="s">
        <v>95</v>
      </c>
      <c r="AD49" s="14">
        <v>157.709</v>
      </c>
      <c r="AE49" s="7" t="s">
        <v>95</v>
      </c>
      <c r="AF49" s="14">
        <v>151.398</v>
      </c>
      <c r="AG49" s="7" t="s">
        <v>95</v>
      </c>
      <c r="AH49" s="14">
        <v>189.858</v>
      </c>
      <c r="AI49" s="7" t="s">
        <v>95</v>
      </c>
      <c r="AJ49" s="14">
        <v>191.86600000000001</v>
      </c>
      <c r="AK49" s="7" t="s">
        <v>95</v>
      </c>
      <c r="AL49" s="14">
        <v>203.767</v>
      </c>
      <c r="AM49" s="7" t="s">
        <v>95</v>
      </c>
      <c r="AN49" s="14">
        <v>217.79599999999999</v>
      </c>
      <c r="AO49" s="7" t="s">
        <v>95</v>
      </c>
      <c r="AP49" s="18">
        <v>216.2</v>
      </c>
      <c r="AQ49" s="7" t="s">
        <v>95</v>
      </c>
      <c r="AR49" s="14">
        <v>227.779</v>
      </c>
      <c r="AS49" s="7" t="s">
        <v>95</v>
      </c>
      <c r="AT49" s="14">
        <v>228.702</v>
      </c>
      <c r="AU49" s="7" t="s">
        <v>95</v>
      </c>
      <c r="AV49" s="14">
        <v>236.607</v>
      </c>
      <c r="AW49" s="7">
        <f t="shared" si="1"/>
        <v>2259.11</v>
      </c>
    </row>
    <row r="50" spans="1:49" x14ac:dyDescent="0.35">
      <c r="A50" s="5" t="s">
        <v>64</v>
      </c>
      <c r="B50" s="19">
        <v>1688</v>
      </c>
      <c r="C50" s="8" t="s">
        <v>95</v>
      </c>
      <c r="D50" s="19">
        <v>1573</v>
      </c>
      <c r="E50" s="8" t="s">
        <v>95</v>
      </c>
      <c r="F50" s="19">
        <v>1672</v>
      </c>
      <c r="G50" s="8" t="s">
        <v>95</v>
      </c>
      <c r="H50" s="19">
        <v>1617</v>
      </c>
      <c r="I50" s="8" t="s">
        <v>95</v>
      </c>
      <c r="J50" s="19">
        <v>1665</v>
      </c>
      <c r="K50" s="8" t="s">
        <v>95</v>
      </c>
      <c r="L50" s="19">
        <v>1601</v>
      </c>
      <c r="M50" s="8" t="s">
        <v>95</v>
      </c>
      <c r="N50" s="19">
        <v>1654</v>
      </c>
      <c r="O50" s="8" t="s">
        <v>95</v>
      </c>
      <c r="P50" s="19">
        <v>1656</v>
      </c>
      <c r="Q50" s="8" t="s">
        <v>95</v>
      </c>
      <c r="R50" s="19">
        <v>1582</v>
      </c>
      <c r="S50" s="8" t="s">
        <v>95</v>
      </c>
      <c r="T50" s="19">
        <v>1626</v>
      </c>
      <c r="U50" s="8" t="s">
        <v>95</v>
      </c>
      <c r="V50" s="19">
        <v>1573</v>
      </c>
      <c r="W50" s="8" t="s">
        <v>95</v>
      </c>
      <c r="X50" s="19">
        <v>1609</v>
      </c>
      <c r="Y50" s="7">
        <f t="shared" si="0"/>
        <v>19516</v>
      </c>
      <c r="Z50" s="8" t="s">
        <v>97</v>
      </c>
      <c r="AA50" s="8" t="s">
        <v>95</v>
      </c>
      <c r="AB50" s="8" t="s">
        <v>97</v>
      </c>
      <c r="AC50" s="8" t="s">
        <v>95</v>
      </c>
      <c r="AD50" s="8" t="s">
        <v>97</v>
      </c>
      <c r="AE50" s="8" t="s">
        <v>95</v>
      </c>
      <c r="AF50" s="8" t="s">
        <v>97</v>
      </c>
      <c r="AG50" s="8" t="s">
        <v>95</v>
      </c>
      <c r="AH50" s="8" t="s">
        <v>97</v>
      </c>
      <c r="AI50" s="8" t="s">
        <v>95</v>
      </c>
      <c r="AJ50" s="8" t="s">
        <v>97</v>
      </c>
      <c r="AK50" s="8" t="s">
        <v>95</v>
      </c>
      <c r="AL50" s="8" t="s">
        <v>97</v>
      </c>
      <c r="AM50" s="8" t="s">
        <v>95</v>
      </c>
      <c r="AN50" s="8" t="s">
        <v>97</v>
      </c>
      <c r="AO50" s="8" t="s">
        <v>95</v>
      </c>
      <c r="AP50" s="8" t="s">
        <v>97</v>
      </c>
      <c r="AQ50" s="8" t="s">
        <v>95</v>
      </c>
      <c r="AR50" s="8" t="s">
        <v>97</v>
      </c>
      <c r="AS50" s="8" t="s">
        <v>95</v>
      </c>
      <c r="AT50" s="8" t="s">
        <v>97</v>
      </c>
      <c r="AU50" s="8" t="s">
        <v>95</v>
      </c>
      <c r="AV50" s="8" t="s">
        <v>97</v>
      </c>
      <c r="AW50" s="7">
        <f t="shared" si="1"/>
        <v>0</v>
      </c>
    </row>
    <row r="51" spans="1:49" x14ac:dyDescent="0.35">
      <c r="A51" s="5" t="s">
        <v>65</v>
      </c>
      <c r="B51" s="7" t="s">
        <v>97</v>
      </c>
      <c r="C51" s="7" t="s">
        <v>95</v>
      </c>
      <c r="D51" s="7" t="s">
        <v>97</v>
      </c>
      <c r="E51" s="7" t="s">
        <v>95</v>
      </c>
      <c r="F51" s="7" t="s">
        <v>97</v>
      </c>
      <c r="G51" s="7" t="s">
        <v>95</v>
      </c>
      <c r="H51" s="7" t="s">
        <v>97</v>
      </c>
      <c r="I51" s="7" t="s">
        <v>95</v>
      </c>
      <c r="J51" s="7" t="s">
        <v>97</v>
      </c>
      <c r="K51" s="7" t="s">
        <v>95</v>
      </c>
      <c r="L51" s="7" t="s">
        <v>97</v>
      </c>
      <c r="M51" s="7" t="s">
        <v>95</v>
      </c>
      <c r="N51" s="7" t="s">
        <v>97</v>
      </c>
      <c r="O51" s="7" t="s">
        <v>95</v>
      </c>
      <c r="P51" s="7" t="s">
        <v>97</v>
      </c>
      <c r="Q51" s="7" t="s">
        <v>95</v>
      </c>
      <c r="R51" s="7" t="s">
        <v>97</v>
      </c>
      <c r="S51" s="7" t="s">
        <v>95</v>
      </c>
      <c r="T51" s="7" t="s">
        <v>97</v>
      </c>
      <c r="U51" s="7" t="s">
        <v>95</v>
      </c>
      <c r="V51" s="7" t="s">
        <v>97</v>
      </c>
      <c r="W51" s="7" t="s">
        <v>95</v>
      </c>
      <c r="X51" s="7" t="s">
        <v>97</v>
      </c>
      <c r="Y51" s="7">
        <f t="shared" si="0"/>
        <v>0</v>
      </c>
      <c r="Z51" s="7" t="s">
        <v>97</v>
      </c>
      <c r="AA51" s="7" t="s">
        <v>95</v>
      </c>
      <c r="AB51" s="7" t="s">
        <v>97</v>
      </c>
      <c r="AC51" s="7" t="s">
        <v>95</v>
      </c>
      <c r="AD51" s="7" t="s">
        <v>97</v>
      </c>
      <c r="AE51" s="7" t="s">
        <v>95</v>
      </c>
      <c r="AF51" s="7" t="s">
        <v>97</v>
      </c>
      <c r="AG51" s="7" t="s">
        <v>95</v>
      </c>
      <c r="AH51" s="7" t="s">
        <v>97</v>
      </c>
      <c r="AI51" s="7" t="s">
        <v>95</v>
      </c>
      <c r="AJ51" s="7" t="s">
        <v>97</v>
      </c>
      <c r="AK51" s="7" t="s">
        <v>95</v>
      </c>
      <c r="AL51" s="7" t="s">
        <v>97</v>
      </c>
      <c r="AM51" s="7" t="s">
        <v>95</v>
      </c>
      <c r="AN51" s="7" t="s">
        <v>97</v>
      </c>
      <c r="AO51" s="7" t="s">
        <v>95</v>
      </c>
      <c r="AP51" s="7" t="s">
        <v>97</v>
      </c>
      <c r="AQ51" s="7" t="s">
        <v>95</v>
      </c>
      <c r="AR51" s="7" t="s">
        <v>97</v>
      </c>
      <c r="AS51" s="7" t="s">
        <v>95</v>
      </c>
      <c r="AT51" s="7" t="s">
        <v>97</v>
      </c>
      <c r="AU51" s="7" t="s">
        <v>95</v>
      </c>
      <c r="AV51" s="7" t="s">
        <v>97</v>
      </c>
      <c r="AW51" s="7">
        <f t="shared" si="1"/>
        <v>0</v>
      </c>
    </row>
    <row r="53" spans="1:49" x14ac:dyDescent="0.35">
      <c r="A53" s="1" t="s">
        <v>101</v>
      </c>
    </row>
    <row r="54" spans="1:49" x14ac:dyDescent="0.35">
      <c r="A54" s="1" t="s">
        <v>97</v>
      </c>
      <c r="B54" s="2" t="s">
        <v>102</v>
      </c>
    </row>
    <row r="55" spans="1:49" x14ac:dyDescent="0.35">
      <c r="A55" s="1" t="s">
        <v>103</v>
      </c>
    </row>
    <row r="56" spans="1:49" x14ac:dyDescent="0.35">
      <c r="A56" s="1" t="s">
        <v>98</v>
      </c>
      <c r="B56" s="2" t="s">
        <v>104</v>
      </c>
    </row>
    <row r="57" spans="1:49" x14ac:dyDescent="0.35">
      <c r="A57" s="1" t="s">
        <v>99</v>
      </c>
      <c r="B57" s="2" t="s">
        <v>105</v>
      </c>
    </row>
    <row r="58" spans="1:49" x14ac:dyDescent="0.35">
      <c r="A58" s="1" t="s">
        <v>106</v>
      </c>
    </row>
    <row r="59" spans="1:49" x14ac:dyDescent="0.35">
      <c r="A59" s="1" t="s">
        <v>100</v>
      </c>
      <c r="B59" s="2" t="s">
        <v>107</v>
      </c>
    </row>
  </sheetData>
  <mergeCells count="24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P10:AQ10"/>
    <mergeCell ref="AR10:AS10"/>
    <mergeCell ref="AT10:AU10"/>
    <mergeCell ref="AV10:AW10"/>
    <mergeCell ref="AF10:AG10"/>
    <mergeCell ref="AH10:AI10"/>
    <mergeCell ref="AJ10:AK10"/>
    <mergeCell ref="AL10:AM10"/>
    <mergeCell ref="AN10:AO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Structure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Johannes Felipe Giehl</cp:lastModifiedBy>
  <dcterms:created xsi:type="dcterms:W3CDTF">2025-02-19T08:14:22Z</dcterms:created>
  <dcterms:modified xsi:type="dcterms:W3CDTF">2025-02-19T12:20:33Z</dcterms:modified>
</cp:coreProperties>
</file>