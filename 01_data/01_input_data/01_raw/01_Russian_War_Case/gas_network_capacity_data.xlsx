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1_raw\01_Russian_War_Case\"/>
    </mc:Choice>
  </mc:AlternateContent>
  <xr:revisionPtr revIDLastSave="0" documentId="8_{B9F0EAF6-6900-4BF7-ABDD-854B7C82595E}" xr6:coauthVersionLast="47" xr6:coauthVersionMax="47" xr10:uidLastSave="{00000000-0000-0000-0000-000000000000}"/>
  <bookViews>
    <workbookView xWindow="-110" yWindow="-110" windowWidth="19420" windowHeight="10300" activeTab="1" xr2:uid="{AA2AB760-CC55-4021-B59F-6E2B6A5B40D0}"/>
  </bookViews>
  <sheets>
    <sheet name="Connections" sheetId="1" r:id="rId1"/>
    <sheet name="Transparency_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" l="1"/>
  <c r="E10" i="2" s="1"/>
  <c r="E7" i="2"/>
  <c r="D7" i="2"/>
  <c r="D5" i="2"/>
  <c r="E5" i="2" s="1"/>
</calcChain>
</file>

<file path=xl/sharedStrings.xml><?xml version="1.0" encoding="utf-8"?>
<sst xmlns="http://schemas.openxmlformats.org/spreadsheetml/2006/main" count="107" uniqueCount="55">
  <si>
    <t>UK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</si>
  <si>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</si>
  <si>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</si>
  <si>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</si>
  <si>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</si>
  <si>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</si>
  <si>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</si>
  <si>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</si>
  <si>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</si>
  <si>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</si>
  <si>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</si>
  <si>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</si>
  <si>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</si>
  <si>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</si>
  <si>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</si>
  <si>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</si>
  <si>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</si>
  <si>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</si>
  <si>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</si>
  <si>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</si>
  <si>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</si>
  <si>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</si>
  <si>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</si>
  <si>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</si>
  <si>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</si>
  <si>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</si>
  <si>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</si>
  <si>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</si>
  <si>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</si>
  <si>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</si>
  <si>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</si>
  <si>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</si>
  <si>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</si>
  <si>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</si>
  <si>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</si>
  <si>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</si>
  <si>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</si>
  <si>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</si>
  <si>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</si>
  <si>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</si>
  <si>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https://transparency.entsog.eu/#/map</t>
  </si>
  <si>
    <t>Estonia</t>
  </si>
  <si>
    <t>Russia</t>
  </si>
  <si>
    <t>kWh/d</t>
  </si>
  <si>
    <t>TWh/a</t>
  </si>
  <si>
    <t>Mrd m3</t>
  </si>
  <si>
    <t>Ukraine (Sudzha)</t>
  </si>
  <si>
    <t>Ukraine (Belgorod)</t>
  </si>
  <si>
    <t>no data</t>
  </si>
  <si>
    <t>Ukraine (Valuyki)</t>
  </si>
  <si>
    <t>Ukraine (Serebryanka)</t>
  </si>
  <si>
    <t>Ukraine (Sokhranovka)</t>
  </si>
  <si>
    <t>Ukraine (Pisarevka)</t>
  </si>
  <si>
    <t>Ukraine (Prokhorovka)</t>
  </si>
  <si>
    <t>Ukraine (Platovo)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</si>
</sst>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0" borderId="0" xfId="1" applyFont="1"/>
    <xf numFmtId="4" fontId="0" fillId="0" borderId="0" xfId="0" applyNumberFormat="1"/>
  </cellXfs>
  <cellStyles count="2">
    <cellStyle name="Normal" xfId="0" builtinId="0"/>
    <cellStyle name="Normal 2" xfId="1" xr:uid="{2ADF71F3-C294-4B96-BB28-0A60DDE344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A0065-35D1-4A3E-8E5C-3787FF4C78C2}">
  <dimension ref="A1:AO41"/>
  <sheetViews>
    <sheetView topLeftCell="Y1" workbookViewId="0">
      <selection activeCell="AO1" sqref="AO1"/>
    </sheetView>
  </sheetViews>
  <sheetFormatPr defaultRowHeight="14.5"/>
  <sheetData>
    <row r="1" spans="1:4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</row>
    <row r="2" spans="1:41">
      <c r="A2" s="1" t="s">
        <v>0</v>
      </c>
      <c r="B2" s="1">
        <v>1455.1</v>
      </c>
      <c r="C2" s="1">
        <v>651.70000000000005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386.9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</row>
    <row r="3" spans="1:41">
      <c r="A3" s="1" t="s">
        <v>1</v>
      </c>
      <c r="B3" s="1">
        <v>803.4</v>
      </c>
      <c r="C3" s="1">
        <v>0</v>
      </c>
      <c r="D3" s="1">
        <v>331.2</v>
      </c>
      <c r="E3" s="1">
        <v>322.77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870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</row>
    <row r="4" spans="1:41">
      <c r="A4" s="1" t="s">
        <v>2</v>
      </c>
      <c r="B4" s="1">
        <v>0</v>
      </c>
      <c r="C4" s="1">
        <v>1397.2</v>
      </c>
      <c r="D4" s="1">
        <v>0</v>
      </c>
      <c r="E4" s="1">
        <v>1925.7729999999999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</row>
    <row r="5" spans="1:41">
      <c r="A5" s="1" t="s">
        <v>3</v>
      </c>
      <c r="B5" s="1">
        <v>0</v>
      </c>
      <c r="C5" s="1">
        <v>396.15000000000003</v>
      </c>
      <c r="D5" s="1">
        <v>1628.3030000000001</v>
      </c>
      <c r="E5" s="1">
        <v>669</v>
      </c>
      <c r="F5" s="1">
        <v>344.24799999999993</v>
      </c>
      <c r="G5" s="1">
        <v>0</v>
      </c>
      <c r="H5" s="1">
        <v>328</v>
      </c>
      <c r="I5" s="1">
        <v>0</v>
      </c>
      <c r="J5" s="1">
        <v>0</v>
      </c>
      <c r="K5" s="1">
        <v>613.71600000000001</v>
      </c>
      <c r="L5" s="1">
        <v>136.11199999999999</v>
      </c>
      <c r="M5" s="1">
        <v>233.5</v>
      </c>
      <c r="N5" s="1">
        <v>1803.77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26.71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</row>
    <row r="6" spans="1:41">
      <c r="A6" s="1" t="s">
        <v>4</v>
      </c>
      <c r="B6" s="1">
        <v>0</v>
      </c>
      <c r="C6" s="1">
        <v>0</v>
      </c>
      <c r="D6" s="1">
        <v>0</v>
      </c>
      <c r="E6" s="1">
        <v>339.96799999999996</v>
      </c>
      <c r="F6" s="1">
        <v>0</v>
      </c>
      <c r="G6" s="1">
        <v>1150</v>
      </c>
      <c r="H6" s="1">
        <v>0</v>
      </c>
      <c r="I6" s="1">
        <v>112.5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246.5</v>
      </c>
      <c r="P6" s="1">
        <v>153.1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</row>
    <row r="7" spans="1:41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193.5</v>
      </c>
      <c r="G7" s="1">
        <v>0</v>
      </c>
      <c r="H7" s="1">
        <v>431.4</v>
      </c>
      <c r="I7" s="1">
        <v>28.5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4.3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</row>
    <row r="8" spans="1:41">
      <c r="A8" s="1" t="s">
        <v>6</v>
      </c>
      <c r="B8" s="1">
        <v>0</v>
      </c>
      <c r="C8" s="1">
        <v>0</v>
      </c>
      <c r="D8" s="1">
        <v>0</v>
      </c>
      <c r="E8" s="1">
        <v>172.8</v>
      </c>
      <c r="F8" s="1">
        <v>0</v>
      </c>
      <c r="G8" s="1">
        <v>640.4</v>
      </c>
      <c r="H8" s="1">
        <v>0</v>
      </c>
      <c r="I8" s="1">
        <v>0</v>
      </c>
      <c r="J8" s="1">
        <v>0</v>
      </c>
      <c r="K8" s="1">
        <v>100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</row>
    <row r="9" spans="1:41">
      <c r="A9" s="1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21.5</v>
      </c>
      <c r="H9" s="1">
        <v>0</v>
      </c>
      <c r="I9" s="1">
        <v>0</v>
      </c>
      <c r="J9" s="1">
        <v>53.7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</row>
    <row r="10" spans="1:41">
      <c r="A10" s="1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7.7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48.57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</row>
    <row r="11" spans="1:41">
      <c r="A11" s="1" t="s">
        <v>9</v>
      </c>
      <c r="B11" s="1">
        <v>0</v>
      </c>
      <c r="C11" s="1">
        <v>270</v>
      </c>
      <c r="D11" s="1">
        <v>0</v>
      </c>
      <c r="E11" s="1">
        <v>0</v>
      </c>
      <c r="F11" s="1">
        <v>0</v>
      </c>
      <c r="G11" s="1">
        <v>0</v>
      </c>
      <c r="H11" s="1">
        <v>223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164.572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</row>
    <row r="12" spans="1:41">
      <c r="A12" s="1" t="s">
        <v>10</v>
      </c>
      <c r="B12" s="1">
        <v>0</v>
      </c>
      <c r="C12" s="1">
        <v>0</v>
      </c>
      <c r="D12" s="1">
        <v>0</v>
      </c>
      <c r="E12" s="1">
        <v>4.1189999999999998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</row>
    <row r="13" spans="1:41">
      <c r="A13" s="1" t="s">
        <v>11</v>
      </c>
      <c r="B13" s="1">
        <v>0</v>
      </c>
      <c r="C13" s="1">
        <v>0</v>
      </c>
      <c r="D13" s="1">
        <v>0</v>
      </c>
      <c r="E13" s="1">
        <v>931.6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</row>
    <row r="14" spans="1:41">
      <c r="A14" s="1" t="s">
        <v>12</v>
      </c>
      <c r="B14" s="1">
        <v>0</v>
      </c>
      <c r="C14" s="1">
        <v>0</v>
      </c>
      <c r="D14" s="1">
        <v>0</v>
      </c>
      <c r="E14" s="1">
        <v>1231.759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28</v>
      </c>
      <c r="N14" s="1">
        <v>0</v>
      </c>
      <c r="O14" s="1">
        <v>1246.4000000000001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</row>
    <row r="15" spans="1:41">
      <c r="A15" s="1" t="s">
        <v>13</v>
      </c>
      <c r="B15" s="1">
        <v>0</v>
      </c>
      <c r="C15" s="1">
        <v>0</v>
      </c>
      <c r="D15" s="1">
        <v>0</v>
      </c>
      <c r="E15" s="1">
        <v>0</v>
      </c>
      <c r="F15" s="1">
        <v>1570.4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457.6</v>
      </c>
      <c r="O15" s="1">
        <v>0</v>
      </c>
      <c r="P15" s="1">
        <v>128.9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416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</row>
    <row r="16" spans="1:41">
      <c r="A16" s="1" t="s">
        <v>14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77.400000000000006</v>
      </c>
      <c r="K16" s="1">
        <v>0</v>
      </c>
      <c r="L16" s="1">
        <v>0</v>
      </c>
      <c r="M16" s="1">
        <v>0</v>
      </c>
      <c r="N16" s="1">
        <v>0</v>
      </c>
      <c r="O16" s="1">
        <v>50.883000000000003</v>
      </c>
      <c r="P16" s="1">
        <v>0</v>
      </c>
      <c r="Q16" s="1">
        <v>142</v>
      </c>
      <c r="R16" s="1">
        <v>0</v>
      </c>
      <c r="S16" s="1">
        <v>0</v>
      </c>
      <c r="T16" s="1">
        <v>77.5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</row>
    <row r="17" spans="1:41">
      <c r="A17" s="1" t="s">
        <v>15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335.26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17.98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</row>
    <row r="18" spans="1:41">
      <c r="A18" s="1" t="s">
        <v>16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398.13</v>
      </c>
      <c r="R18" s="1">
        <v>0</v>
      </c>
      <c r="S18" s="1">
        <v>117.8</v>
      </c>
      <c r="T18" s="1">
        <v>148.15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27.38</v>
      </c>
      <c r="AG18" s="1">
        <v>497.16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</row>
    <row r="19" spans="1:41">
      <c r="A19" s="1" t="s">
        <v>17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64.819999999999993</v>
      </c>
      <c r="S19" s="1">
        <v>53.4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</row>
    <row r="20" spans="1:41">
      <c r="A20" s="1" t="s">
        <v>18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50.3</v>
      </c>
      <c r="Q20" s="1">
        <v>0</v>
      </c>
      <c r="R20" s="1">
        <v>805.75000000000011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122.2</v>
      </c>
      <c r="Z20" s="1">
        <v>16.100000000000001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</row>
    <row r="21" spans="1:41">
      <c r="A21" s="1" t="s">
        <v>19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67.599999999999994</v>
      </c>
      <c r="W21" s="1">
        <v>0</v>
      </c>
      <c r="X21" s="1">
        <v>0</v>
      </c>
      <c r="Y21" s="1">
        <v>0</v>
      </c>
      <c r="Z21" s="1">
        <v>0</v>
      </c>
      <c r="AA21" s="1">
        <v>114.2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</row>
    <row r="22" spans="1:41">
      <c r="A22" s="1" t="s">
        <v>20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65.099999999999994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85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</row>
    <row r="23" spans="1:41">
      <c r="A23" s="1" t="s">
        <v>21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224.4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144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</row>
    <row r="24" spans="1:41">
      <c r="A24" s="1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80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</row>
    <row r="25" spans="1:41">
      <c r="A25" s="1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135.6</v>
      </c>
      <c r="N25" s="1">
        <v>0</v>
      </c>
      <c r="O25" s="1">
        <v>2277.6</v>
      </c>
      <c r="P25" s="1">
        <v>515.6</v>
      </c>
      <c r="Q25" s="1">
        <v>0</v>
      </c>
      <c r="R25" s="1">
        <v>0</v>
      </c>
      <c r="S25" s="1">
        <v>0</v>
      </c>
      <c r="T25" s="1">
        <v>1163.4000000000001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</row>
    <row r="26" spans="1:41">
      <c r="A26" s="1" t="s">
        <v>24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2.2000000000000002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</row>
    <row r="27" spans="1:41">
      <c r="A27" s="1" t="s">
        <v>25</v>
      </c>
      <c r="B27" s="1">
        <v>0</v>
      </c>
      <c r="C27" s="1">
        <v>0</v>
      </c>
      <c r="D27" s="1">
        <v>0</v>
      </c>
      <c r="E27" s="1">
        <v>1742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168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220</v>
      </c>
    </row>
    <row r="28" spans="1:41">
      <c r="A28" s="1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487.1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</row>
    <row r="29" spans="1:41">
      <c r="A29" s="1" t="s">
        <v>27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</row>
    <row r="30" spans="1:41">
      <c r="A30" s="1" t="s">
        <v>28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</row>
    <row r="31" spans="1:41">
      <c r="A31" s="1" t="s">
        <v>29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</row>
    <row r="32" spans="1:41">
      <c r="A32" s="1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</row>
    <row r="33" spans="1:41">
      <c r="A33" s="1" t="s">
        <v>31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576.03</v>
      </c>
      <c r="S33" s="1">
        <v>398.6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</row>
    <row r="34" spans="1:41">
      <c r="A34" s="1" t="s">
        <v>32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</row>
    <row r="35" spans="1:41">
      <c r="A35" s="1" t="s">
        <v>33</v>
      </c>
      <c r="B35" s="1">
        <v>1499.1</v>
      </c>
      <c r="C35" s="1">
        <v>488</v>
      </c>
      <c r="D35" s="1">
        <v>0</v>
      </c>
      <c r="E35" s="1">
        <v>2210.5639999999999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570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</row>
    <row r="36" spans="1:41">
      <c r="A36" s="1" t="s">
        <v>34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731.7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</row>
    <row r="37" spans="1:41">
      <c r="A37" s="1" t="s">
        <v>35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1138.0999999999999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</row>
    <row r="38" spans="1:41">
      <c r="A38" s="1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475.8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</row>
    <row r="39" spans="1:41">
      <c r="A39" s="1" t="s">
        <v>37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1203.4999999999998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325.39999999999998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</row>
    <row r="40" spans="1:41">
      <c r="A40" s="1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</row>
    <row r="41" spans="1:41">
      <c r="A41" s="1" t="s">
        <v>39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32F58-220D-43EA-8C99-FF1F6EC6F691}">
  <dimension ref="A1:E12"/>
  <sheetViews>
    <sheetView tabSelected="1" topLeftCell="A2" workbookViewId="0">
      <selection activeCell="F11" sqref="F11"/>
    </sheetView>
  </sheetViews>
  <sheetFormatPr defaultRowHeight="14.5"/>
  <cols>
    <col min="2" max="2" width="15.26953125" customWidth="1"/>
    <col min="3" max="3" width="15" bestFit="1" customWidth="1"/>
    <col min="4" max="4" width="11.90625" bestFit="1" customWidth="1"/>
    <col min="5" max="5" width="8.81640625" bestFit="1" customWidth="1"/>
  </cols>
  <sheetData>
    <row r="1" spans="1:5">
      <c r="A1" t="s">
        <v>40</v>
      </c>
    </row>
    <row r="3" spans="1:5">
      <c r="C3" t="s">
        <v>43</v>
      </c>
      <c r="D3" t="s">
        <v>44</v>
      </c>
      <c r="E3" t="s">
        <v>45</v>
      </c>
    </row>
    <row r="4" spans="1:5">
      <c r="A4" t="s">
        <v>42</v>
      </c>
      <c r="B4" t="s">
        <v>41</v>
      </c>
    </row>
    <row r="5" spans="1:5">
      <c r="A5" t="s">
        <v>42</v>
      </c>
      <c r="B5" t="s">
        <v>46</v>
      </c>
      <c r="C5" s="2">
        <v>1745077371</v>
      </c>
      <c r="D5" s="2">
        <f>C5*365/10^9</f>
        <v>636.95324041499998</v>
      </c>
      <c r="E5" s="2">
        <f>D5/9.7</f>
        <v>65.665282517010311</v>
      </c>
    </row>
    <row r="6" spans="1:5">
      <c r="A6" t="s">
        <v>42</v>
      </c>
      <c r="B6" t="s">
        <v>47</v>
      </c>
      <c r="C6" s="2" t="s">
        <v>48</v>
      </c>
      <c r="D6" s="2"/>
      <c r="E6" s="2"/>
    </row>
    <row r="7" spans="1:5">
      <c r="A7" t="s">
        <v>42</v>
      </c>
      <c r="B7" t="s">
        <v>49</v>
      </c>
      <c r="C7" s="2">
        <v>3418069626</v>
      </c>
      <c r="D7" s="2">
        <f>C7*365/10^9</f>
        <v>1247.5954134900001</v>
      </c>
      <c r="E7" s="2">
        <f>D7/9.7</f>
        <v>128.61808386494846</v>
      </c>
    </row>
    <row r="8" spans="1:5">
      <c r="A8" t="s">
        <v>42</v>
      </c>
      <c r="B8" t="s">
        <v>50</v>
      </c>
      <c r="C8" s="2" t="s">
        <v>48</v>
      </c>
      <c r="D8" s="2"/>
      <c r="E8" s="2"/>
    </row>
    <row r="9" spans="1:5">
      <c r="A9" t="s">
        <v>42</v>
      </c>
      <c r="B9" t="s">
        <v>52</v>
      </c>
      <c r="C9" s="2" t="s">
        <v>48</v>
      </c>
      <c r="D9" s="2"/>
      <c r="E9" s="2"/>
    </row>
    <row r="10" spans="1:5">
      <c r="A10" t="s">
        <v>42</v>
      </c>
      <c r="B10" t="s">
        <v>51</v>
      </c>
      <c r="C10" s="2">
        <v>296361852.89999998</v>
      </c>
      <c r="D10" s="2">
        <f>C10*365/10^9</f>
        <v>108.17207630849998</v>
      </c>
      <c r="E10" s="2">
        <f>D10/9.7</f>
        <v>11.151760444175256</v>
      </c>
    </row>
    <row r="11" spans="1:5">
      <c r="A11" t="s">
        <v>42</v>
      </c>
      <c r="B11" t="s">
        <v>53</v>
      </c>
      <c r="C11" s="2" t="s">
        <v>48</v>
      </c>
      <c r="D11" s="2"/>
      <c r="E11" s="2"/>
    </row>
    <row r="12" spans="1:5">
      <c r="A12" t="s">
        <v>42</v>
      </c>
      <c r="B12" t="s">
        <v>54</v>
      </c>
      <c r="C12" s="2" t="s">
        <v>48</v>
      </c>
      <c r="D12" s="2"/>
      <c r="E1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Connections</vt:lpstr>
      <vt:lpstr>Transparency_Data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2024-03-08T14:28:31Z</dcterms:created>
  <dcterms:modified xsi:type="dcterms:W3CDTF">2024-03-08T14:58:48Z</dcterms:modified>
</cp:coreProperties>
</file>