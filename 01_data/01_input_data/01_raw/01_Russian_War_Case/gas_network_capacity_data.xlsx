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1_raw\01_Russian_War_Case\"/>
    </mc:Choice>
  </mc:AlternateContent>
  <xr:revisionPtr revIDLastSave="0" documentId="13_ncr:1_{89A5C8F3-85DB-475B-886D-9D11C7495A34}" xr6:coauthVersionLast="47" xr6:coauthVersionMax="47" xr10:uidLastSave="{00000000-0000-0000-0000-000000000000}"/>
  <bookViews>
    <workbookView xWindow="-110" yWindow="-110" windowWidth="19420" windowHeight="10300" firstSheet="2" activeTab="4" xr2:uid="{AA2AB760-CC55-4021-B59F-6E2B6A5B40D0}"/>
  </bookViews>
  <sheets>
    <sheet name="Connections_entsog_2020" sheetId="1" r:id="rId1"/>
    <sheet name="Transparency_Data" sheetId="2" r:id="rId2"/>
    <sheet name="LNG_to_grid" sheetId="3" r:id="rId3"/>
    <sheet name="Manual_ENTOSG_capacities" sheetId="5" r:id="rId4"/>
    <sheet name="Connections_2020_al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2" l="1"/>
  <c r="L11" i="2"/>
  <c r="L10" i="2"/>
  <c r="L9" i="2"/>
  <c r="L8" i="2"/>
  <c r="L7" i="2"/>
  <c r="L6" i="2"/>
  <c r="L5" i="2"/>
  <c r="L4" i="2"/>
  <c r="L3" i="2"/>
  <c r="E3" i="5"/>
  <c r="E4" i="5"/>
  <c r="E5" i="5"/>
  <c r="E2" i="5"/>
  <c r="G5" i="5"/>
  <c r="F5" i="5"/>
  <c r="G4" i="5"/>
  <c r="F4" i="5"/>
  <c r="F3" i="5"/>
  <c r="G3" i="5"/>
  <c r="G2" i="5"/>
  <c r="F2" i="5"/>
  <c r="K12" i="2" l="1"/>
  <c r="K11" i="2"/>
  <c r="K10" i="2"/>
  <c r="K9" i="2"/>
  <c r="K8" i="2"/>
  <c r="K7" i="2"/>
  <c r="K6" i="2"/>
  <c r="K5" i="2"/>
  <c r="K4" i="2"/>
  <c r="K3" i="2"/>
  <c r="D20" i="2"/>
  <c r="E20" i="2"/>
  <c r="D19" i="2"/>
  <c r="E19" i="2"/>
  <c r="D18" i="2"/>
  <c r="E18" i="2"/>
  <c r="D17" i="2"/>
  <c r="E17" i="2"/>
  <c r="E16" i="2"/>
  <c r="D16" i="2"/>
  <c r="E15" i="2"/>
  <c r="D15" i="2"/>
  <c r="E14" i="2"/>
  <c r="D14" i="2"/>
  <c r="E13" i="2"/>
  <c r="D13" i="2"/>
  <c r="B23" i="3"/>
  <c r="E23" i="3" s="1"/>
  <c r="D23" i="3"/>
  <c r="E24" i="3"/>
  <c r="D24" i="3"/>
  <c r="E22" i="3"/>
  <c r="D22" i="3"/>
  <c r="D21" i="3"/>
  <c r="E21" i="3"/>
  <c r="D20" i="3"/>
  <c r="E20" i="3"/>
  <c r="E19" i="3"/>
  <c r="D19" i="3"/>
  <c r="E27" i="3"/>
  <c r="D27" i="3"/>
  <c r="E26" i="3"/>
  <c r="D26" i="3"/>
  <c r="D17" i="3"/>
  <c r="E17" i="3"/>
  <c r="D13" i="3"/>
  <c r="D16" i="3"/>
  <c r="E16" i="3"/>
  <c r="E15" i="3"/>
  <c r="D15" i="3"/>
  <c r="D3" i="3"/>
  <c r="D9" i="3"/>
  <c r="E13" i="3"/>
  <c r="D2" i="3"/>
  <c r="D11" i="3"/>
  <c r="D10" i="3"/>
  <c r="B10" i="3" s="1"/>
  <c r="E10" i="3" s="1"/>
  <c r="D12" i="3"/>
  <c r="E12" i="3"/>
  <c r="E9" i="3"/>
  <c r="D8" i="3"/>
  <c r="E8" i="3"/>
  <c r="E7" i="3"/>
  <c r="D7" i="3"/>
  <c r="E5" i="3"/>
  <c r="D5" i="3"/>
  <c r="E4" i="3"/>
  <c r="D4" i="3"/>
  <c r="E10" i="2"/>
  <c r="E7" i="2"/>
  <c r="E5" i="2"/>
  <c r="E3" i="3"/>
  <c r="E2" i="3"/>
  <c r="D10" i="2"/>
  <c r="D7" i="2"/>
  <c r="D5" i="2"/>
  <c r="E11" i="3"/>
</calcChain>
</file>

<file path=xl/sharedStrings.xml><?xml version="1.0" encoding="utf-8"?>
<sst xmlns="http://schemas.openxmlformats.org/spreadsheetml/2006/main" count="413" uniqueCount="106">
  <si>
    <t>UK</t>
  </si>
  <si>
    <t>BE</t>
  </si>
  <si>
    <t>NL</t>
  </si>
  <si>
    <t>DE</t>
  </si>
  <si>
    <t>AT</t>
  </si>
  <si>
    <t>IT</t>
  </si>
  <si>
    <t>CH</t>
  </si>
  <si>
    <t>SI</t>
  </si>
  <si>
    <t>HR</t>
  </si>
  <si>
    <t>FR</t>
  </si>
  <si>
    <t>DK</t>
  </si>
  <si>
    <t>PL</t>
  </si>
  <si>
    <t>CZ</t>
  </si>
  <si>
    <t>SK</t>
  </si>
  <si>
    <t>HU</t>
  </si>
  <si>
    <t>RS</t>
  </si>
  <si>
    <t>BG</t>
  </si>
  <si>
    <t>GR</t>
  </si>
  <si>
    <t>RO</t>
  </si>
  <si>
    <t>LT</t>
  </si>
  <si>
    <t>LV</t>
  </si>
  <si>
    <t>ES</t>
  </si>
  <si>
    <t>PT</t>
  </si>
  <si>
    <t>UA</t>
  </si>
  <si>
    <t>MD</t>
  </si>
  <si>
    <t>RU</t>
  </si>
  <si>
    <t>AL</t>
  </si>
  <si>
    <t>LU</t>
  </si>
  <si>
    <t>IE</t>
  </si>
  <si>
    <t>BA</t>
  </si>
  <si>
    <t>MK</t>
  </si>
  <si>
    <t>TR</t>
  </si>
  <si>
    <t>SM</t>
  </si>
  <si>
    <t>NO</t>
  </si>
  <si>
    <t>DZ</t>
  </si>
  <si>
    <t>TN</t>
  </si>
  <si>
    <t>LY</t>
  </si>
  <si>
    <t>BY</t>
  </si>
  <si>
    <t>EE</t>
  </si>
  <si>
    <t>FI</t>
  </si>
  <si>
    <t>https://transparency.entsog.eu/#/map</t>
  </si>
  <si>
    <t>Estonia</t>
  </si>
  <si>
    <t>Russia</t>
  </si>
  <si>
    <t>kWh/d</t>
  </si>
  <si>
    <t>TWh/a</t>
  </si>
  <si>
    <t>Mrd m3</t>
  </si>
  <si>
    <t>Ukraine (Sudzha)</t>
  </si>
  <si>
    <t>Ukraine (Belgorod)</t>
  </si>
  <si>
    <t>no data</t>
  </si>
  <si>
    <t>Ukraine (Valuyki)</t>
  </si>
  <si>
    <t>Ukraine (Serebryanka)</t>
  </si>
  <si>
    <t>Ukraine (Sokhranovka)</t>
  </si>
  <si>
    <t>Ukraine (Pisarevka)</t>
  </si>
  <si>
    <t>Ukraine (Prokhorovka)</t>
  </si>
  <si>
    <t>Ukraine (Platovo)</t>
  </si>
  <si>
    <t>Lithuania</t>
  </si>
  <si>
    <t>Mrd m3/a</t>
  </si>
  <si>
    <t>Belgium Zeebruge</t>
  </si>
  <si>
    <t>Belgium Dunqu</t>
  </si>
  <si>
    <t>France Dunqu</t>
  </si>
  <si>
    <t>France Le havre</t>
  </si>
  <si>
    <t>France Bretagne</t>
  </si>
  <si>
    <t>no operation</t>
  </si>
  <si>
    <t>France Tonkin/Cavou</t>
  </si>
  <si>
    <t>Greece</t>
  </si>
  <si>
    <t>Croatia</t>
  </si>
  <si>
    <t>Poland</t>
  </si>
  <si>
    <t>Portugal</t>
  </si>
  <si>
    <t>???</t>
  </si>
  <si>
    <t>Transparency</t>
  </si>
  <si>
    <t>Capacity Map</t>
  </si>
  <si>
    <t>GWh/d</t>
  </si>
  <si>
    <t>Italy Livorno</t>
  </si>
  <si>
    <t>no in capacity map</t>
  </si>
  <si>
    <t>Italy Piombino</t>
  </si>
  <si>
    <t>Italy Panigaglia</t>
  </si>
  <si>
    <t>Italy Adriatico</t>
  </si>
  <si>
    <t>Netherlands Rotterdam</t>
  </si>
  <si>
    <t>Turkie</t>
  </si>
  <si>
    <t>UK Grain</t>
  </si>
  <si>
    <t>UK Milford</t>
  </si>
  <si>
    <t>Spain Barcelona</t>
  </si>
  <si>
    <t>Spain Sagunto</t>
  </si>
  <si>
    <t>Spain Cartagena</t>
  </si>
  <si>
    <t>Spain Huelva</t>
  </si>
  <si>
    <t>Spain Mugardos</t>
  </si>
  <si>
    <t>Spain Bilbao</t>
  </si>
  <si>
    <t>Spain Sines</t>
  </si>
  <si>
    <t>Ukraine</t>
  </si>
  <si>
    <t>Moldova</t>
  </si>
  <si>
    <t>Moldova (Grebenyky)</t>
  </si>
  <si>
    <t>Moldova (Oleksiivka)</t>
  </si>
  <si>
    <t>Ukraine (Caushany)</t>
  </si>
  <si>
    <t>Belarus</t>
  </si>
  <si>
    <t>Finland</t>
  </si>
  <si>
    <t>Belgium</t>
  </si>
  <si>
    <t>Luxembourg</t>
  </si>
  <si>
    <t>https://www.spiegel.de/wirtschaft/unternehmen/putin-und-erdogan-eroeffnen-pipeline-turkish-stream-a-0b233303-8fa5-452d-91ad-6505ad496bf9</t>
  </si>
  <si>
    <t>Turkey</t>
  </si>
  <si>
    <t>France</t>
  </si>
  <si>
    <t>From</t>
  </si>
  <si>
    <t>To</t>
  </si>
  <si>
    <t>Value</t>
  </si>
  <si>
    <t>both directions</t>
  </si>
  <si>
    <t>Latvia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</si>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</sst>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4" fontId="0" fillId="0" borderId="0" xfId="0" applyNumberFormat="1"/>
  </cellXfs>
  <cellStyles count="2">
    <cellStyle name="Normal" xfId="0" builtinId="0"/>
    <cellStyle name="Normal 2" xfId="1" xr:uid="{2ADF71F3-C294-4B96-BB28-0A60DDE344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0065-35D1-4A3E-8E5C-3787FF4C78C2}">
  <dimension ref="A1:AO41"/>
  <sheetViews>
    <sheetView topLeftCell="A28" workbookViewId="0">
      <selection activeCell="A36" sqref="A36"/>
    </sheetView>
  </sheetViews>
  <sheetFormatPr defaultRowHeight="14.5" x14ac:dyDescent="0.35"/>
  <sheetData>
    <row r="1" spans="1:4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35">
      <c r="A2" s="1" t="s">
        <v>0</v>
      </c>
      <c r="B2" s="1">
        <v>1455.1</v>
      </c>
      <c r="C2" s="1">
        <v>651.70000000000005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386.9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</row>
    <row r="3" spans="1:41" x14ac:dyDescent="0.35">
      <c r="A3" s="1" t="s">
        <v>1</v>
      </c>
      <c r="B3" s="1">
        <v>803.4</v>
      </c>
      <c r="C3" s="1">
        <v>0</v>
      </c>
      <c r="D3" s="1">
        <v>331.2</v>
      </c>
      <c r="E3" s="1">
        <v>322.77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870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</row>
    <row r="4" spans="1:41" x14ac:dyDescent="0.35">
      <c r="A4" s="1" t="s">
        <v>2</v>
      </c>
      <c r="B4" s="1">
        <v>0</v>
      </c>
      <c r="C4" s="1">
        <v>1397.2</v>
      </c>
      <c r="D4" s="1">
        <v>0</v>
      </c>
      <c r="E4" s="1">
        <v>1925.7729999999999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</row>
    <row r="5" spans="1:41" x14ac:dyDescent="0.35">
      <c r="A5" s="1" t="s">
        <v>3</v>
      </c>
      <c r="B5" s="1">
        <v>0</v>
      </c>
      <c r="C5" s="1">
        <v>396.15000000000003</v>
      </c>
      <c r="D5" s="1">
        <v>1628.3030000000001</v>
      </c>
      <c r="E5" s="1">
        <v>669</v>
      </c>
      <c r="F5" s="1">
        <v>344.24799999999993</v>
      </c>
      <c r="G5" s="1">
        <v>0</v>
      </c>
      <c r="H5" s="1">
        <v>328</v>
      </c>
      <c r="I5" s="1">
        <v>0</v>
      </c>
      <c r="J5" s="1">
        <v>0</v>
      </c>
      <c r="K5" s="1">
        <v>613.71600000000001</v>
      </c>
      <c r="L5" s="1">
        <v>136.11199999999999</v>
      </c>
      <c r="M5" s="1">
        <v>233.5</v>
      </c>
      <c r="N5" s="1">
        <v>1803.77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26.71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</row>
    <row r="6" spans="1:41" x14ac:dyDescent="0.35">
      <c r="A6" s="1" t="s">
        <v>4</v>
      </c>
      <c r="B6" s="1">
        <v>0</v>
      </c>
      <c r="C6" s="1">
        <v>0</v>
      </c>
      <c r="D6" s="1">
        <v>0</v>
      </c>
      <c r="E6" s="1">
        <v>339.96799999999996</v>
      </c>
      <c r="F6" s="1">
        <v>0</v>
      </c>
      <c r="G6" s="1">
        <v>1150</v>
      </c>
      <c r="H6" s="1">
        <v>0</v>
      </c>
      <c r="I6" s="1">
        <v>112.5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246.5</v>
      </c>
      <c r="P6" s="1">
        <v>153.1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</row>
    <row r="7" spans="1:41" x14ac:dyDescent="0.35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193.5</v>
      </c>
      <c r="G7" s="1">
        <v>0</v>
      </c>
      <c r="H7" s="1">
        <v>431.4</v>
      </c>
      <c r="I7" s="1">
        <v>28.5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4.3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 x14ac:dyDescent="0.35">
      <c r="A8" s="1" t="s">
        <v>6</v>
      </c>
      <c r="B8" s="1">
        <v>0</v>
      </c>
      <c r="C8" s="1">
        <v>0</v>
      </c>
      <c r="D8" s="1">
        <v>0</v>
      </c>
      <c r="E8" s="1">
        <v>172.8</v>
      </c>
      <c r="F8" s="1">
        <v>0</v>
      </c>
      <c r="G8" s="1">
        <v>640.4</v>
      </c>
      <c r="H8" s="1">
        <v>0</v>
      </c>
      <c r="I8" s="1">
        <v>0</v>
      </c>
      <c r="J8" s="1">
        <v>0</v>
      </c>
      <c r="K8" s="1">
        <v>100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</row>
    <row r="9" spans="1:41" x14ac:dyDescent="0.35">
      <c r="A9" s="1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21.5</v>
      </c>
      <c r="H9" s="1">
        <v>0</v>
      </c>
      <c r="I9" s="1">
        <v>0</v>
      </c>
      <c r="J9" s="1">
        <v>53.7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35">
      <c r="A10" s="1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7.7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48.57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</row>
    <row r="11" spans="1:41" x14ac:dyDescent="0.35">
      <c r="A11" s="1" t="s">
        <v>9</v>
      </c>
      <c r="B11" s="1">
        <v>0</v>
      </c>
      <c r="C11" s="1">
        <v>270</v>
      </c>
      <c r="D11" s="1">
        <v>0</v>
      </c>
      <c r="E11" s="1">
        <v>0</v>
      </c>
      <c r="F11" s="1">
        <v>0</v>
      </c>
      <c r="G11" s="1">
        <v>0</v>
      </c>
      <c r="H11" s="1">
        <v>223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164.572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 x14ac:dyDescent="0.35">
      <c r="A12" s="1" t="s">
        <v>10</v>
      </c>
      <c r="B12" s="1">
        <v>0</v>
      </c>
      <c r="C12" s="1">
        <v>0</v>
      </c>
      <c r="D12" s="1">
        <v>0</v>
      </c>
      <c r="E12" s="1">
        <v>4.1189999999999998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</row>
    <row r="13" spans="1:41" x14ac:dyDescent="0.35">
      <c r="A13" s="1" t="s">
        <v>11</v>
      </c>
      <c r="B13" s="1">
        <v>0</v>
      </c>
      <c r="C13" s="1">
        <v>0</v>
      </c>
      <c r="D13" s="1">
        <v>0</v>
      </c>
      <c r="E13" s="1">
        <v>931.6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</row>
    <row r="14" spans="1:41" x14ac:dyDescent="0.35">
      <c r="A14" s="1" t="s">
        <v>12</v>
      </c>
      <c r="B14" s="1">
        <v>0</v>
      </c>
      <c r="C14" s="1">
        <v>0</v>
      </c>
      <c r="D14" s="1">
        <v>0</v>
      </c>
      <c r="E14" s="1">
        <v>1231.759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28</v>
      </c>
      <c r="N14" s="1">
        <v>0</v>
      </c>
      <c r="O14" s="1">
        <v>1246.4000000000001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</row>
    <row r="15" spans="1:41" x14ac:dyDescent="0.35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1570.4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457.6</v>
      </c>
      <c r="O15" s="1">
        <v>0</v>
      </c>
      <c r="P15" s="1">
        <v>128.9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416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 x14ac:dyDescent="0.35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77.400000000000006</v>
      </c>
      <c r="K16" s="1">
        <v>0</v>
      </c>
      <c r="L16" s="1">
        <v>0</v>
      </c>
      <c r="M16" s="1">
        <v>0</v>
      </c>
      <c r="N16" s="1">
        <v>0</v>
      </c>
      <c r="O16" s="1">
        <v>50.883000000000003</v>
      </c>
      <c r="P16" s="1">
        <v>0</v>
      </c>
      <c r="Q16" s="1">
        <v>142</v>
      </c>
      <c r="R16" s="1">
        <v>0</v>
      </c>
      <c r="S16" s="1">
        <v>0</v>
      </c>
      <c r="T16" s="1">
        <v>77.5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</row>
    <row r="17" spans="1:41" x14ac:dyDescent="0.35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335.26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17.98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 x14ac:dyDescent="0.35">
      <c r="A18" s="1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398.13</v>
      </c>
      <c r="R18" s="1">
        <v>0</v>
      </c>
      <c r="S18" s="1">
        <v>117.8</v>
      </c>
      <c r="T18" s="1">
        <v>148.15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27.38</v>
      </c>
      <c r="AG18" s="1">
        <v>497.16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</row>
    <row r="19" spans="1:41" x14ac:dyDescent="0.35">
      <c r="A19" s="1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64.819999999999993</v>
      </c>
      <c r="S19" s="1">
        <v>53.4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 x14ac:dyDescent="0.35">
      <c r="A20" s="1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50.3</v>
      </c>
      <c r="Q20" s="1">
        <v>0</v>
      </c>
      <c r="R20" s="1">
        <v>805.75000000000011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122.2</v>
      </c>
      <c r="Z20" s="1">
        <v>16.100000000000001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</row>
    <row r="21" spans="1:41" x14ac:dyDescent="0.35">
      <c r="A21" s="1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67.599999999999994</v>
      </c>
      <c r="W21" s="1">
        <v>0</v>
      </c>
      <c r="X21" s="1">
        <v>0</v>
      </c>
      <c r="Y21" s="1">
        <v>0</v>
      </c>
      <c r="Z21" s="1">
        <v>0</v>
      </c>
      <c r="AA21" s="1">
        <v>114.2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 x14ac:dyDescent="0.35">
      <c r="A22" s="1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65.099999999999994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85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</row>
    <row r="23" spans="1:41" x14ac:dyDescent="0.35">
      <c r="A23" s="1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224.4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144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</row>
    <row r="24" spans="1:41" x14ac:dyDescent="0.35">
      <c r="A24" s="1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80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</row>
    <row r="25" spans="1:41" x14ac:dyDescent="0.35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135.6</v>
      </c>
      <c r="N25" s="1">
        <v>0</v>
      </c>
      <c r="O25" s="1">
        <v>2277.6</v>
      </c>
      <c r="P25" s="1">
        <v>515.6</v>
      </c>
      <c r="Q25" s="1">
        <v>0</v>
      </c>
      <c r="R25" s="1">
        <v>0</v>
      </c>
      <c r="S25" s="1">
        <v>0</v>
      </c>
      <c r="T25" s="1">
        <v>1163.4000000000001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</row>
    <row r="26" spans="1:41" x14ac:dyDescent="0.35">
      <c r="A26" s="1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2.2000000000000002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</row>
    <row r="27" spans="1:41" x14ac:dyDescent="0.35">
      <c r="A27" s="1" t="s">
        <v>25</v>
      </c>
      <c r="B27" s="1">
        <v>0</v>
      </c>
      <c r="C27" s="1">
        <v>0</v>
      </c>
      <c r="D27" s="1">
        <v>0</v>
      </c>
      <c r="E27" s="1">
        <v>1742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168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220</v>
      </c>
    </row>
    <row r="28" spans="1:41" x14ac:dyDescent="0.35">
      <c r="A28" s="1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487.1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</row>
    <row r="29" spans="1:41" x14ac:dyDescent="0.35">
      <c r="A29" s="1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</row>
    <row r="30" spans="1:41" x14ac:dyDescent="0.35">
      <c r="A30" s="1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 x14ac:dyDescent="0.35">
      <c r="A31" s="1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</row>
    <row r="32" spans="1:41" x14ac:dyDescent="0.35">
      <c r="A32" s="1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 x14ac:dyDescent="0.35">
      <c r="A33" s="1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576.03</v>
      </c>
      <c r="S33" s="1">
        <v>398.6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</row>
    <row r="34" spans="1:41" x14ac:dyDescent="0.35">
      <c r="A34" s="1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35">
      <c r="A35" s="1" t="s">
        <v>33</v>
      </c>
      <c r="B35" s="1">
        <v>1499.1</v>
      </c>
      <c r="C35" s="1">
        <v>488</v>
      </c>
      <c r="D35" s="1">
        <v>0</v>
      </c>
      <c r="E35" s="1">
        <v>2210.5639999999999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570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</row>
    <row r="36" spans="1:41" x14ac:dyDescent="0.35">
      <c r="A36" s="1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731.7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x14ac:dyDescent="0.35">
      <c r="A37" s="1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1138.0999999999999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</row>
    <row r="38" spans="1:41" x14ac:dyDescent="0.35">
      <c r="A38" s="1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475.8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x14ac:dyDescent="0.35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1203.4999999999998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325.39999999999998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</row>
    <row r="40" spans="1:41" x14ac:dyDescent="0.35">
      <c r="A40" s="1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</row>
    <row r="41" spans="1:41" x14ac:dyDescent="0.35">
      <c r="A41" s="1" t="s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2F58-220D-43EA-8C99-FF1F6EC6F691}">
  <dimension ref="A1:L21"/>
  <sheetViews>
    <sheetView topLeftCell="A10" workbookViewId="0">
      <selection activeCell="L4" sqref="L4:L12"/>
    </sheetView>
  </sheetViews>
  <sheetFormatPr defaultRowHeight="14.5" x14ac:dyDescent="0.35"/>
  <cols>
    <col min="2" max="2" width="15.26953125" customWidth="1"/>
    <col min="3" max="3" width="15" bestFit="1" customWidth="1"/>
    <col min="4" max="4" width="11.90625" bestFit="1" customWidth="1"/>
    <col min="5" max="5" width="8.81640625" bestFit="1" customWidth="1"/>
  </cols>
  <sheetData>
    <row r="1" spans="1:12" x14ac:dyDescent="0.35">
      <c r="A1" t="s">
        <v>40</v>
      </c>
    </row>
    <row r="2" spans="1:12" x14ac:dyDescent="0.35">
      <c r="K2" t="s">
        <v>45</v>
      </c>
      <c r="L2" t="s">
        <v>71</v>
      </c>
    </row>
    <row r="3" spans="1:12" x14ac:dyDescent="0.35">
      <c r="C3" t="s">
        <v>43</v>
      </c>
      <c r="D3" t="s">
        <v>44</v>
      </c>
      <c r="E3" t="s">
        <v>45</v>
      </c>
      <c r="I3" t="s">
        <v>25</v>
      </c>
      <c r="J3" t="s">
        <v>38</v>
      </c>
      <c r="K3">
        <f>E4</f>
        <v>0</v>
      </c>
      <c r="L3">
        <f>D4</f>
        <v>0</v>
      </c>
    </row>
    <row r="4" spans="1:12" x14ac:dyDescent="0.35">
      <c r="A4" t="s">
        <v>42</v>
      </c>
      <c r="B4" t="s">
        <v>41</v>
      </c>
      <c r="I4" t="s">
        <v>25</v>
      </c>
      <c r="J4" t="s">
        <v>23</v>
      </c>
      <c r="K4" s="2">
        <f>SUM(E5:E12)</f>
        <v>179.34486571921499</v>
      </c>
      <c r="L4" s="2">
        <f>SUM(D5:D12)/365*1000</f>
        <v>5459.5088498999994</v>
      </c>
    </row>
    <row r="5" spans="1:12" x14ac:dyDescent="0.35">
      <c r="A5" t="s">
        <v>42</v>
      </c>
      <c r="B5" t="s">
        <v>46</v>
      </c>
      <c r="C5" s="2">
        <v>1745077371</v>
      </c>
      <c r="D5" s="2">
        <f>C5*365/10^9</f>
        <v>636.95324041499998</v>
      </c>
      <c r="E5" s="2">
        <f>C5*365*3.6/40/10^9</f>
        <v>57.325791637350001</v>
      </c>
      <c r="I5" t="s">
        <v>23</v>
      </c>
      <c r="J5" t="s">
        <v>24</v>
      </c>
      <c r="K5" s="2">
        <f>SUM(E13:E14)</f>
        <v>8.3918765879820008</v>
      </c>
      <c r="L5" s="2">
        <f>SUM(D13:D14)/365*1000</f>
        <v>255.46047452000005</v>
      </c>
    </row>
    <row r="6" spans="1:12" x14ac:dyDescent="0.35">
      <c r="A6" t="s">
        <v>42</v>
      </c>
      <c r="B6" t="s">
        <v>47</v>
      </c>
      <c r="C6" s="2" t="s">
        <v>48</v>
      </c>
      <c r="D6" s="2"/>
      <c r="E6" s="2"/>
      <c r="I6" t="s">
        <v>24</v>
      </c>
      <c r="J6" t="s">
        <v>23</v>
      </c>
      <c r="K6" s="2">
        <f>E15</f>
        <v>2.6558076557430002</v>
      </c>
      <c r="L6" s="2">
        <f>D15/365*1000</f>
        <v>80.846503979999994</v>
      </c>
    </row>
    <row r="7" spans="1:12" x14ac:dyDescent="0.35">
      <c r="A7" t="s">
        <v>42</v>
      </c>
      <c r="B7" t="s">
        <v>49</v>
      </c>
      <c r="C7" s="2">
        <v>3418069626</v>
      </c>
      <c r="D7" s="2">
        <f>C7*365/10^9</f>
        <v>1247.5954134900001</v>
      </c>
      <c r="E7" s="2">
        <f>C7*365*3.6/40/10^9</f>
        <v>112.28358721410001</v>
      </c>
      <c r="I7" t="s">
        <v>37</v>
      </c>
      <c r="J7" t="s">
        <v>23</v>
      </c>
      <c r="K7" s="2">
        <f>E16</f>
        <v>1.1672166971519999</v>
      </c>
      <c r="L7" s="2">
        <f>D16/365*1000</f>
        <v>35.53171072</v>
      </c>
    </row>
    <row r="8" spans="1:12" x14ac:dyDescent="0.35">
      <c r="A8" t="s">
        <v>42</v>
      </c>
      <c r="B8" t="s">
        <v>50</v>
      </c>
      <c r="C8" s="2" t="s">
        <v>48</v>
      </c>
      <c r="D8" s="2"/>
      <c r="E8" s="2"/>
      <c r="I8" t="s">
        <v>39</v>
      </c>
      <c r="J8" t="s">
        <v>38</v>
      </c>
      <c r="K8" s="2">
        <f>E17</f>
        <v>1.0775539125</v>
      </c>
      <c r="L8" s="2">
        <f>D17/365*1000</f>
        <v>32.802250000000008</v>
      </c>
    </row>
    <row r="9" spans="1:12" x14ac:dyDescent="0.35">
      <c r="A9" t="s">
        <v>42</v>
      </c>
      <c r="B9" t="s">
        <v>52</v>
      </c>
      <c r="C9" s="2" t="s">
        <v>48</v>
      </c>
      <c r="D9" s="2"/>
      <c r="E9" s="2"/>
      <c r="I9" t="s">
        <v>38</v>
      </c>
      <c r="J9" t="s">
        <v>39</v>
      </c>
      <c r="K9" s="2">
        <f>E18</f>
        <v>2.0150623948499997</v>
      </c>
      <c r="L9" s="2">
        <f>D18/365*1000</f>
        <v>61.341321000000001</v>
      </c>
    </row>
    <row r="10" spans="1:12" x14ac:dyDescent="0.35">
      <c r="A10" t="s">
        <v>42</v>
      </c>
      <c r="B10" t="s">
        <v>51</v>
      </c>
      <c r="C10" s="2">
        <v>296361852.89999998</v>
      </c>
      <c r="D10" s="2">
        <f>C10*365/10^9</f>
        <v>108.17207630849998</v>
      </c>
      <c r="E10" s="2">
        <f>C10*365*3.6/40/10^9</f>
        <v>9.7354868677649993</v>
      </c>
      <c r="I10" t="s">
        <v>1</v>
      </c>
      <c r="J10" t="s">
        <v>27</v>
      </c>
      <c r="K10" s="2">
        <f>E19</f>
        <v>1.3788308547000001</v>
      </c>
      <c r="L10" s="2">
        <f>D19/365*1000</f>
        <v>41.973541999999995</v>
      </c>
    </row>
    <row r="11" spans="1:12" x14ac:dyDescent="0.35">
      <c r="A11" t="s">
        <v>42</v>
      </c>
      <c r="B11" t="s">
        <v>53</v>
      </c>
      <c r="C11" s="2" t="s">
        <v>48</v>
      </c>
      <c r="D11" s="2"/>
      <c r="E11" s="2"/>
      <c r="I11" t="s">
        <v>27</v>
      </c>
      <c r="J11" t="s">
        <v>1</v>
      </c>
      <c r="K11" s="2">
        <f>E19</f>
        <v>1.3788308547000001</v>
      </c>
      <c r="L11" s="2">
        <f>D19/365*1000</f>
        <v>41.973541999999995</v>
      </c>
    </row>
    <row r="12" spans="1:12" x14ac:dyDescent="0.35">
      <c r="A12" t="s">
        <v>42</v>
      </c>
      <c r="B12" t="s">
        <v>54</v>
      </c>
      <c r="C12" s="2" t="s">
        <v>48</v>
      </c>
      <c r="D12" s="2"/>
      <c r="E12" s="2"/>
      <c r="I12" t="s">
        <v>25</v>
      </c>
      <c r="J12" t="s">
        <v>31</v>
      </c>
      <c r="K12" s="2">
        <f>E20</f>
        <v>31.499865</v>
      </c>
      <c r="L12" s="2">
        <f>D20/365*1000</f>
        <v>958.9</v>
      </c>
    </row>
    <row r="13" spans="1:12" x14ac:dyDescent="0.35">
      <c r="A13" t="s">
        <v>88</v>
      </c>
      <c r="B13" t="s">
        <v>90</v>
      </c>
      <c r="C13" s="2">
        <v>187983138</v>
      </c>
      <c r="D13" s="2">
        <f t="shared" ref="D13:D20" si="0">C13*365/10^9</f>
        <v>68.613845370000007</v>
      </c>
      <c r="E13" s="2">
        <f t="shared" ref="E13:E20" si="1">C13*365*3.6/40/10^9</f>
        <v>6.1752460833000002</v>
      </c>
    </row>
    <row r="14" spans="1:12" x14ac:dyDescent="0.35">
      <c r="A14" t="s">
        <v>88</v>
      </c>
      <c r="B14" t="s">
        <v>91</v>
      </c>
      <c r="C14" s="2">
        <v>67477336.519999996</v>
      </c>
      <c r="D14" s="2">
        <f t="shared" si="0"/>
        <v>24.629227829799998</v>
      </c>
      <c r="E14" s="2">
        <f t="shared" si="1"/>
        <v>2.2166305046820001</v>
      </c>
    </row>
    <row r="15" spans="1:12" x14ac:dyDescent="0.35">
      <c r="A15" t="s">
        <v>89</v>
      </c>
      <c r="B15" t="s">
        <v>92</v>
      </c>
      <c r="C15" s="2">
        <v>80846503.980000004</v>
      </c>
      <c r="D15" s="2">
        <f t="shared" si="0"/>
        <v>29.5089739527</v>
      </c>
      <c r="E15" s="2">
        <f t="shared" si="1"/>
        <v>2.6558076557430002</v>
      </c>
    </row>
    <row r="16" spans="1:12" x14ac:dyDescent="0.35">
      <c r="A16" t="s">
        <v>93</v>
      </c>
      <c r="B16" t="s">
        <v>88</v>
      </c>
      <c r="C16" s="2">
        <v>35531710.719999999</v>
      </c>
      <c r="D16" s="2">
        <f t="shared" si="0"/>
        <v>12.9690744128</v>
      </c>
      <c r="E16" s="2">
        <f t="shared" si="1"/>
        <v>1.1672166971519999</v>
      </c>
    </row>
    <row r="17" spans="1:6" x14ac:dyDescent="0.35">
      <c r="A17" t="s">
        <v>94</v>
      </c>
      <c r="B17" t="s">
        <v>41</v>
      </c>
      <c r="C17" s="2">
        <v>32802250</v>
      </c>
      <c r="D17" s="2">
        <f t="shared" si="0"/>
        <v>11.972821250000001</v>
      </c>
      <c r="E17" s="2">
        <f t="shared" si="1"/>
        <v>1.0775539125</v>
      </c>
    </row>
    <row r="18" spans="1:6" x14ac:dyDescent="0.35">
      <c r="A18" t="s">
        <v>41</v>
      </c>
      <c r="B18" t="s">
        <v>94</v>
      </c>
      <c r="C18" s="2">
        <v>61341321</v>
      </c>
      <c r="D18" s="2">
        <f t="shared" si="0"/>
        <v>22.389582165</v>
      </c>
      <c r="E18" s="2">
        <f t="shared" si="1"/>
        <v>2.0150623948499997</v>
      </c>
    </row>
    <row r="19" spans="1:6" x14ac:dyDescent="0.35">
      <c r="A19" t="s">
        <v>95</v>
      </c>
      <c r="B19" t="s">
        <v>96</v>
      </c>
      <c r="C19" s="2">
        <v>41973542</v>
      </c>
      <c r="D19" s="2">
        <f t="shared" si="0"/>
        <v>15.32034283</v>
      </c>
      <c r="E19" s="2">
        <f t="shared" si="1"/>
        <v>1.3788308547000001</v>
      </c>
      <c r="F19" t="s">
        <v>103</v>
      </c>
    </row>
    <row r="20" spans="1:6" x14ac:dyDescent="0.35">
      <c r="A20" t="s">
        <v>42</v>
      </c>
      <c r="B20" t="s">
        <v>98</v>
      </c>
      <c r="C20" s="2">
        <v>958900000</v>
      </c>
      <c r="D20" s="2">
        <f t="shared" si="0"/>
        <v>349.99849999999998</v>
      </c>
      <c r="E20" s="2">
        <f t="shared" si="1"/>
        <v>31.499865</v>
      </c>
      <c r="F20" t="s">
        <v>97</v>
      </c>
    </row>
    <row r="21" spans="1:6" x14ac:dyDescent="0.35">
      <c r="A21" t="s">
        <v>99</v>
      </c>
      <c r="B21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C84F-BD2D-4FD5-A497-E219E1AED4C3}">
  <dimension ref="A1:G91"/>
  <sheetViews>
    <sheetView workbookViewId="0">
      <selection activeCell="C23" sqref="C23"/>
    </sheetView>
  </sheetViews>
  <sheetFormatPr defaultRowHeight="14.5" x14ac:dyDescent="0.35"/>
  <cols>
    <col min="2" max="2" width="13.453125" bestFit="1" customWidth="1"/>
    <col min="3" max="3" width="13.453125" customWidth="1"/>
    <col min="4" max="5" width="11.90625" bestFit="1" customWidth="1"/>
  </cols>
  <sheetData>
    <row r="1" spans="1:7" x14ac:dyDescent="0.35">
      <c r="B1" t="s">
        <v>43</v>
      </c>
      <c r="C1" t="s">
        <v>71</v>
      </c>
      <c r="D1" t="s">
        <v>44</v>
      </c>
      <c r="E1" t="s">
        <v>56</v>
      </c>
    </row>
    <row r="2" spans="1:7" x14ac:dyDescent="0.35">
      <c r="A2" t="s">
        <v>55</v>
      </c>
      <c r="B2" s="2">
        <v>122350000</v>
      </c>
      <c r="C2" s="2">
        <v>122.4</v>
      </c>
      <c r="D2" s="2">
        <f>B2*365/10^9</f>
        <v>44.65775</v>
      </c>
      <c r="E2" s="2">
        <f>B2*365*3.6/40/10^9</f>
        <v>4.0191974999999998</v>
      </c>
      <c r="F2" t="s">
        <v>69</v>
      </c>
    </row>
    <row r="3" spans="1:7" x14ac:dyDescent="0.35">
      <c r="A3" t="s">
        <v>57</v>
      </c>
      <c r="B3" s="2">
        <v>480250000</v>
      </c>
      <c r="C3" s="2">
        <v>477</v>
      </c>
      <c r="D3" s="2">
        <f>B3*365/10^9</f>
        <v>175.29124999999999</v>
      </c>
      <c r="E3" s="2">
        <f>B3*365*3.6/40/10^9</f>
        <v>15.7762125</v>
      </c>
      <c r="F3" t="s">
        <v>69</v>
      </c>
    </row>
    <row r="4" spans="1:7" x14ac:dyDescent="0.35">
      <c r="A4" t="s">
        <v>58</v>
      </c>
      <c r="B4" s="2">
        <v>269687500</v>
      </c>
      <c r="C4" s="2"/>
      <c r="D4" s="2">
        <f>B4*365/10^9</f>
        <v>98.435937499999994</v>
      </c>
      <c r="E4" s="2">
        <f>B4*365*3.6/40/10^9</f>
        <v>8.8592343749999998</v>
      </c>
      <c r="F4" t="s">
        <v>69</v>
      </c>
      <c r="G4" t="s">
        <v>73</v>
      </c>
    </row>
    <row r="5" spans="1:7" x14ac:dyDescent="0.35">
      <c r="A5" t="s">
        <v>59</v>
      </c>
      <c r="B5" s="2">
        <v>519000000</v>
      </c>
      <c r="C5" s="2"/>
      <c r="D5" s="2">
        <f>B5*365/10^9</f>
        <v>189.435</v>
      </c>
      <c r="E5" s="2">
        <f>B5*365*3.6/40/10^9</f>
        <v>17.049150000000001</v>
      </c>
      <c r="F5" t="s">
        <v>69</v>
      </c>
    </row>
    <row r="6" spans="1:7" x14ac:dyDescent="0.35">
      <c r="A6" t="s">
        <v>60</v>
      </c>
      <c r="B6" s="2" t="s">
        <v>62</v>
      </c>
      <c r="C6" s="2"/>
      <c r="D6" s="2"/>
      <c r="E6" s="2"/>
    </row>
    <row r="7" spans="1:7" x14ac:dyDescent="0.35">
      <c r="A7" t="s">
        <v>61</v>
      </c>
      <c r="B7" s="2">
        <v>398962697</v>
      </c>
      <c r="C7" s="2"/>
      <c r="D7" s="2">
        <f>B7*365/10^9</f>
        <v>145.62138440499999</v>
      </c>
      <c r="E7" s="2">
        <f t="shared" ref="E7:E13" si="0">B7*365*3.6/40/10^9</f>
        <v>13.10592459645</v>
      </c>
      <c r="F7" t="s">
        <v>69</v>
      </c>
    </row>
    <row r="8" spans="1:7" x14ac:dyDescent="0.35">
      <c r="A8" t="s">
        <v>63</v>
      </c>
      <c r="B8" s="2">
        <v>408936764</v>
      </c>
      <c r="C8" s="2"/>
      <c r="D8" s="2">
        <f>B8*365/10^9</f>
        <v>149.26191886000001</v>
      </c>
      <c r="E8" s="2">
        <f t="shared" si="0"/>
        <v>13.433572697399999</v>
      </c>
      <c r="F8" t="s">
        <v>69</v>
      </c>
    </row>
    <row r="9" spans="1:7" x14ac:dyDescent="0.35">
      <c r="A9" t="s">
        <v>64</v>
      </c>
      <c r="B9" s="2">
        <v>204481800</v>
      </c>
      <c r="C9" s="2">
        <v>204.5</v>
      </c>
      <c r="D9" s="2">
        <f>B9*365/10^9</f>
        <v>74.635857000000001</v>
      </c>
      <c r="E9" s="2">
        <f t="shared" si="0"/>
        <v>6.7172271300000004</v>
      </c>
      <c r="F9" t="s">
        <v>69</v>
      </c>
    </row>
    <row r="10" spans="1:7" x14ac:dyDescent="0.35">
      <c r="A10" t="s">
        <v>65</v>
      </c>
      <c r="B10" s="2">
        <f>D10*10^9/365</f>
        <v>79800000</v>
      </c>
      <c r="C10" s="2">
        <v>79.8</v>
      </c>
      <c r="D10" s="2">
        <f>C10*365/10^3</f>
        <v>29.126999999999999</v>
      </c>
      <c r="E10" s="2">
        <f t="shared" si="0"/>
        <v>2.6214300000000001</v>
      </c>
      <c r="F10" t="s">
        <v>70</v>
      </c>
    </row>
    <row r="11" spans="1:7" x14ac:dyDescent="0.35">
      <c r="A11" t="s">
        <v>66</v>
      </c>
      <c r="B11" s="2">
        <v>164587500</v>
      </c>
      <c r="C11" s="2">
        <v>158</v>
      </c>
      <c r="D11" s="2">
        <f>B11*365/10^9</f>
        <v>60.074437500000002</v>
      </c>
      <c r="E11" s="2">
        <f t="shared" si="0"/>
        <v>5.4066993749999996</v>
      </c>
      <c r="F11" t="s">
        <v>69</v>
      </c>
    </row>
    <row r="12" spans="1:7" x14ac:dyDescent="0.35">
      <c r="A12" t="s">
        <v>67</v>
      </c>
      <c r="B12" s="2">
        <v>5000000</v>
      </c>
      <c r="C12" s="2"/>
      <c r="D12" s="2">
        <f>B12*365/10^9</f>
        <v>1.825</v>
      </c>
      <c r="E12" s="2">
        <f t="shared" si="0"/>
        <v>0.16425000000000001</v>
      </c>
      <c r="F12" t="s">
        <v>69</v>
      </c>
      <c r="G12" t="s">
        <v>68</v>
      </c>
    </row>
    <row r="13" spans="1:7" x14ac:dyDescent="0.35">
      <c r="A13" t="s">
        <v>72</v>
      </c>
      <c r="B13" s="2">
        <v>166911874</v>
      </c>
      <c r="C13" s="2">
        <v>163.9</v>
      </c>
      <c r="D13" s="2">
        <f>B13*365/10^9</f>
        <v>60.922834010000003</v>
      </c>
      <c r="E13" s="2">
        <f t="shared" si="0"/>
        <v>5.4830550608999999</v>
      </c>
      <c r="F13" t="s">
        <v>69</v>
      </c>
    </row>
    <row r="14" spans="1:7" x14ac:dyDescent="0.35">
      <c r="A14" t="s">
        <v>74</v>
      </c>
      <c r="B14" s="2"/>
      <c r="C14" s="2"/>
      <c r="D14" s="2"/>
      <c r="E14" s="2"/>
      <c r="G14" t="s">
        <v>68</v>
      </c>
    </row>
    <row r="15" spans="1:7" x14ac:dyDescent="0.35">
      <c r="A15" t="s">
        <v>75</v>
      </c>
      <c r="B15" s="2">
        <v>148070378</v>
      </c>
      <c r="C15" s="2"/>
      <c r="D15" s="2">
        <f>B15*365/10^9</f>
        <v>54.045687970000003</v>
      </c>
      <c r="E15" s="2">
        <f>B15*365*3.6/40/10^9</f>
        <v>4.8641119172999998</v>
      </c>
      <c r="F15" t="s">
        <v>69</v>
      </c>
    </row>
    <row r="16" spans="1:7" x14ac:dyDescent="0.35">
      <c r="A16" t="s">
        <v>76</v>
      </c>
      <c r="B16" s="2">
        <v>290246049</v>
      </c>
      <c r="C16" s="2"/>
      <c r="D16" s="2">
        <f>B16*365/10^9</f>
        <v>105.93980788499999</v>
      </c>
      <c r="E16" s="2">
        <f>B16*365*3.6/40/10^9</f>
        <v>9.5345827096499995</v>
      </c>
      <c r="F16" t="s">
        <v>69</v>
      </c>
    </row>
    <row r="17" spans="1:6" x14ac:dyDescent="0.35">
      <c r="A17" t="s">
        <v>77</v>
      </c>
      <c r="B17" s="2">
        <v>444000000</v>
      </c>
      <c r="C17" s="2"/>
      <c r="D17" s="2">
        <f>B17*365/10^9</f>
        <v>162.06</v>
      </c>
      <c r="E17" s="2">
        <f>B17*365*3.6/40/10^9</f>
        <v>14.5854</v>
      </c>
      <c r="F17" t="s">
        <v>69</v>
      </c>
    </row>
    <row r="18" spans="1:6" x14ac:dyDescent="0.35">
      <c r="A18" t="s">
        <v>78</v>
      </c>
      <c r="B18" s="2"/>
      <c r="C18" s="2"/>
      <c r="D18" s="2"/>
      <c r="E18" s="2"/>
    </row>
    <row r="19" spans="1:6" x14ac:dyDescent="0.35">
      <c r="A19" t="s">
        <v>81</v>
      </c>
      <c r="B19" s="2">
        <v>542872531</v>
      </c>
      <c r="C19" s="2"/>
      <c r="D19" s="2">
        <f>B19*365/10^9</f>
        <v>198.14847381499999</v>
      </c>
      <c r="E19" s="2">
        <f t="shared" ref="E19:E24" si="1">B19*365*3.6/40/10^9</f>
        <v>17.83336264335</v>
      </c>
      <c r="F19" t="s">
        <v>69</v>
      </c>
    </row>
    <row r="20" spans="1:6" x14ac:dyDescent="0.35">
      <c r="A20" t="s">
        <v>82</v>
      </c>
      <c r="B20" s="2">
        <v>278253873</v>
      </c>
      <c r="C20" s="2"/>
      <c r="D20" s="2">
        <f>B20*365/10^9</f>
        <v>101.562663645</v>
      </c>
      <c r="E20" s="2">
        <f t="shared" si="1"/>
        <v>9.1406397280499991</v>
      </c>
      <c r="F20" t="s">
        <v>69</v>
      </c>
    </row>
    <row r="21" spans="1:6" x14ac:dyDescent="0.35">
      <c r="A21" t="s">
        <v>83</v>
      </c>
      <c r="B21" s="2">
        <v>375834829</v>
      </c>
      <c r="C21" s="2"/>
      <c r="D21" s="2">
        <f>B21*365/10^9</f>
        <v>137.179712585</v>
      </c>
      <c r="E21" s="2">
        <f t="shared" si="1"/>
        <v>12.346174132649999</v>
      </c>
      <c r="F21" t="s">
        <v>69</v>
      </c>
    </row>
    <row r="22" spans="1:6" x14ac:dyDescent="0.35">
      <c r="A22" t="s">
        <v>84</v>
      </c>
      <c r="B22" s="2">
        <v>375834829</v>
      </c>
      <c r="C22" s="2"/>
      <c r="D22" s="2">
        <f>B22*365/10^9</f>
        <v>137.179712585</v>
      </c>
      <c r="E22" s="2">
        <f t="shared" si="1"/>
        <v>12.346174132649999</v>
      </c>
      <c r="F22" t="s">
        <v>69</v>
      </c>
    </row>
    <row r="23" spans="1:6" x14ac:dyDescent="0.35">
      <c r="A23" t="s">
        <v>85</v>
      </c>
      <c r="B23" s="2">
        <f>D23*10^9/365</f>
        <v>115200000</v>
      </c>
      <c r="C23" s="2">
        <v>115.2</v>
      </c>
      <c r="D23" s="2">
        <f>C23*365/10^3</f>
        <v>42.048000000000002</v>
      </c>
      <c r="E23" s="2">
        <f t="shared" si="1"/>
        <v>3.7843200000000001</v>
      </c>
      <c r="F23" t="s">
        <v>70</v>
      </c>
    </row>
    <row r="24" spans="1:6" x14ac:dyDescent="0.35">
      <c r="A24" t="s">
        <v>86</v>
      </c>
      <c r="B24" s="2">
        <v>248607780</v>
      </c>
      <c r="C24" s="2"/>
      <c r="D24" s="2">
        <f>B24*365/10^9</f>
        <v>90.7418397</v>
      </c>
      <c r="E24" s="2">
        <f t="shared" si="1"/>
        <v>8.1667655729999993</v>
      </c>
      <c r="F24" t="s">
        <v>69</v>
      </c>
    </row>
    <row r="25" spans="1:6" x14ac:dyDescent="0.35">
      <c r="A25" t="s">
        <v>87</v>
      </c>
      <c r="B25" s="2"/>
      <c r="C25" s="2"/>
      <c r="D25" s="2"/>
      <c r="E25" s="2"/>
    </row>
    <row r="26" spans="1:6" x14ac:dyDescent="0.35">
      <c r="A26" t="s">
        <v>79</v>
      </c>
      <c r="B26" s="2">
        <v>698980320</v>
      </c>
      <c r="C26" s="2"/>
      <c r="D26" s="2">
        <f>B26*365/10^9</f>
        <v>255.12781680000001</v>
      </c>
      <c r="E26" s="2">
        <f>B26*365*3.6/40/10^9</f>
        <v>22.961503512</v>
      </c>
      <c r="F26" t="s">
        <v>69</v>
      </c>
    </row>
    <row r="27" spans="1:6" x14ac:dyDescent="0.35">
      <c r="A27" t="s">
        <v>80</v>
      </c>
      <c r="B27" s="2">
        <v>949050000</v>
      </c>
      <c r="C27" s="2"/>
      <c r="D27" s="2">
        <f>B27*365/10^9</f>
        <v>346.40325000000001</v>
      </c>
      <c r="E27" s="2">
        <f>B27*365*3.6/40/10^9</f>
        <v>31.176292499999999</v>
      </c>
      <c r="F27" t="s">
        <v>69</v>
      </c>
    </row>
    <row r="28" spans="1:6" x14ac:dyDescent="0.35">
      <c r="B28" s="2"/>
      <c r="C28" s="2"/>
      <c r="D28" s="2"/>
      <c r="E28" s="2"/>
    </row>
    <row r="29" spans="1:6" x14ac:dyDescent="0.35">
      <c r="B29" s="2"/>
      <c r="C29" s="2"/>
      <c r="D29" s="2"/>
      <c r="E29" s="2"/>
    </row>
    <row r="30" spans="1:6" x14ac:dyDescent="0.35">
      <c r="B30" s="2"/>
      <c r="C30" s="2"/>
      <c r="D30" s="2"/>
      <c r="E30" s="2"/>
    </row>
    <row r="31" spans="1:6" x14ac:dyDescent="0.35">
      <c r="B31" s="2"/>
      <c r="C31" s="2"/>
      <c r="D31" s="2"/>
      <c r="E31" s="2"/>
    </row>
    <row r="32" spans="1:6" x14ac:dyDescent="0.35">
      <c r="B32" s="2"/>
      <c r="C32" s="2"/>
      <c r="D32" s="2"/>
      <c r="E32" s="2"/>
    </row>
    <row r="33" spans="2:5" x14ac:dyDescent="0.35">
      <c r="B33" s="2"/>
      <c r="C33" s="2"/>
      <c r="D33" s="2"/>
      <c r="E33" s="2"/>
    </row>
    <row r="34" spans="2:5" x14ac:dyDescent="0.35">
      <c r="B34" s="2"/>
      <c r="C34" s="2"/>
      <c r="D34" s="2"/>
      <c r="E34" s="2"/>
    </row>
    <row r="35" spans="2:5" x14ac:dyDescent="0.35">
      <c r="B35" s="2"/>
      <c r="C35" s="2"/>
      <c r="D35" s="2"/>
      <c r="E35" s="2"/>
    </row>
    <row r="36" spans="2:5" x14ac:dyDescent="0.35">
      <c r="B36" s="2"/>
      <c r="C36" s="2"/>
      <c r="D36" s="2"/>
      <c r="E36" s="2"/>
    </row>
    <row r="37" spans="2:5" x14ac:dyDescent="0.35">
      <c r="B37" s="2"/>
      <c r="C37" s="2"/>
      <c r="D37" s="2"/>
      <c r="E37" s="2"/>
    </row>
    <row r="38" spans="2:5" x14ac:dyDescent="0.35">
      <c r="B38" s="2"/>
      <c r="C38" s="2"/>
      <c r="D38" s="2"/>
      <c r="E38" s="2"/>
    </row>
    <row r="39" spans="2:5" x14ac:dyDescent="0.35">
      <c r="B39" s="2"/>
      <c r="C39" s="2"/>
      <c r="D39" s="2"/>
      <c r="E39" s="2"/>
    </row>
    <row r="40" spans="2:5" x14ac:dyDescent="0.35">
      <c r="B40" s="2"/>
      <c r="C40" s="2"/>
      <c r="D40" s="2"/>
      <c r="E40" s="2"/>
    </row>
    <row r="41" spans="2:5" x14ac:dyDescent="0.35">
      <c r="B41" s="2"/>
      <c r="C41" s="2"/>
      <c r="D41" s="2"/>
      <c r="E41" s="2"/>
    </row>
    <row r="42" spans="2:5" x14ac:dyDescent="0.35">
      <c r="B42" s="2"/>
      <c r="C42" s="2"/>
      <c r="D42" s="2"/>
      <c r="E42" s="2"/>
    </row>
    <row r="43" spans="2:5" x14ac:dyDescent="0.35">
      <c r="B43" s="2"/>
      <c r="C43" s="2"/>
      <c r="D43" s="2"/>
      <c r="E43" s="2"/>
    </row>
    <row r="44" spans="2:5" x14ac:dyDescent="0.35">
      <c r="B44" s="2"/>
      <c r="C44" s="2"/>
      <c r="D44" s="2"/>
      <c r="E44" s="2"/>
    </row>
    <row r="45" spans="2:5" x14ac:dyDescent="0.35">
      <c r="B45" s="2"/>
      <c r="C45" s="2"/>
      <c r="D45" s="2"/>
      <c r="E45" s="2"/>
    </row>
    <row r="46" spans="2:5" x14ac:dyDescent="0.35">
      <c r="B46" s="2"/>
      <c r="C46" s="2"/>
      <c r="D46" s="2"/>
      <c r="E46" s="2"/>
    </row>
    <row r="47" spans="2:5" x14ac:dyDescent="0.35">
      <c r="B47" s="2"/>
      <c r="C47" s="2"/>
      <c r="D47" s="2"/>
      <c r="E47" s="2"/>
    </row>
    <row r="48" spans="2:5" x14ac:dyDescent="0.35">
      <c r="B48" s="2"/>
      <c r="C48" s="2"/>
      <c r="D48" s="2"/>
      <c r="E48" s="2"/>
    </row>
    <row r="49" spans="2:5" x14ac:dyDescent="0.35">
      <c r="B49" s="2"/>
      <c r="C49" s="2"/>
      <c r="D49" s="2"/>
      <c r="E49" s="2"/>
    </row>
    <row r="50" spans="2:5" x14ac:dyDescent="0.35">
      <c r="B50" s="2"/>
      <c r="C50" s="2"/>
      <c r="D50" s="2"/>
      <c r="E50" s="2"/>
    </row>
    <row r="51" spans="2:5" x14ac:dyDescent="0.35">
      <c r="B51" s="2"/>
      <c r="C51" s="2"/>
      <c r="D51" s="2"/>
      <c r="E51" s="2"/>
    </row>
    <row r="52" spans="2:5" x14ac:dyDescent="0.35">
      <c r="B52" s="2"/>
      <c r="C52" s="2"/>
      <c r="D52" s="2"/>
      <c r="E52" s="2"/>
    </row>
    <row r="53" spans="2:5" x14ac:dyDescent="0.35">
      <c r="B53" s="2"/>
      <c r="C53" s="2"/>
      <c r="D53" s="2"/>
      <c r="E53" s="2"/>
    </row>
    <row r="54" spans="2:5" x14ac:dyDescent="0.35">
      <c r="B54" s="2"/>
      <c r="C54" s="2"/>
      <c r="D54" s="2"/>
      <c r="E54" s="2"/>
    </row>
    <row r="55" spans="2:5" x14ac:dyDescent="0.35">
      <c r="B55" s="2"/>
      <c r="C55" s="2"/>
      <c r="D55" s="2"/>
      <c r="E55" s="2"/>
    </row>
    <row r="56" spans="2:5" x14ac:dyDescent="0.35">
      <c r="B56" s="2"/>
      <c r="C56" s="2"/>
      <c r="D56" s="2"/>
      <c r="E56" s="2"/>
    </row>
    <row r="57" spans="2:5" x14ac:dyDescent="0.35">
      <c r="B57" s="2"/>
      <c r="C57" s="2"/>
      <c r="D57" s="2"/>
      <c r="E57" s="2"/>
    </row>
    <row r="58" spans="2:5" x14ac:dyDescent="0.35">
      <c r="B58" s="2"/>
      <c r="C58" s="2"/>
      <c r="D58" s="2"/>
      <c r="E58" s="2"/>
    </row>
    <row r="59" spans="2:5" x14ac:dyDescent="0.35">
      <c r="B59" s="2"/>
      <c r="C59" s="2"/>
      <c r="D59" s="2"/>
      <c r="E59" s="2"/>
    </row>
    <row r="60" spans="2:5" x14ac:dyDescent="0.35">
      <c r="B60" s="2"/>
      <c r="C60" s="2"/>
      <c r="D60" s="2"/>
      <c r="E60" s="2"/>
    </row>
    <row r="61" spans="2:5" x14ac:dyDescent="0.35">
      <c r="B61" s="2"/>
      <c r="C61" s="2"/>
      <c r="D61" s="2"/>
      <c r="E61" s="2"/>
    </row>
    <row r="62" spans="2:5" x14ac:dyDescent="0.35">
      <c r="B62" s="2"/>
      <c r="C62" s="2"/>
      <c r="D62" s="2"/>
      <c r="E62" s="2"/>
    </row>
    <row r="63" spans="2:5" x14ac:dyDescent="0.35">
      <c r="B63" s="2"/>
      <c r="C63" s="2"/>
      <c r="D63" s="2"/>
      <c r="E63" s="2"/>
    </row>
    <row r="64" spans="2:5" x14ac:dyDescent="0.35">
      <c r="B64" s="2"/>
      <c r="C64" s="2"/>
      <c r="D64" s="2"/>
      <c r="E64" s="2"/>
    </row>
    <row r="65" spans="2:5" x14ac:dyDescent="0.35">
      <c r="B65" s="2"/>
      <c r="C65" s="2"/>
      <c r="D65" s="2"/>
      <c r="E65" s="2"/>
    </row>
    <row r="66" spans="2:5" x14ac:dyDescent="0.35">
      <c r="B66" s="2"/>
      <c r="C66" s="2"/>
      <c r="D66" s="2"/>
      <c r="E66" s="2"/>
    </row>
    <row r="67" spans="2:5" x14ac:dyDescent="0.35">
      <c r="B67" s="2"/>
      <c r="C67" s="2"/>
      <c r="D67" s="2"/>
      <c r="E67" s="2"/>
    </row>
    <row r="68" spans="2:5" x14ac:dyDescent="0.35">
      <c r="B68" s="2"/>
      <c r="C68" s="2"/>
      <c r="D68" s="2"/>
      <c r="E68" s="2"/>
    </row>
    <row r="69" spans="2:5" x14ac:dyDescent="0.35">
      <c r="B69" s="2"/>
      <c r="C69" s="2"/>
      <c r="D69" s="2"/>
      <c r="E69" s="2"/>
    </row>
    <row r="70" spans="2:5" x14ac:dyDescent="0.35">
      <c r="B70" s="2"/>
      <c r="C70" s="2"/>
      <c r="D70" s="2"/>
      <c r="E70" s="2"/>
    </row>
    <row r="71" spans="2:5" x14ac:dyDescent="0.35">
      <c r="B71" s="2"/>
      <c r="C71" s="2"/>
      <c r="D71" s="2"/>
      <c r="E71" s="2"/>
    </row>
    <row r="72" spans="2:5" x14ac:dyDescent="0.35">
      <c r="B72" s="2"/>
      <c r="C72" s="2"/>
      <c r="D72" s="2"/>
      <c r="E72" s="2"/>
    </row>
    <row r="73" spans="2:5" x14ac:dyDescent="0.35">
      <c r="B73" s="2"/>
      <c r="C73" s="2"/>
      <c r="D73" s="2"/>
      <c r="E73" s="2"/>
    </row>
    <row r="74" spans="2:5" x14ac:dyDescent="0.35">
      <c r="B74" s="2"/>
      <c r="C74" s="2"/>
      <c r="D74" s="2"/>
      <c r="E74" s="2"/>
    </row>
    <row r="75" spans="2:5" x14ac:dyDescent="0.35">
      <c r="B75" s="2"/>
      <c r="C75" s="2"/>
      <c r="D75" s="2"/>
      <c r="E75" s="2"/>
    </row>
    <row r="76" spans="2:5" x14ac:dyDescent="0.35">
      <c r="B76" s="2"/>
      <c r="C76" s="2"/>
      <c r="D76" s="2"/>
      <c r="E76" s="2"/>
    </row>
    <row r="77" spans="2:5" x14ac:dyDescent="0.35">
      <c r="B77" s="2"/>
      <c r="C77" s="2"/>
      <c r="D77" s="2"/>
      <c r="E77" s="2"/>
    </row>
    <row r="78" spans="2:5" x14ac:dyDescent="0.35">
      <c r="B78" s="2"/>
      <c r="C78" s="2"/>
      <c r="D78" s="2"/>
      <c r="E78" s="2"/>
    </row>
    <row r="79" spans="2:5" x14ac:dyDescent="0.35">
      <c r="B79" s="2"/>
      <c r="C79" s="2"/>
      <c r="D79" s="2"/>
      <c r="E79" s="2"/>
    </row>
    <row r="80" spans="2:5" x14ac:dyDescent="0.35">
      <c r="B80" s="2"/>
      <c r="C80" s="2"/>
      <c r="D80" s="2"/>
      <c r="E80" s="2"/>
    </row>
    <row r="81" spans="2:5" x14ac:dyDescent="0.35">
      <c r="B81" s="2"/>
      <c r="C81" s="2"/>
      <c r="D81" s="2"/>
      <c r="E81" s="2"/>
    </row>
    <row r="82" spans="2:5" x14ac:dyDescent="0.35">
      <c r="B82" s="2"/>
      <c r="C82" s="2"/>
      <c r="D82" s="2"/>
      <c r="E82" s="2"/>
    </row>
    <row r="83" spans="2:5" x14ac:dyDescent="0.35">
      <c r="B83" s="2"/>
      <c r="C83" s="2"/>
      <c r="D83" s="2"/>
      <c r="E83" s="2"/>
    </row>
    <row r="84" spans="2:5" x14ac:dyDescent="0.35">
      <c r="B84" s="2"/>
      <c r="C84" s="2"/>
      <c r="D84" s="2"/>
      <c r="E84" s="2"/>
    </row>
    <row r="85" spans="2:5" x14ac:dyDescent="0.35">
      <c r="B85" s="2"/>
      <c r="C85" s="2"/>
      <c r="D85" s="2"/>
      <c r="E85" s="2"/>
    </row>
    <row r="86" spans="2:5" x14ac:dyDescent="0.35">
      <c r="B86" s="2"/>
      <c r="C86" s="2"/>
      <c r="D86" s="2"/>
      <c r="E86" s="2"/>
    </row>
    <row r="87" spans="2:5" x14ac:dyDescent="0.35">
      <c r="B87" s="2"/>
      <c r="C87" s="2"/>
      <c r="D87" s="2"/>
      <c r="E87" s="2"/>
    </row>
    <row r="88" spans="2:5" x14ac:dyDescent="0.35">
      <c r="B88" s="2"/>
      <c r="C88" s="2"/>
      <c r="D88" s="2"/>
      <c r="E88" s="2"/>
    </row>
    <row r="89" spans="2:5" x14ac:dyDescent="0.35">
      <c r="B89" s="2"/>
      <c r="C89" s="2"/>
      <c r="D89" s="2"/>
      <c r="E89" s="2"/>
    </row>
    <row r="90" spans="2:5" x14ac:dyDescent="0.35">
      <c r="B90" s="2"/>
      <c r="C90" s="2"/>
      <c r="D90" s="2"/>
      <c r="E90" s="2"/>
    </row>
    <row r="91" spans="2:5" x14ac:dyDescent="0.35">
      <c r="B91" s="2"/>
      <c r="C91" s="2"/>
      <c r="D91" s="2"/>
      <c r="E9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5903-86EF-4100-BFDF-24C51DC64438}">
  <dimension ref="A1:G65"/>
  <sheetViews>
    <sheetView workbookViewId="0">
      <selection activeCell="E10" sqref="E10"/>
    </sheetView>
  </sheetViews>
  <sheetFormatPr defaultRowHeight="14.5" x14ac:dyDescent="0.35"/>
  <cols>
    <col min="4" max="4" width="13.453125" bestFit="1" customWidth="1"/>
    <col min="5" max="5" width="13.453125" customWidth="1"/>
    <col min="6" max="7" width="11.90625" bestFit="1" customWidth="1"/>
  </cols>
  <sheetData>
    <row r="1" spans="1:7" x14ac:dyDescent="0.35">
      <c r="C1" t="s">
        <v>105</v>
      </c>
      <c r="D1" t="s">
        <v>43</v>
      </c>
      <c r="E1" t="s">
        <v>71</v>
      </c>
      <c r="F1" t="s">
        <v>44</v>
      </c>
      <c r="G1" t="s">
        <v>56</v>
      </c>
    </row>
    <row r="2" spans="1:7" x14ac:dyDescent="0.35">
      <c r="A2" t="s">
        <v>41</v>
      </c>
      <c r="B2" t="s">
        <v>104</v>
      </c>
      <c r="C2">
        <v>2020</v>
      </c>
      <c r="D2" s="2">
        <v>67700000</v>
      </c>
      <c r="E2" s="2">
        <f>D2/1000000</f>
        <v>67.7</v>
      </c>
      <c r="F2" s="2">
        <f>D2*365/10^9</f>
        <v>24.7105</v>
      </c>
      <c r="G2" s="2">
        <f>D2*365*3.6/40/10^9</f>
        <v>2.2239450000000001</v>
      </c>
    </row>
    <row r="3" spans="1:7" x14ac:dyDescent="0.35">
      <c r="A3" t="s">
        <v>104</v>
      </c>
      <c r="B3" t="s">
        <v>41</v>
      </c>
      <c r="C3">
        <v>2020</v>
      </c>
      <c r="D3" s="2">
        <v>67700000</v>
      </c>
      <c r="E3" s="2">
        <f t="shared" ref="E3:E5" si="0">D3/1000000</f>
        <v>67.7</v>
      </c>
      <c r="F3" s="2">
        <f>D3*365/10^9</f>
        <v>24.7105</v>
      </c>
      <c r="G3" s="2">
        <f>D3*365*3.6/40/10^9</f>
        <v>2.2239450000000001</v>
      </c>
    </row>
    <row r="4" spans="1:7" x14ac:dyDescent="0.35">
      <c r="A4" t="s">
        <v>41</v>
      </c>
      <c r="B4" t="s">
        <v>104</v>
      </c>
      <c r="C4">
        <v>2024</v>
      </c>
      <c r="D4" s="2">
        <v>90000000</v>
      </c>
      <c r="E4" s="2">
        <f t="shared" si="0"/>
        <v>90</v>
      </c>
      <c r="F4" s="2">
        <f>D4*365/10^9</f>
        <v>32.85</v>
      </c>
      <c r="G4" s="2">
        <f>D4*365*3.6/40/10^9</f>
        <v>2.9565000000000001</v>
      </c>
    </row>
    <row r="5" spans="1:7" x14ac:dyDescent="0.35">
      <c r="A5" t="s">
        <v>104</v>
      </c>
      <c r="B5" t="s">
        <v>41</v>
      </c>
      <c r="C5">
        <v>2024</v>
      </c>
      <c r="D5" s="2">
        <v>90000000</v>
      </c>
      <c r="E5" s="2">
        <f t="shared" si="0"/>
        <v>90</v>
      </c>
      <c r="F5" s="2">
        <f>D5*365/10^9</f>
        <v>32.85</v>
      </c>
      <c r="G5" s="2">
        <f>D5*365*3.6/40/10^9</f>
        <v>2.9565000000000001</v>
      </c>
    </row>
    <row r="6" spans="1:7" x14ac:dyDescent="0.35">
      <c r="D6" s="2"/>
      <c r="E6" s="2"/>
      <c r="F6" s="2"/>
      <c r="G6" s="2"/>
    </row>
    <row r="7" spans="1:7" x14ac:dyDescent="0.35">
      <c r="D7" s="2"/>
      <c r="E7" s="2"/>
      <c r="F7" s="2"/>
      <c r="G7" s="2"/>
    </row>
    <row r="8" spans="1:7" x14ac:dyDescent="0.35">
      <c r="D8" s="2"/>
      <c r="E8" s="2"/>
      <c r="F8" s="2"/>
      <c r="G8" s="2"/>
    </row>
    <row r="9" spans="1:7" x14ac:dyDescent="0.35">
      <c r="D9" s="2"/>
      <c r="E9" s="2"/>
      <c r="F9" s="2"/>
      <c r="G9" s="2"/>
    </row>
    <row r="10" spans="1:7" x14ac:dyDescent="0.35">
      <c r="D10" s="2"/>
      <c r="E10" s="2"/>
      <c r="F10" s="2"/>
      <c r="G10" s="2"/>
    </row>
    <row r="11" spans="1:7" x14ac:dyDescent="0.35">
      <c r="D11" s="2"/>
      <c r="E11" s="2"/>
      <c r="F11" s="2"/>
      <c r="G11" s="2"/>
    </row>
    <row r="12" spans="1:7" x14ac:dyDescent="0.35">
      <c r="D12" s="2"/>
      <c r="E12" s="2"/>
      <c r="F12" s="2"/>
      <c r="G12" s="2"/>
    </row>
    <row r="13" spans="1:7" x14ac:dyDescent="0.35">
      <c r="D13" s="2"/>
      <c r="E13" s="2"/>
      <c r="F13" s="2"/>
      <c r="G13" s="2"/>
    </row>
    <row r="14" spans="1:7" x14ac:dyDescent="0.35">
      <c r="D14" s="2"/>
      <c r="E14" s="2"/>
      <c r="F14" s="2"/>
      <c r="G14" s="2"/>
    </row>
    <row r="15" spans="1:7" x14ac:dyDescent="0.35">
      <c r="D15" s="2"/>
      <c r="E15" s="2"/>
      <c r="F15" s="2"/>
      <c r="G15" s="2"/>
    </row>
    <row r="16" spans="1:7" x14ac:dyDescent="0.35">
      <c r="D16" s="2"/>
      <c r="E16" s="2"/>
      <c r="F16" s="2"/>
      <c r="G16" s="2"/>
    </row>
    <row r="17" spans="4:7" x14ac:dyDescent="0.35">
      <c r="D17" s="2"/>
      <c r="E17" s="2"/>
      <c r="F17" s="2"/>
      <c r="G17" s="2"/>
    </row>
    <row r="18" spans="4:7" x14ac:dyDescent="0.35">
      <c r="D18" s="2"/>
      <c r="E18" s="2"/>
      <c r="F18" s="2"/>
      <c r="G18" s="2"/>
    </row>
    <row r="19" spans="4:7" x14ac:dyDescent="0.35">
      <c r="D19" s="2"/>
      <c r="E19" s="2"/>
      <c r="F19" s="2"/>
      <c r="G19" s="2"/>
    </row>
    <row r="20" spans="4:7" x14ac:dyDescent="0.35">
      <c r="D20" s="2"/>
      <c r="E20" s="2"/>
      <c r="F20" s="2"/>
      <c r="G20" s="2"/>
    </row>
    <row r="21" spans="4:7" x14ac:dyDescent="0.35">
      <c r="D21" s="2"/>
      <c r="E21" s="2"/>
      <c r="F21" s="2"/>
      <c r="G21" s="2"/>
    </row>
    <row r="22" spans="4:7" x14ac:dyDescent="0.35">
      <c r="D22" s="2"/>
      <c r="E22" s="2"/>
      <c r="F22" s="2"/>
      <c r="G22" s="2"/>
    </row>
    <row r="23" spans="4:7" x14ac:dyDescent="0.35">
      <c r="D23" s="2"/>
      <c r="E23" s="2"/>
      <c r="F23" s="2"/>
      <c r="G23" s="2"/>
    </row>
    <row r="24" spans="4:7" x14ac:dyDescent="0.35">
      <c r="D24" s="2"/>
      <c r="E24" s="2"/>
      <c r="F24" s="2"/>
      <c r="G24" s="2"/>
    </row>
    <row r="25" spans="4:7" x14ac:dyDescent="0.35">
      <c r="D25" s="2"/>
      <c r="E25" s="2"/>
      <c r="F25" s="2"/>
      <c r="G25" s="2"/>
    </row>
    <row r="26" spans="4:7" x14ac:dyDescent="0.35">
      <c r="D26" s="2"/>
      <c r="E26" s="2"/>
      <c r="F26" s="2"/>
      <c r="G26" s="2"/>
    </row>
    <row r="27" spans="4:7" x14ac:dyDescent="0.35">
      <c r="D27" s="2"/>
      <c r="E27" s="2"/>
      <c r="F27" s="2"/>
      <c r="G27" s="2"/>
    </row>
    <row r="28" spans="4:7" x14ac:dyDescent="0.35">
      <c r="D28" s="2"/>
      <c r="E28" s="2"/>
      <c r="F28" s="2"/>
      <c r="G28" s="2"/>
    </row>
    <row r="29" spans="4:7" x14ac:dyDescent="0.35">
      <c r="D29" s="2"/>
      <c r="E29" s="2"/>
      <c r="F29" s="2"/>
      <c r="G29" s="2"/>
    </row>
    <row r="30" spans="4:7" x14ac:dyDescent="0.35">
      <c r="D30" s="2"/>
      <c r="E30" s="2"/>
      <c r="F30" s="2"/>
      <c r="G30" s="2"/>
    </row>
    <row r="31" spans="4:7" x14ac:dyDescent="0.35">
      <c r="D31" s="2"/>
      <c r="E31" s="2"/>
      <c r="F31" s="2"/>
      <c r="G31" s="2"/>
    </row>
    <row r="32" spans="4:7" x14ac:dyDescent="0.35">
      <c r="D32" s="2"/>
      <c r="E32" s="2"/>
      <c r="F32" s="2"/>
      <c r="G32" s="2"/>
    </row>
    <row r="33" spans="4:7" x14ac:dyDescent="0.35">
      <c r="D33" s="2"/>
      <c r="E33" s="2"/>
      <c r="F33" s="2"/>
      <c r="G33" s="2"/>
    </row>
    <row r="34" spans="4:7" x14ac:dyDescent="0.35">
      <c r="D34" s="2"/>
      <c r="E34" s="2"/>
      <c r="F34" s="2"/>
      <c r="G34" s="2"/>
    </row>
    <row r="35" spans="4:7" x14ac:dyDescent="0.35">
      <c r="D35" s="2"/>
      <c r="E35" s="2"/>
      <c r="F35" s="2"/>
      <c r="G35" s="2"/>
    </row>
    <row r="36" spans="4:7" x14ac:dyDescent="0.35">
      <c r="D36" s="2"/>
      <c r="E36" s="2"/>
      <c r="F36" s="2"/>
      <c r="G36" s="2"/>
    </row>
    <row r="37" spans="4:7" x14ac:dyDescent="0.35">
      <c r="D37" s="2"/>
      <c r="E37" s="2"/>
      <c r="F37" s="2"/>
      <c r="G37" s="2"/>
    </row>
    <row r="38" spans="4:7" x14ac:dyDescent="0.35">
      <c r="D38" s="2"/>
      <c r="E38" s="2"/>
      <c r="F38" s="2"/>
      <c r="G38" s="2"/>
    </row>
    <row r="39" spans="4:7" x14ac:dyDescent="0.35">
      <c r="D39" s="2"/>
      <c r="E39" s="2"/>
      <c r="F39" s="2"/>
      <c r="G39" s="2"/>
    </row>
    <row r="40" spans="4:7" x14ac:dyDescent="0.35">
      <c r="D40" s="2"/>
      <c r="E40" s="2"/>
      <c r="F40" s="2"/>
      <c r="G40" s="2"/>
    </row>
    <row r="41" spans="4:7" x14ac:dyDescent="0.35">
      <c r="D41" s="2"/>
      <c r="E41" s="2"/>
      <c r="F41" s="2"/>
      <c r="G41" s="2"/>
    </row>
    <row r="42" spans="4:7" x14ac:dyDescent="0.35">
      <c r="D42" s="2"/>
      <c r="E42" s="2"/>
      <c r="F42" s="2"/>
      <c r="G42" s="2"/>
    </row>
    <row r="43" spans="4:7" x14ac:dyDescent="0.35">
      <c r="D43" s="2"/>
      <c r="E43" s="2"/>
      <c r="F43" s="2"/>
      <c r="G43" s="2"/>
    </row>
    <row r="44" spans="4:7" x14ac:dyDescent="0.35">
      <c r="D44" s="2"/>
      <c r="E44" s="2"/>
      <c r="F44" s="2"/>
      <c r="G44" s="2"/>
    </row>
    <row r="45" spans="4:7" x14ac:dyDescent="0.35">
      <c r="D45" s="2"/>
      <c r="E45" s="2"/>
      <c r="F45" s="2"/>
      <c r="G45" s="2"/>
    </row>
    <row r="46" spans="4:7" x14ac:dyDescent="0.35">
      <c r="D46" s="2"/>
      <c r="E46" s="2"/>
      <c r="F46" s="2"/>
      <c r="G46" s="2"/>
    </row>
    <row r="47" spans="4:7" x14ac:dyDescent="0.35">
      <c r="D47" s="2"/>
      <c r="E47" s="2"/>
      <c r="F47" s="2"/>
      <c r="G47" s="2"/>
    </row>
    <row r="48" spans="4:7" x14ac:dyDescent="0.35">
      <c r="D48" s="2"/>
      <c r="E48" s="2"/>
      <c r="F48" s="2"/>
      <c r="G48" s="2"/>
    </row>
    <row r="49" spans="4:7" x14ac:dyDescent="0.35">
      <c r="D49" s="2"/>
      <c r="E49" s="2"/>
      <c r="F49" s="2"/>
      <c r="G49" s="2"/>
    </row>
    <row r="50" spans="4:7" x14ac:dyDescent="0.35">
      <c r="D50" s="2"/>
      <c r="E50" s="2"/>
      <c r="F50" s="2"/>
      <c r="G50" s="2"/>
    </row>
    <row r="51" spans="4:7" x14ac:dyDescent="0.35">
      <c r="D51" s="2"/>
      <c r="E51" s="2"/>
      <c r="F51" s="2"/>
      <c r="G51" s="2"/>
    </row>
    <row r="52" spans="4:7" x14ac:dyDescent="0.35">
      <c r="D52" s="2"/>
      <c r="E52" s="2"/>
      <c r="F52" s="2"/>
      <c r="G52" s="2"/>
    </row>
    <row r="53" spans="4:7" x14ac:dyDescent="0.35">
      <c r="D53" s="2"/>
      <c r="E53" s="2"/>
      <c r="F53" s="2"/>
      <c r="G53" s="2"/>
    </row>
    <row r="54" spans="4:7" x14ac:dyDescent="0.35">
      <c r="D54" s="2"/>
      <c r="E54" s="2"/>
      <c r="F54" s="2"/>
      <c r="G54" s="2"/>
    </row>
    <row r="55" spans="4:7" x14ac:dyDescent="0.35">
      <c r="D55" s="2"/>
      <c r="E55" s="2"/>
      <c r="F55" s="2"/>
      <c r="G55" s="2"/>
    </row>
    <row r="56" spans="4:7" x14ac:dyDescent="0.35">
      <c r="D56" s="2"/>
      <c r="E56" s="2"/>
      <c r="F56" s="2"/>
      <c r="G56" s="2"/>
    </row>
    <row r="57" spans="4:7" x14ac:dyDescent="0.35">
      <c r="D57" s="2"/>
      <c r="E57" s="2"/>
      <c r="F57" s="2"/>
      <c r="G57" s="2"/>
    </row>
    <row r="58" spans="4:7" x14ac:dyDescent="0.35">
      <c r="D58" s="2"/>
      <c r="E58" s="2"/>
      <c r="F58" s="2"/>
      <c r="G58" s="2"/>
    </row>
    <row r="59" spans="4:7" x14ac:dyDescent="0.35">
      <c r="D59" s="2"/>
      <c r="E59" s="2"/>
      <c r="F59" s="2"/>
      <c r="G59" s="2"/>
    </row>
    <row r="60" spans="4:7" x14ac:dyDescent="0.35">
      <c r="D60" s="2"/>
      <c r="E60" s="2"/>
      <c r="F60" s="2"/>
      <c r="G60" s="2"/>
    </row>
    <row r="61" spans="4:7" x14ac:dyDescent="0.35">
      <c r="D61" s="2"/>
      <c r="E61" s="2"/>
      <c r="F61" s="2"/>
      <c r="G61" s="2"/>
    </row>
    <row r="62" spans="4:7" x14ac:dyDescent="0.35">
      <c r="D62" s="2"/>
      <c r="E62" s="2"/>
      <c r="F62" s="2"/>
      <c r="G62" s="2"/>
    </row>
    <row r="63" spans="4:7" x14ac:dyDescent="0.35">
      <c r="D63" s="2"/>
      <c r="E63" s="2"/>
      <c r="F63" s="2"/>
      <c r="G63" s="2"/>
    </row>
    <row r="64" spans="4:7" x14ac:dyDescent="0.35">
      <c r="D64" s="2"/>
      <c r="E64" s="2"/>
      <c r="F64" s="2"/>
      <c r="G64" s="2"/>
    </row>
    <row r="65" spans="4:7" x14ac:dyDescent="0.35">
      <c r="D65" s="2"/>
      <c r="E65" s="2"/>
      <c r="F65" s="2"/>
      <c r="G6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0095-C242-45B2-8B48-48BD629D740B}">
  <dimension ref="A1:C97"/>
  <sheetViews>
    <sheetView tabSelected="1" workbookViewId="0">
      <selection activeCell="C88" sqref="C88"/>
    </sheetView>
  </sheetViews>
  <sheetFormatPr defaultRowHeight="14.5" x14ac:dyDescent="0.35"/>
  <sheetData>
    <row r="1" spans="1:3" x14ac:dyDescent="0.35">
      <c r="A1" t="s">
        <v>100</v>
      </c>
      <c r="B1" t="s">
        <v>101</v>
      </c>
      <c r="C1" t="s">
        <v>102</v>
      </c>
    </row>
    <row r="2" spans="1:3" x14ac:dyDescent="0.35">
      <c r="A2" t="s">
        <v>0</v>
      </c>
      <c r="B2" t="s">
        <v>1</v>
      </c>
      <c r="C2">
        <v>651.70000000000005</v>
      </c>
    </row>
    <row r="3" spans="1:3" x14ac:dyDescent="0.35">
      <c r="A3" t="s">
        <v>0</v>
      </c>
      <c r="B3" t="s">
        <v>28</v>
      </c>
      <c r="C3">
        <v>386.9</v>
      </c>
    </row>
    <row r="4" spans="1:3" x14ac:dyDescent="0.35">
      <c r="A4" t="s">
        <v>1</v>
      </c>
      <c r="B4" t="s">
        <v>0</v>
      </c>
      <c r="C4">
        <v>803.4</v>
      </c>
    </row>
    <row r="5" spans="1:3" x14ac:dyDescent="0.35">
      <c r="A5" t="s">
        <v>1</v>
      </c>
      <c r="B5" t="s">
        <v>2</v>
      </c>
      <c r="C5">
        <v>331.2</v>
      </c>
    </row>
    <row r="6" spans="1:3" x14ac:dyDescent="0.35">
      <c r="A6" t="s">
        <v>1</v>
      </c>
      <c r="B6" t="s">
        <v>3</v>
      </c>
      <c r="C6">
        <v>322.77</v>
      </c>
    </row>
    <row r="7" spans="1:3" x14ac:dyDescent="0.35">
      <c r="A7" t="s">
        <v>1</v>
      </c>
      <c r="B7" t="s">
        <v>9</v>
      </c>
      <c r="C7">
        <v>870</v>
      </c>
    </row>
    <row r="8" spans="1:3" x14ac:dyDescent="0.35">
      <c r="A8" t="s">
        <v>2</v>
      </c>
      <c r="B8" t="s">
        <v>1</v>
      </c>
      <c r="C8">
        <v>1397.2</v>
      </c>
    </row>
    <row r="9" spans="1:3" x14ac:dyDescent="0.35">
      <c r="A9" t="s">
        <v>2</v>
      </c>
      <c r="B9" t="s">
        <v>3</v>
      </c>
      <c r="C9">
        <v>1925.7729999999999</v>
      </c>
    </row>
    <row r="10" spans="1:3" x14ac:dyDescent="0.35">
      <c r="A10" t="s">
        <v>3</v>
      </c>
      <c r="B10" t="s">
        <v>1</v>
      </c>
      <c r="C10">
        <v>396.15000000000003</v>
      </c>
    </row>
    <row r="11" spans="1:3" x14ac:dyDescent="0.35">
      <c r="A11" t="s">
        <v>3</v>
      </c>
      <c r="B11" t="s">
        <v>2</v>
      </c>
      <c r="C11">
        <v>1628.3030000000001</v>
      </c>
    </row>
    <row r="12" spans="1:3" x14ac:dyDescent="0.35">
      <c r="A12" t="s">
        <v>3</v>
      </c>
      <c r="B12" t="s">
        <v>4</v>
      </c>
      <c r="C12">
        <v>344.24799999999993</v>
      </c>
    </row>
    <row r="13" spans="1:3" x14ac:dyDescent="0.35">
      <c r="A13" t="s">
        <v>3</v>
      </c>
      <c r="B13" t="s">
        <v>6</v>
      </c>
      <c r="C13">
        <v>328</v>
      </c>
    </row>
    <row r="14" spans="1:3" x14ac:dyDescent="0.35">
      <c r="A14" t="s">
        <v>3</v>
      </c>
      <c r="B14" t="s">
        <v>9</v>
      </c>
      <c r="C14">
        <v>613.71600000000001</v>
      </c>
    </row>
    <row r="15" spans="1:3" x14ac:dyDescent="0.35">
      <c r="A15" t="s">
        <v>3</v>
      </c>
      <c r="B15" t="s">
        <v>10</v>
      </c>
      <c r="C15">
        <v>136.11199999999999</v>
      </c>
    </row>
    <row r="16" spans="1:3" x14ac:dyDescent="0.35">
      <c r="A16" t="s">
        <v>3</v>
      </c>
      <c r="B16" t="s">
        <v>11</v>
      </c>
      <c r="C16">
        <v>233.5</v>
      </c>
    </row>
    <row r="17" spans="1:3" x14ac:dyDescent="0.35">
      <c r="A17" t="s">
        <v>3</v>
      </c>
      <c r="B17" t="s">
        <v>12</v>
      </c>
      <c r="C17">
        <v>1803.77</v>
      </c>
    </row>
    <row r="18" spans="1:3" x14ac:dyDescent="0.35">
      <c r="A18" t="s">
        <v>3</v>
      </c>
      <c r="B18" t="s">
        <v>27</v>
      </c>
      <c r="C18">
        <v>26.71</v>
      </c>
    </row>
    <row r="19" spans="1:3" x14ac:dyDescent="0.35">
      <c r="A19" t="s">
        <v>4</v>
      </c>
      <c r="B19" t="s">
        <v>3</v>
      </c>
      <c r="C19">
        <v>339.96799999999996</v>
      </c>
    </row>
    <row r="20" spans="1:3" x14ac:dyDescent="0.35">
      <c r="A20" t="s">
        <v>4</v>
      </c>
      <c r="B20" t="s">
        <v>5</v>
      </c>
      <c r="C20">
        <v>1150</v>
      </c>
    </row>
    <row r="21" spans="1:3" x14ac:dyDescent="0.35">
      <c r="A21" t="s">
        <v>4</v>
      </c>
      <c r="B21" t="s">
        <v>7</v>
      </c>
      <c r="C21">
        <v>112.5</v>
      </c>
    </row>
    <row r="22" spans="1:3" x14ac:dyDescent="0.35">
      <c r="A22" t="s">
        <v>4</v>
      </c>
      <c r="B22" t="s">
        <v>13</v>
      </c>
      <c r="C22">
        <v>246.5</v>
      </c>
    </row>
    <row r="23" spans="1:3" x14ac:dyDescent="0.35">
      <c r="A23" t="s">
        <v>4</v>
      </c>
      <c r="B23" t="s">
        <v>14</v>
      </c>
      <c r="C23">
        <v>153.1</v>
      </c>
    </row>
    <row r="24" spans="1:3" x14ac:dyDescent="0.35">
      <c r="A24" t="s">
        <v>5</v>
      </c>
      <c r="B24" t="s">
        <v>4</v>
      </c>
      <c r="C24">
        <v>193.5</v>
      </c>
    </row>
    <row r="25" spans="1:3" x14ac:dyDescent="0.35">
      <c r="A25" t="s">
        <v>5</v>
      </c>
      <c r="B25" t="s">
        <v>6</v>
      </c>
      <c r="C25">
        <v>431.4</v>
      </c>
    </row>
    <row r="26" spans="1:3" x14ac:dyDescent="0.35">
      <c r="A26" t="s">
        <v>5</v>
      </c>
      <c r="B26" t="s">
        <v>7</v>
      </c>
      <c r="C26">
        <v>28.5</v>
      </c>
    </row>
    <row r="27" spans="1:3" x14ac:dyDescent="0.35">
      <c r="A27" t="s">
        <v>6</v>
      </c>
      <c r="B27" t="s">
        <v>3</v>
      </c>
      <c r="C27">
        <v>172.8</v>
      </c>
    </row>
    <row r="28" spans="1:3" x14ac:dyDescent="0.35">
      <c r="A28" t="s">
        <v>6</v>
      </c>
      <c r="B28" t="s">
        <v>5</v>
      </c>
      <c r="C28">
        <v>640.4</v>
      </c>
    </row>
    <row r="29" spans="1:3" x14ac:dyDescent="0.35">
      <c r="A29" t="s">
        <v>6</v>
      </c>
      <c r="B29" t="s">
        <v>9</v>
      </c>
      <c r="C29">
        <v>100</v>
      </c>
    </row>
    <row r="30" spans="1:3" x14ac:dyDescent="0.35">
      <c r="A30" t="s">
        <v>7</v>
      </c>
      <c r="B30" t="s">
        <v>5</v>
      </c>
      <c r="C30">
        <v>21.5</v>
      </c>
    </row>
    <row r="31" spans="1:3" x14ac:dyDescent="0.35">
      <c r="A31" t="s">
        <v>7</v>
      </c>
      <c r="B31" t="s">
        <v>8</v>
      </c>
      <c r="C31">
        <v>53.7</v>
      </c>
    </row>
    <row r="32" spans="1:3" x14ac:dyDescent="0.35">
      <c r="A32" t="s">
        <v>8</v>
      </c>
      <c r="B32" t="s">
        <v>7</v>
      </c>
      <c r="C32">
        <v>7.7</v>
      </c>
    </row>
    <row r="33" spans="1:3" x14ac:dyDescent="0.35">
      <c r="A33" t="s">
        <v>8</v>
      </c>
      <c r="B33" t="s">
        <v>14</v>
      </c>
      <c r="C33">
        <v>48.57</v>
      </c>
    </row>
    <row r="34" spans="1:3" x14ac:dyDescent="0.35">
      <c r="A34" t="s">
        <v>9</v>
      </c>
      <c r="B34" t="s">
        <v>1</v>
      </c>
      <c r="C34">
        <v>270</v>
      </c>
    </row>
    <row r="35" spans="1:3" x14ac:dyDescent="0.35">
      <c r="A35" t="s">
        <v>9</v>
      </c>
      <c r="B35" t="s">
        <v>6</v>
      </c>
      <c r="C35">
        <v>223</v>
      </c>
    </row>
    <row r="36" spans="1:3" x14ac:dyDescent="0.35">
      <c r="A36" t="s">
        <v>9</v>
      </c>
      <c r="B36" t="s">
        <v>21</v>
      </c>
      <c r="C36">
        <v>164.572</v>
      </c>
    </row>
    <row r="37" spans="1:3" x14ac:dyDescent="0.35">
      <c r="A37" t="s">
        <v>10</v>
      </c>
      <c r="B37" t="s">
        <v>3</v>
      </c>
      <c r="C37">
        <v>4.1189999999999998</v>
      </c>
    </row>
    <row r="38" spans="1:3" x14ac:dyDescent="0.35">
      <c r="A38" t="s">
        <v>11</v>
      </c>
      <c r="B38" t="s">
        <v>3</v>
      </c>
      <c r="C38">
        <v>931.6</v>
      </c>
    </row>
    <row r="39" spans="1:3" x14ac:dyDescent="0.35">
      <c r="A39" t="s">
        <v>12</v>
      </c>
      <c r="B39" t="s">
        <v>3</v>
      </c>
      <c r="C39">
        <v>1231.759</v>
      </c>
    </row>
    <row r="40" spans="1:3" x14ac:dyDescent="0.35">
      <c r="A40" t="s">
        <v>12</v>
      </c>
      <c r="B40" t="s">
        <v>11</v>
      </c>
      <c r="C40">
        <v>28</v>
      </c>
    </row>
    <row r="41" spans="1:3" x14ac:dyDescent="0.35">
      <c r="A41" t="s">
        <v>12</v>
      </c>
      <c r="B41" t="s">
        <v>13</v>
      </c>
      <c r="C41">
        <v>1246.4000000000001</v>
      </c>
    </row>
    <row r="42" spans="1:3" x14ac:dyDescent="0.35">
      <c r="A42" t="s">
        <v>13</v>
      </c>
      <c r="B42" t="s">
        <v>4</v>
      </c>
      <c r="C42">
        <v>1570.4</v>
      </c>
    </row>
    <row r="43" spans="1:3" x14ac:dyDescent="0.35">
      <c r="A43" t="s">
        <v>13</v>
      </c>
      <c r="B43" t="s">
        <v>12</v>
      </c>
      <c r="C43">
        <v>457.6</v>
      </c>
    </row>
    <row r="44" spans="1:3" x14ac:dyDescent="0.35">
      <c r="A44" t="s">
        <v>13</v>
      </c>
      <c r="B44" t="s">
        <v>14</v>
      </c>
      <c r="C44">
        <v>128.9</v>
      </c>
    </row>
    <row r="45" spans="1:3" x14ac:dyDescent="0.35">
      <c r="A45" t="s">
        <v>13</v>
      </c>
      <c r="B45" t="s">
        <v>23</v>
      </c>
      <c r="C45">
        <v>416</v>
      </c>
    </row>
    <row r="46" spans="1:3" x14ac:dyDescent="0.35">
      <c r="A46" t="s">
        <v>14</v>
      </c>
      <c r="B46" t="s">
        <v>8</v>
      </c>
      <c r="C46">
        <v>77.400000000000006</v>
      </c>
    </row>
    <row r="47" spans="1:3" x14ac:dyDescent="0.35">
      <c r="A47" t="s">
        <v>14</v>
      </c>
      <c r="B47" t="s">
        <v>13</v>
      </c>
      <c r="C47">
        <v>50.883000000000003</v>
      </c>
    </row>
    <row r="48" spans="1:3" x14ac:dyDescent="0.35">
      <c r="A48" t="s">
        <v>14</v>
      </c>
      <c r="B48" t="s">
        <v>15</v>
      </c>
      <c r="C48">
        <v>142</v>
      </c>
    </row>
    <row r="49" spans="1:3" x14ac:dyDescent="0.35">
      <c r="A49" t="s">
        <v>14</v>
      </c>
      <c r="B49" t="s">
        <v>18</v>
      </c>
      <c r="C49">
        <v>77.5</v>
      </c>
    </row>
    <row r="50" spans="1:3" x14ac:dyDescent="0.35">
      <c r="A50" t="s">
        <v>15</v>
      </c>
      <c r="B50" t="s">
        <v>16</v>
      </c>
      <c r="C50">
        <v>335.26</v>
      </c>
    </row>
    <row r="51" spans="1:3" x14ac:dyDescent="0.35">
      <c r="A51" t="s">
        <v>15</v>
      </c>
      <c r="B51" t="s">
        <v>29</v>
      </c>
      <c r="C51">
        <v>17.98</v>
      </c>
    </row>
    <row r="52" spans="1:3" x14ac:dyDescent="0.35">
      <c r="A52" t="s">
        <v>16</v>
      </c>
      <c r="B52" t="s">
        <v>15</v>
      </c>
      <c r="C52">
        <v>398.13</v>
      </c>
    </row>
    <row r="53" spans="1:3" x14ac:dyDescent="0.35">
      <c r="A53" t="s">
        <v>16</v>
      </c>
      <c r="B53" t="s">
        <v>17</v>
      </c>
      <c r="C53">
        <v>117.8</v>
      </c>
    </row>
    <row r="54" spans="1:3" x14ac:dyDescent="0.35">
      <c r="A54" t="s">
        <v>16</v>
      </c>
      <c r="B54" t="s">
        <v>18</v>
      </c>
      <c r="C54">
        <v>148.15</v>
      </c>
    </row>
    <row r="55" spans="1:3" x14ac:dyDescent="0.35">
      <c r="A55" t="s">
        <v>16</v>
      </c>
      <c r="B55" t="s">
        <v>30</v>
      </c>
      <c r="C55">
        <v>27.38</v>
      </c>
    </row>
    <row r="56" spans="1:3" x14ac:dyDescent="0.35">
      <c r="A56" t="s">
        <v>16</v>
      </c>
      <c r="B56" t="s">
        <v>31</v>
      </c>
      <c r="C56">
        <v>497.16</v>
      </c>
    </row>
    <row r="57" spans="1:3" x14ac:dyDescent="0.35">
      <c r="A57" t="s">
        <v>17</v>
      </c>
      <c r="B57" t="s">
        <v>16</v>
      </c>
      <c r="C57">
        <v>64.819999999999993</v>
      </c>
    </row>
    <row r="58" spans="1:3" x14ac:dyDescent="0.35">
      <c r="A58" t="s">
        <v>18</v>
      </c>
      <c r="B58" t="s">
        <v>14</v>
      </c>
      <c r="C58">
        <v>50.3</v>
      </c>
    </row>
    <row r="59" spans="1:3" x14ac:dyDescent="0.35">
      <c r="A59" t="s">
        <v>18</v>
      </c>
      <c r="B59" t="s">
        <v>16</v>
      </c>
      <c r="C59">
        <v>805.75000000000011</v>
      </c>
    </row>
    <row r="60" spans="1:3" x14ac:dyDescent="0.35">
      <c r="A60" t="s">
        <v>18</v>
      </c>
      <c r="B60" t="s">
        <v>23</v>
      </c>
      <c r="C60">
        <v>122.2</v>
      </c>
    </row>
    <row r="61" spans="1:3" x14ac:dyDescent="0.35">
      <c r="A61" t="s">
        <v>18</v>
      </c>
      <c r="B61" t="s">
        <v>24</v>
      </c>
      <c r="C61">
        <v>16.100000000000001</v>
      </c>
    </row>
    <row r="62" spans="1:3" x14ac:dyDescent="0.35">
      <c r="A62" t="s">
        <v>19</v>
      </c>
      <c r="B62" t="s">
        <v>20</v>
      </c>
      <c r="C62">
        <v>67.599999999999994</v>
      </c>
    </row>
    <row r="63" spans="1:3" x14ac:dyDescent="0.35">
      <c r="A63" t="s">
        <v>19</v>
      </c>
      <c r="B63" t="s">
        <v>25</v>
      </c>
      <c r="C63">
        <v>114.2</v>
      </c>
    </row>
    <row r="64" spans="1:3" x14ac:dyDescent="0.35">
      <c r="A64" t="s">
        <v>20</v>
      </c>
      <c r="B64" t="s">
        <v>19</v>
      </c>
      <c r="C64">
        <v>65.099999999999994</v>
      </c>
    </row>
    <row r="65" spans="1:3" x14ac:dyDescent="0.35">
      <c r="A65" t="s">
        <v>20</v>
      </c>
      <c r="B65" t="s">
        <v>25</v>
      </c>
      <c r="C65">
        <v>85</v>
      </c>
    </row>
    <row r="66" spans="1:3" x14ac:dyDescent="0.35">
      <c r="A66" t="s">
        <v>21</v>
      </c>
      <c r="B66" t="s">
        <v>9</v>
      </c>
      <c r="C66">
        <v>224.4</v>
      </c>
    </row>
    <row r="67" spans="1:3" x14ac:dyDescent="0.35">
      <c r="A67" t="s">
        <v>21</v>
      </c>
      <c r="B67" t="s">
        <v>22</v>
      </c>
      <c r="C67">
        <v>144</v>
      </c>
    </row>
    <row r="68" spans="1:3" x14ac:dyDescent="0.35">
      <c r="A68" t="s">
        <v>22</v>
      </c>
      <c r="B68" t="s">
        <v>21</v>
      </c>
      <c r="C68">
        <v>80</v>
      </c>
    </row>
    <row r="69" spans="1:3" x14ac:dyDescent="0.35">
      <c r="A69" t="s">
        <v>23</v>
      </c>
      <c r="B69" t="s">
        <v>11</v>
      </c>
      <c r="C69">
        <v>135.6</v>
      </c>
    </row>
    <row r="70" spans="1:3" x14ac:dyDescent="0.35">
      <c r="A70" t="s">
        <v>23</v>
      </c>
      <c r="B70" t="s">
        <v>13</v>
      </c>
      <c r="C70">
        <v>2277.6</v>
      </c>
    </row>
    <row r="71" spans="1:3" x14ac:dyDescent="0.35">
      <c r="A71" t="s">
        <v>23</v>
      </c>
      <c r="B71" t="s">
        <v>14</v>
      </c>
      <c r="C71">
        <v>515.6</v>
      </c>
    </row>
    <row r="72" spans="1:3" x14ac:dyDescent="0.35">
      <c r="A72" t="s">
        <v>23</v>
      </c>
      <c r="B72" t="s">
        <v>18</v>
      </c>
      <c r="C72">
        <v>1163.4000000000001</v>
      </c>
    </row>
    <row r="73" spans="1:3" x14ac:dyDescent="0.35">
      <c r="A73" t="s">
        <v>24</v>
      </c>
      <c r="B73" t="s">
        <v>18</v>
      </c>
      <c r="C73">
        <v>2.2000000000000002</v>
      </c>
    </row>
    <row r="74" spans="1:3" x14ac:dyDescent="0.35">
      <c r="A74" t="s">
        <v>25</v>
      </c>
      <c r="B74" t="s">
        <v>3</v>
      </c>
      <c r="C74">
        <v>1742</v>
      </c>
    </row>
    <row r="75" spans="1:3" x14ac:dyDescent="0.35">
      <c r="A75" t="s">
        <v>25</v>
      </c>
      <c r="B75" t="s">
        <v>20</v>
      </c>
      <c r="C75">
        <v>168</v>
      </c>
    </row>
    <row r="76" spans="1:3" x14ac:dyDescent="0.35">
      <c r="A76" t="s">
        <v>25</v>
      </c>
      <c r="B76" t="s">
        <v>39</v>
      </c>
      <c r="C76">
        <v>220</v>
      </c>
    </row>
    <row r="77" spans="1:3" x14ac:dyDescent="0.35">
      <c r="A77" t="s">
        <v>26</v>
      </c>
      <c r="B77" t="s">
        <v>5</v>
      </c>
      <c r="C77">
        <v>487.1</v>
      </c>
    </row>
    <row r="78" spans="1:3" x14ac:dyDescent="0.35">
      <c r="A78" t="s">
        <v>31</v>
      </c>
      <c r="B78" t="s">
        <v>16</v>
      </c>
      <c r="C78">
        <v>576.03</v>
      </c>
    </row>
    <row r="79" spans="1:3" x14ac:dyDescent="0.35">
      <c r="A79" t="s">
        <v>31</v>
      </c>
      <c r="B79" t="s">
        <v>17</v>
      </c>
      <c r="C79">
        <v>398.6</v>
      </c>
    </row>
    <row r="80" spans="1:3" x14ac:dyDescent="0.35">
      <c r="A80" t="s">
        <v>33</v>
      </c>
      <c r="B80" t="s">
        <v>0</v>
      </c>
      <c r="C80">
        <v>1499.1</v>
      </c>
    </row>
    <row r="81" spans="1:3" x14ac:dyDescent="0.35">
      <c r="A81" t="s">
        <v>33</v>
      </c>
      <c r="B81" t="s">
        <v>1</v>
      </c>
      <c r="C81">
        <v>488</v>
      </c>
    </row>
    <row r="82" spans="1:3" x14ac:dyDescent="0.35">
      <c r="A82" t="s">
        <v>33</v>
      </c>
      <c r="B82" t="s">
        <v>3</v>
      </c>
      <c r="C82">
        <v>2210.5639999999999</v>
      </c>
    </row>
    <row r="83" spans="1:3" x14ac:dyDescent="0.35">
      <c r="A83" t="s">
        <v>33</v>
      </c>
      <c r="B83" t="s">
        <v>9</v>
      </c>
      <c r="C83">
        <v>570</v>
      </c>
    </row>
    <row r="84" spans="1:3" x14ac:dyDescent="0.35">
      <c r="A84" t="s">
        <v>34</v>
      </c>
      <c r="B84" t="s">
        <v>21</v>
      </c>
      <c r="C84">
        <v>731.7</v>
      </c>
    </row>
    <row r="85" spans="1:3" x14ac:dyDescent="0.35">
      <c r="A85" t="s">
        <v>35</v>
      </c>
      <c r="B85" t="s">
        <v>5</v>
      </c>
      <c r="C85">
        <v>1138.0999999999999</v>
      </c>
    </row>
    <row r="86" spans="1:3" x14ac:dyDescent="0.35">
      <c r="A86" t="s">
        <v>36</v>
      </c>
      <c r="B86" t="s">
        <v>5</v>
      </c>
      <c r="C86">
        <v>475.8</v>
      </c>
    </row>
    <row r="87" spans="1:3" x14ac:dyDescent="0.35">
      <c r="A87" t="s">
        <v>37</v>
      </c>
      <c r="B87" t="s">
        <v>11</v>
      </c>
      <c r="C87">
        <v>1203.4999999999998</v>
      </c>
    </row>
    <row r="88" spans="1:3" x14ac:dyDescent="0.35">
      <c r="A88" t="s">
        <v>37</v>
      </c>
      <c r="B88" t="s">
        <v>19</v>
      </c>
      <c r="C88">
        <v>325.39999999999998</v>
      </c>
    </row>
    <row r="89" spans="1:3" x14ac:dyDescent="0.35">
      <c r="A89" t="s">
        <v>25</v>
      </c>
      <c r="B89" t="s">
        <v>23</v>
      </c>
      <c r="C89">
        <v>179.34486571921499</v>
      </c>
    </row>
    <row r="90" spans="1:3" x14ac:dyDescent="0.35">
      <c r="A90" t="s">
        <v>23</v>
      </c>
      <c r="B90" t="s">
        <v>24</v>
      </c>
      <c r="C90">
        <v>8.3918765879820008</v>
      </c>
    </row>
    <row r="91" spans="1:3" x14ac:dyDescent="0.35">
      <c r="A91" t="s">
        <v>24</v>
      </c>
      <c r="B91" t="s">
        <v>23</v>
      </c>
      <c r="C91">
        <v>2.6558076557430002</v>
      </c>
    </row>
    <row r="92" spans="1:3" x14ac:dyDescent="0.35">
      <c r="A92" t="s">
        <v>37</v>
      </c>
      <c r="B92" t="s">
        <v>23</v>
      </c>
      <c r="C92">
        <v>1.1672166971519999</v>
      </c>
    </row>
    <row r="93" spans="1:3" x14ac:dyDescent="0.35">
      <c r="A93" t="s">
        <v>39</v>
      </c>
      <c r="B93" t="s">
        <v>38</v>
      </c>
      <c r="C93">
        <v>1.0775539125</v>
      </c>
    </row>
    <row r="94" spans="1:3" x14ac:dyDescent="0.35">
      <c r="A94" t="s">
        <v>38</v>
      </c>
      <c r="B94" t="s">
        <v>39</v>
      </c>
      <c r="C94">
        <v>2.0150623948499997</v>
      </c>
    </row>
    <row r="95" spans="1:3" x14ac:dyDescent="0.35">
      <c r="A95" t="s">
        <v>1</v>
      </c>
      <c r="B95" t="s">
        <v>27</v>
      </c>
      <c r="C95">
        <v>1.3788308547000001</v>
      </c>
    </row>
    <row r="96" spans="1:3" x14ac:dyDescent="0.35">
      <c r="A96" t="s">
        <v>27</v>
      </c>
      <c r="B96" t="s">
        <v>1</v>
      </c>
      <c r="C96">
        <v>1.3788308547000001</v>
      </c>
    </row>
    <row r="97" spans="1:3" x14ac:dyDescent="0.35">
      <c r="A97" t="s">
        <v>25</v>
      </c>
      <c r="B97" t="s">
        <v>31</v>
      </c>
      <c r="C97">
        <v>31.499865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Connections_entsog_2020</vt:lpstr>
      <vt:lpstr>Transparency_Data</vt:lpstr>
      <vt:lpstr>LNG_to_grid</vt:lpstr>
      <vt:lpstr>Manual_ENTOSG_capacities</vt:lpstr>
      <vt:lpstr>Connections_2020_all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2024-03-08T14:28:31Z</dcterms:created>
  <dcterms:modified xsi:type="dcterms:W3CDTF">2025-02-20T17:46:42Z</dcterms:modified>
</cp:coreProperties>
</file>