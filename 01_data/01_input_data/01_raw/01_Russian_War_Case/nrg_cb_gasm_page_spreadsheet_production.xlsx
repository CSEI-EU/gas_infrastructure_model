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wnloads\"/>
    </mc:Choice>
  </mc:AlternateContent>
  <xr:revisionPtr revIDLastSave="0" documentId="13_ncr:1_{5AAD1DD5-CE94-40B9-B760-E8266A8B8FC4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Summary" sheetId="1" r:id="rId1"/>
    <sheet name="Structure" sheetId="2" r:id="rId2"/>
    <sheet name="Shee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12" i="3"/>
</calcChain>
</file>

<file path=xl/sharedStrings.xml><?xml version="1.0" encoding="utf-8"?>
<sst xmlns="http://schemas.openxmlformats.org/spreadsheetml/2006/main" count="383" uniqueCount="88">
  <si>
    <t>Supply, transformation and consumption of gas - monthly data [nrg_cb_gasm__custom_10421303]</t>
  </si>
  <si>
    <t>Open product page</t>
  </si>
  <si>
    <t>Open in Data Browser</t>
  </si>
  <si>
    <t xml:space="preserve">Description: </t>
  </si>
  <si>
    <t>-</t>
  </si>
  <si>
    <t xml:space="preserve">Last update of data: </t>
  </si>
  <si>
    <t>15/03/2024 23:00</t>
  </si>
  <si>
    <t xml:space="preserve">Last change of data structure: </t>
  </si>
  <si>
    <t>04/03/2024 11:00</t>
  </si>
  <si>
    <t>Institutional source(s)</t>
  </si>
  <si>
    <t>Eurostat</t>
  </si>
  <si>
    <t>Contents</t>
  </si>
  <si>
    <t>Time frequency</t>
  </si>
  <si>
    <t>Energy balance</t>
  </si>
  <si>
    <t>Standard international energy product classification (SIEC)</t>
  </si>
  <si>
    <t>Unit of measure</t>
  </si>
  <si>
    <t>Sheet 1</t>
  </si>
  <si>
    <t>Monthly</t>
  </si>
  <si>
    <t>Indigenous production</t>
  </si>
  <si>
    <t>Natural gas</t>
  </si>
  <si>
    <t>Million cubic metres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</si>
  <si>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</si>
  <si>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</si>
  <si>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</si>
  <si>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</si>
  <si>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</si>
  <si>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</si>
  <si>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</si>
  <si>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</si>
  <si>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</si>
  <si>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</si>
  <si>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</si>
  <si>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</si>
  <si>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</si>
  <si>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</si>
  <si>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</si>
  <si>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</si>
  <si>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</si>
  <si>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</si>
  <si>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</si>
  <si>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</si>
  <si>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</si>
  <si>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</si>
  <si>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</si>
  <si>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</si>
  <si>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</si>
  <si>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</si>
  <si>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</si>
  <si>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</si>
  <si>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</si>
  <si>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</si>
  <si>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</si>
  <si>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</si>
  <si>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</si>
  <si>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</si>
  <si>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</si>
  <si>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</si>
  <si>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Montenegro</t>
  </si>
  <si>
    <t>Moldova</t>
  </si>
  <si>
    <t>North Macedonia</t>
  </si>
  <si>
    <t>Albania</t>
  </si>
  <si>
    <t>Serbia</t>
  </si>
  <si>
    <t>Türkiye</t>
  </si>
  <si>
    <t>Ukraine</t>
  </si>
  <si>
    <t>Kosovo*</t>
  </si>
  <si>
    <t>Georgia</t>
  </si>
  <si>
    <t>Time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</si>
  <si>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</si>
  <si>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</si>
  <si>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</si>
  <si>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</si>
  <si>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</si>
  <si>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</si>
  <si>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</si>
  <si>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</si>
  <si>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</si>
  <si>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</si>
  <si>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</si>
  <si>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</si>
  <si>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Data extracted on 16/03/2024 12:00:01 from [ESTAT]</t>
  </si>
  <si>
    <t xml:space="preserve">Dataset: </t>
  </si>
  <si>
    <t xml:space="preserve">Last updated: </t>
  </si>
  <si>
    <t>TIME</t>
  </si>
  <si>
    <t>GEO (Labels)</t>
  </si>
  <si>
    <t/>
  </si>
  <si>
    <t>: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</si>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</sst>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6" fontId="2" fillId="0" borderId="0" xfId="0" applyNumberFormat="1" applyFont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49515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cb_gasm__custom_10421303/default/table" TargetMode="External"/><Relationship Id="rId1" Type="http://schemas.openxmlformats.org/officeDocument/2006/relationships/hyperlink" Target="https://ec.europa.eu/eurostat/databrowser/product/page/nrg_cb_gasm__custom_104213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4.5" x14ac:dyDescent="0.35"/>
  <cols>
    <col min="1" max="1" width="19.90625" customWidth="1"/>
    <col min="2" max="2" width="10.453125" customWidth="1"/>
    <col min="3" max="3" width="17.26953125" customWidth="1"/>
    <col min="4" max="4" width="17.6328125" customWidth="1"/>
    <col min="5" max="5" width="62.453125" customWidth="1"/>
    <col min="6" max="6" width="17.726562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</row>
    <row r="16" spans="1:15" x14ac:dyDescent="0.35">
      <c r="B16" s="14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"/>
  <sheetViews>
    <sheetView showGridLines="0" workbookViewId="0"/>
  </sheetViews>
  <sheetFormatPr defaultRowHeight="14.5" x14ac:dyDescent="0.35"/>
  <cols>
    <col min="2" max="5" width="79.7265625" customWidth="1"/>
  </cols>
  <sheetData>
    <row r="1" spans="1:3" x14ac:dyDescent="0.35">
      <c r="A1" s="1" t="s">
        <v>21</v>
      </c>
    </row>
    <row r="2" spans="1:3" x14ac:dyDescent="0.35">
      <c r="B2" s="17" t="s">
        <v>22</v>
      </c>
      <c r="C2" s="17" t="s">
        <v>23</v>
      </c>
    </row>
    <row r="3" spans="1:3" x14ac:dyDescent="0.35">
      <c r="B3" s="18" t="s">
        <v>24</v>
      </c>
      <c r="C3" s="18" t="s">
        <v>24</v>
      </c>
    </row>
    <row r="4" spans="1:3" x14ac:dyDescent="0.35">
      <c r="B4" s="2" t="s">
        <v>12</v>
      </c>
      <c r="C4" s="2" t="s">
        <v>17</v>
      </c>
    </row>
    <row r="5" spans="1:3" x14ac:dyDescent="0.35">
      <c r="B5" s="12" t="s">
        <v>13</v>
      </c>
      <c r="C5" s="12" t="s">
        <v>18</v>
      </c>
    </row>
    <row r="6" spans="1:3" x14ac:dyDescent="0.35">
      <c r="B6" s="2" t="s">
        <v>14</v>
      </c>
      <c r="C6" s="2" t="s">
        <v>19</v>
      </c>
    </row>
    <row r="7" spans="1:3" x14ac:dyDescent="0.35">
      <c r="B7" s="12" t="s">
        <v>15</v>
      </c>
      <c r="C7" s="12" t="s">
        <v>20</v>
      </c>
    </row>
    <row r="8" spans="1:3" x14ac:dyDescent="0.35">
      <c r="B8" s="2" t="s">
        <v>25</v>
      </c>
      <c r="C8" s="2" t="s">
        <v>26</v>
      </c>
    </row>
    <row r="9" spans="1:3" x14ac:dyDescent="0.35">
      <c r="B9" s="12" t="s">
        <v>25</v>
      </c>
      <c r="C9" s="12" t="s">
        <v>27</v>
      </c>
    </row>
    <row r="10" spans="1:3" x14ac:dyDescent="0.35">
      <c r="B10" s="2" t="s">
        <v>25</v>
      </c>
      <c r="C10" s="2" t="s">
        <v>28</v>
      </c>
    </row>
    <row r="11" spans="1:3" x14ac:dyDescent="0.35">
      <c r="B11" s="12" t="s">
        <v>25</v>
      </c>
      <c r="C11" s="12" t="s">
        <v>29</v>
      </c>
    </row>
    <row r="12" spans="1:3" x14ac:dyDescent="0.35">
      <c r="B12" s="2" t="s">
        <v>25</v>
      </c>
      <c r="C12" s="2" t="s">
        <v>30</v>
      </c>
    </row>
    <row r="13" spans="1:3" x14ac:dyDescent="0.35">
      <c r="B13" s="12" t="s">
        <v>25</v>
      </c>
      <c r="C13" s="12" t="s">
        <v>31</v>
      </c>
    </row>
    <row r="14" spans="1:3" x14ac:dyDescent="0.35">
      <c r="B14" s="2" t="s">
        <v>25</v>
      </c>
      <c r="C14" s="2" t="s">
        <v>32</v>
      </c>
    </row>
    <row r="15" spans="1:3" x14ac:dyDescent="0.35">
      <c r="B15" s="12" t="s">
        <v>25</v>
      </c>
      <c r="C15" s="12" t="s">
        <v>33</v>
      </c>
    </row>
    <row r="16" spans="1:3" x14ac:dyDescent="0.35">
      <c r="B16" s="2" t="s">
        <v>25</v>
      </c>
      <c r="C16" s="2" t="s">
        <v>34</v>
      </c>
    </row>
    <row r="17" spans="2:3" x14ac:dyDescent="0.35">
      <c r="B17" s="12" t="s">
        <v>25</v>
      </c>
      <c r="C17" s="12" t="s">
        <v>35</v>
      </c>
    </row>
    <row r="18" spans="2:3" x14ac:dyDescent="0.35">
      <c r="B18" s="2" t="s">
        <v>25</v>
      </c>
      <c r="C18" s="2" t="s">
        <v>36</v>
      </c>
    </row>
    <row r="19" spans="2:3" x14ac:dyDescent="0.35">
      <c r="B19" s="12" t="s">
        <v>25</v>
      </c>
      <c r="C19" s="12" t="s">
        <v>37</v>
      </c>
    </row>
    <row r="20" spans="2:3" x14ac:dyDescent="0.35">
      <c r="B20" s="2" t="s">
        <v>25</v>
      </c>
      <c r="C20" s="2" t="s">
        <v>38</v>
      </c>
    </row>
    <row r="21" spans="2:3" x14ac:dyDescent="0.35">
      <c r="B21" s="12" t="s">
        <v>25</v>
      </c>
      <c r="C21" s="12" t="s">
        <v>39</v>
      </c>
    </row>
    <row r="22" spans="2:3" x14ac:dyDescent="0.35">
      <c r="B22" s="2" t="s">
        <v>25</v>
      </c>
      <c r="C22" s="2" t="s">
        <v>40</v>
      </c>
    </row>
    <row r="23" spans="2:3" x14ac:dyDescent="0.35">
      <c r="B23" s="12" t="s">
        <v>25</v>
      </c>
      <c r="C23" s="12" t="s">
        <v>41</v>
      </c>
    </row>
    <row r="24" spans="2:3" x14ac:dyDescent="0.35">
      <c r="B24" s="2" t="s">
        <v>25</v>
      </c>
      <c r="C24" s="2" t="s">
        <v>42</v>
      </c>
    </row>
    <row r="25" spans="2:3" x14ac:dyDescent="0.35">
      <c r="B25" s="12" t="s">
        <v>25</v>
      </c>
      <c r="C25" s="12" t="s">
        <v>43</v>
      </c>
    </row>
    <row r="26" spans="2:3" x14ac:dyDescent="0.35">
      <c r="B26" s="2" t="s">
        <v>25</v>
      </c>
      <c r="C26" s="2" t="s">
        <v>44</v>
      </c>
    </row>
    <row r="27" spans="2:3" x14ac:dyDescent="0.35">
      <c r="B27" s="12" t="s">
        <v>25</v>
      </c>
      <c r="C27" s="12" t="s">
        <v>45</v>
      </c>
    </row>
    <row r="28" spans="2:3" x14ac:dyDescent="0.35">
      <c r="B28" s="2" t="s">
        <v>25</v>
      </c>
      <c r="C28" s="2" t="s">
        <v>46</v>
      </c>
    </row>
    <row r="29" spans="2:3" x14ac:dyDescent="0.35">
      <c r="B29" s="12" t="s">
        <v>25</v>
      </c>
      <c r="C29" s="12" t="s">
        <v>47</v>
      </c>
    </row>
    <row r="30" spans="2:3" x14ac:dyDescent="0.35">
      <c r="B30" s="2" t="s">
        <v>25</v>
      </c>
      <c r="C30" s="2" t="s">
        <v>48</v>
      </c>
    </row>
    <row r="31" spans="2:3" x14ac:dyDescent="0.35">
      <c r="B31" s="12" t="s">
        <v>25</v>
      </c>
      <c r="C31" s="12" t="s">
        <v>49</v>
      </c>
    </row>
    <row r="32" spans="2:3" x14ac:dyDescent="0.35">
      <c r="B32" s="2" t="s">
        <v>25</v>
      </c>
      <c r="C32" s="2" t="s">
        <v>50</v>
      </c>
    </row>
    <row r="33" spans="2:3" x14ac:dyDescent="0.35">
      <c r="B33" s="12" t="s">
        <v>25</v>
      </c>
      <c r="C33" s="12" t="s">
        <v>51</v>
      </c>
    </row>
    <row r="34" spans="2:3" x14ac:dyDescent="0.35">
      <c r="B34" s="2" t="s">
        <v>25</v>
      </c>
      <c r="C34" s="2" t="s">
        <v>52</v>
      </c>
    </row>
    <row r="35" spans="2:3" x14ac:dyDescent="0.35">
      <c r="B35" s="12" t="s">
        <v>25</v>
      </c>
      <c r="C35" s="12" t="s">
        <v>53</v>
      </c>
    </row>
    <row r="36" spans="2:3" x14ac:dyDescent="0.35">
      <c r="B36" s="2" t="s">
        <v>25</v>
      </c>
      <c r="C36" s="2" t="s">
        <v>54</v>
      </c>
    </row>
    <row r="37" spans="2:3" x14ac:dyDescent="0.35">
      <c r="B37" s="12" t="s">
        <v>25</v>
      </c>
      <c r="C37" s="12" t="s">
        <v>55</v>
      </c>
    </row>
    <row r="38" spans="2:3" x14ac:dyDescent="0.35">
      <c r="B38" s="2" t="s">
        <v>25</v>
      </c>
      <c r="C38" s="2" t="s">
        <v>56</v>
      </c>
    </row>
    <row r="39" spans="2:3" x14ac:dyDescent="0.35">
      <c r="B39" s="12" t="s">
        <v>25</v>
      </c>
      <c r="C39" s="12" t="s">
        <v>57</v>
      </c>
    </row>
    <row r="40" spans="2:3" x14ac:dyDescent="0.35">
      <c r="B40" s="2" t="s">
        <v>25</v>
      </c>
      <c r="C40" s="2" t="s">
        <v>58</v>
      </c>
    </row>
    <row r="41" spans="2:3" x14ac:dyDescent="0.35">
      <c r="B41" s="12" t="s">
        <v>25</v>
      </c>
      <c r="C41" s="12" t="s">
        <v>59</v>
      </c>
    </row>
    <row r="42" spans="2:3" x14ac:dyDescent="0.35">
      <c r="B42" s="2" t="s">
        <v>25</v>
      </c>
      <c r="C42" s="2" t="s">
        <v>60</v>
      </c>
    </row>
    <row r="43" spans="2:3" x14ac:dyDescent="0.35">
      <c r="B43" s="12" t="s">
        <v>25</v>
      </c>
      <c r="C43" s="12" t="s">
        <v>61</v>
      </c>
    </row>
    <row r="44" spans="2:3" x14ac:dyDescent="0.35">
      <c r="B44" s="2" t="s">
        <v>25</v>
      </c>
      <c r="C44" s="2" t="s">
        <v>62</v>
      </c>
    </row>
    <row r="45" spans="2:3" x14ac:dyDescent="0.35">
      <c r="B45" s="12" t="s">
        <v>25</v>
      </c>
      <c r="C45" s="12" t="s">
        <v>63</v>
      </c>
    </row>
    <row r="46" spans="2:3" x14ac:dyDescent="0.35">
      <c r="B46" s="2" t="s">
        <v>25</v>
      </c>
      <c r="C46" s="2" t="s">
        <v>64</v>
      </c>
    </row>
    <row r="47" spans="2:3" x14ac:dyDescent="0.35">
      <c r="B47" s="12" t="s">
        <v>25</v>
      </c>
      <c r="C47" s="12" t="s">
        <v>65</v>
      </c>
    </row>
    <row r="48" spans="2:3" x14ac:dyDescent="0.35">
      <c r="B48" s="2" t="s">
        <v>66</v>
      </c>
      <c r="C48" s="2" t="s">
        <v>67</v>
      </c>
    </row>
    <row r="49" spans="2:3" x14ac:dyDescent="0.35">
      <c r="B49" s="12" t="s">
        <v>66</v>
      </c>
      <c r="C49" s="12" t="s">
        <v>68</v>
      </c>
    </row>
    <row r="50" spans="2:3" x14ac:dyDescent="0.35">
      <c r="B50" s="2" t="s">
        <v>66</v>
      </c>
      <c r="C50" s="2" t="s">
        <v>69</v>
      </c>
    </row>
    <row r="51" spans="2:3" x14ac:dyDescent="0.35">
      <c r="B51" s="12" t="s">
        <v>66</v>
      </c>
      <c r="C51" s="12" t="s">
        <v>70</v>
      </c>
    </row>
    <row r="52" spans="2:3" x14ac:dyDescent="0.35">
      <c r="B52" s="2" t="s">
        <v>66</v>
      </c>
      <c r="C52" s="2" t="s">
        <v>71</v>
      </c>
    </row>
    <row r="53" spans="2:3" x14ac:dyDescent="0.35">
      <c r="B53" s="12" t="s">
        <v>66</v>
      </c>
      <c r="C53" s="12" t="s">
        <v>72</v>
      </c>
    </row>
    <row r="54" spans="2:3" x14ac:dyDescent="0.35">
      <c r="B54" s="2" t="s">
        <v>66</v>
      </c>
      <c r="C54" s="2" t="s">
        <v>73</v>
      </c>
    </row>
    <row r="55" spans="2:3" x14ac:dyDescent="0.35">
      <c r="B55" s="12" t="s">
        <v>66</v>
      </c>
      <c r="C55" s="12" t="s">
        <v>74</v>
      </c>
    </row>
    <row r="56" spans="2:3" x14ac:dyDescent="0.35">
      <c r="B56" s="2" t="s">
        <v>66</v>
      </c>
      <c r="C56" s="2" t="s">
        <v>75</v>
      </c>
    </row>
    <row r="57" spans="2:3" x14ac:dyDescent="0.35">
      <c r="B57" s="12" t="s">
        <v>66</v>
      </c>
      <c r="C57" s="12" t="s">
        <v>76</v>
      </c>
    </row>
    <row r="58" spans="2:3" x14ac:dyDescent="0.35">
      <c r="B58" s="2" t="s">
        <v>66</v>
      </c>
      <c r="C58" s="2" t="s">
        <v>77</v>
      </c>
    </row>
    <row r="59" spans="2:3" x14ac:dyDescent="0.35">
      <c r="B59" s="12" t="s">
        <v>66</v>
      </c>
      <c r="C59" s="1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tabSelected="1" workbookViewId="0">
      <pane xSplit="1" ySplit="11" topLeftCell="B33" activePane="bottomRight" state="frozen"/>
      <selection pane="topRight"/>
      <selection pane="bottomLeft"/>
      <selection pane="bottomRight" activeCell="N51" sqref="N51"/>
    </sheetView>
  </sheetViews>
  <sheetFormatPr defaultRowHeight="11.4" customHeight="1" x14ac:dyDescent="0.35"/>
  <cols>
    <col min="1" max="1" width="29.90625" customWidth="1"/>
    <col min="2" max="13" width="10" customWidth="1"/>
  </cols>
  <sheetData>
    <row r="1" spans="1:14" x14ac:dyDescent="0.35">
      <c r="A1" s="2" t="s">
        <v>79</v>
      </c>
    </row>
    <row r="2" spans="1:14" x14ac:dyDescent="0.35">
      <c r="A2" s="2" t="s">
        <v>80</v>
      </c>
      <c r="B2" s="1" t="s">
        <v>0</v>
      </c>
    </row>
    <row r="3" spans="1:14" x14ac:dyDescent="0.35">
      <c r="A3" s="2" t="s">
        <v>81</v>
      </c>
      <c r="B3" s="2" t="s">
        <v>6</v>
      </c>
    </row>
    <row r="4" spans="1:14" x14ac:dyDescent="0.35"/>
    <row r="5" spans="1:14" x14ac:dyDescent="0.35">
      <c r="A5" s="1" t="s">
        <v>12</v>
      </c>
      <c r="C5" s="2" t="s">
        <v>17</v>
      </c>
    </row>
    <row r="6" spans="1:14" x14ac:dyDescent="0.35">
      <c r="A6" s="1" t="s">
        <v>13</v>
      </c>
      <c r="C6" s="2" t="s">
        <v>18</v>
      </c>
    </row>
    <row r="7" spans="1:14" x14ac:dyDescent="0.35">
      <c r="A7" s="1" t="s">
        <v>14</v>
      </c>
      <c r="C7" s="2" t="s">
        <v>19</v>
      </c>
    </row>
    <row r="8" spans="1:14" x14ac:dyDescent="0.35">
      <c r="A8" s="1" t="s">
        <v>15</v>
      </c>
      <c r="C8" s="2" t="s">
        <v>20</v>
      </c>
    </row>
    <row r="9" spans="1:14" x14ac:dyDescent="0.35"/>
    <row r="10" spans="1:14" x14ac:dyDescent="0.35">
      <c r="A10" s="4" t="s">
        <v>82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78</v>
      </c>
    </row>
    <row r="11" spans="1:14" x14ac:dyDescent="0.35">
      <c r="A11" s="5" t="s">
        <v>83</v>
      </c>
      <c r="B11" s="7" t="s">
        <v>84</v>
      </c>
      <c r="C11" s="7" t="s">
        <v>84</v>
      </c>
      <c r="D11" s="7" t="s">
        <v>84</v>
      </c>
      <c r="E11" s="7" t="s">
        <v>84</v>
      </c>
      <c r="F11" s="7" t="s">
        <v>84</v>
      </c>
      <c r="G11" s="7" t="s">
        <v>84</v>
      </c>
      <c r="H11" s="7" t="s">
        <v>84</v>
      </c>
      <c r="I11" s="7" t="s">
        <v>84</v>
      </c>
      <c r="J11" s="7" t="s">
        <v>84</v>
      </c>
      <c r="K11" s="7" t="s">
        <v>84</v>
      </c>
      <c r="L11" s="7" t="s">
        <v>84</v>
      </c>
      <c r="M11" s="7" t="s">
        <v>84</v>
      </c>
    </row>
    <row r="12" spans="1:14" x14ac:dyDescent="0.35">
      <c r="A12" s="6" t="s">
        <v>26</v>
      </c>
      <c r="B12" s="9" t="s">
        <v>85</v>
      </c>
      <c r="C12" s="9" t="s">
        <v>85</v>
      </c>
      <c r="D12" s="9" t="s">
        <v>85</v>
      </c>
      <c r="E12" s="9" t="s">
        <v>85</v>
      </c>
      <c r="F12" s="9" t="s">
        <v>85</v>
      </c>
      <c r="G12" s="9" t="s">
        <v>85</v>
      </c>
      <c r="H12" s="9" t="s">
        <v>85</v>
      </c>
      <c r="I12" s="9" t="s">
        <v>85</v>
      </c>
      <c r="J12" s="9" t="s">
        <v>85</v>
      </c>
      <c r="K12" s="9" t="s">
        <v>85</v>
      </c>
      <c r="L12" s="9" t="s">
        <v>85</v>
      </c>
      <c r="M12" s="9" t="s">
        <v>85</v>
      </c>
      <c r="N12" s="23">
        <f>SUM(B12:M12)</f>
        <v>0</v>
      </c>
    </row>
    <row r="13" spans="1:14" x14ac:dyDescent="0.35">
      <c r="A13" s="6" t="s">
        <v>27</v>
      </c>
      <c r="B13" s="19">
        <v>0.5</v>
      </c>
      <c r="C13" s="19">
        <v>0.5</v>
      </c>
      <c r="D13" s="19">
        <v>0.5</v>
      </c>
      <c r="E13" s="19">
        <v>0.5</v>
      </c>
      <c r="F13" s="19">
        <v>0.5</v>
      </c>
      <c r="G13" s="19">
        <v>0.4</v>
      </c>
      <c r="H13" s="19">
        <v>0.5</v>
      </c>
      <c r="I13" s="19">
        <v>0.5</v>
      </c>
      <c r="J13" s="19">
        <v>0.5</v>
      </c>
      <c r="K13" s="19">
        <v>0.5</v>
      </c>
      <c r="L13" s="19">
        <v>0.5</v>
      </c>
      <c r="M13" s="19">
        <v>0.5</v>
      </c>
      <c r="N13" s="23">
        <f t="shared" ref="N13:N51" si="0">SUM(B13:M13)</f>
        <v>5.9</v>
      </c>
    </row>
    <row r="14" spans="1:14" x14ac:dyDescent="0.35">
      <c r="A14" s="6" t="s">
        <v>28</v>
      </c>
      <c r="B14" s="16">
        <v>5.8769999999999998</v>
      </c>
      <c r="C14" s="16">
        <v>4.726</v>
      </c>
      <c r="D14" s="16">
        <v>4.7409999999999997</v>
      </c>
      <c r="E14" s="16">
        <v>3.9670000000000001</v>
      </c>
      <c r="F14" s="16">
        <v>4.1680000000000001</v>
      </c>
      <c r="G14" s="16">
        <v>4.0350000000000001</v>
      </c>
      <c r="H14" s="16">
        <v>4.2270000000000003</v>
      </c>
      <c r="I14" s="16">
        <v>4.7030000000000003</v>
      </c>
      <c r="J14" s="16">
        <v>4.6269999999999998</v>
      </c>
      <c r="K14" s="16">
        <v>4.7939999999999996</v>
      </c>
      <c r="L14" s="16">
        <v>4.7560000000000002</v>
      </c>
      <c r="M14" s="20">
        <v>3.73</v>
      </c>
      <c r="N14" s="23">
        <f t="shared" si="0"/>
        <v>54.350999999999999</v>
      </c>
    </row>
    <row r="15" spans="1:14" x14ac:dyDescent="0.35">
      <c r="A15" s="6" t="s">
        <v>29</v>
      </c>
      <c r="B15" s="15">
        <v>17.984999999999999</v>
      </c>
      <c r="C15" s="15">
        <v>15.340999999999999</v>
      </c>
      <c r="D15" s="15">
        <v>16.884</v>
      </c>
      <c r="E15" s="15">
        <v>16.337</v>
      </c>
      <c r="F15" s="15">
        <v>16.393000000000001</v>
      </c>
      <c r="G15" s="15">
        <v>15.731999999999999</v>
      </c>
      <c r="H15" s="15">
        <v>16.663</v>
      </c>
      <c r="I15" s="15">
        <v>15.898</v>
      </c>
      <c r="J15" s="19">
        <v>15.32</v>
      </c>
      <c r="K15" s="15">
        <v>15.624000000000001</v>
      </c>
      <c r="L15" s="19">
        <v>16.64</v>
      </c>
      <c r="M15" s="15">
        <v>17.257999999999999</v>
      </c>
      <c r="N15" s="23">
        <f t="shared" si="0"/>
        <v>196.07500000000002</v>
      </c>
    </row>
    <row r="16" spans="1:14" x14ac:dyDescent="0.35">
      <c r="A16" s="6" t="s">
        <v>30</v>
      </c>
      <c r="B16" s="16">
        <v>146.744</v>
      </c>
      <c r="C16" s="16">
        <v>131.798</v>
      </c>
      <c r="D16" s="16">
        <v>139.27699999999999</v>
      </c>
      <c r="E16" s="16">
        <v>120.19199999999999</v>
      </c>
      <c r="F16" s="16">
        <v>135.738</v>
      </c>
      <c r="G16" s="16">
        <v>102.667</v>
      </c>
      <c r="H16" s="16">
        <v>112.30800000000001</v>
      </c>
      <c r="I16" s="16">
        <v>105.84099999999999</v>
      </c>
      <c r="J16" s="16">
        <v>126.895</v>
      </c>
      <c r="K16" s="16">
        <v>109.33199999999999</v>
      </c>
      <c r="L16" s="16">
        <v>126.22499999999999</v>
      </c>
      <c r="M16" s="16">
        <v>70.524000000000001</v>
      </c>
      <c r="N16" s="23">
        <f t="shared" si="0"/>
        <v>1427.5409999999997</v>
      </c>
    </row>
    <row r="17" spans="1:14" x14ac:dyDescent="0.35">
      <c r="A17" s="6" t="s">
        <v>31</v>
      </c>
      <c r="B17" s="19">
        <v>470</v>
      </c>
      <c r="C17" s="19">
        <v>432</v>
      </c>
      <c r="D17" s="19">
        <v>429</v>
      </c>
      <c r="E17" s="19">
        <v>439</v>
      </c>
      <c r="F17" s="19">
        <v>445</v>
      </c>
      <c r="G17" s="19">
        <v>415</v>
      </c>
      <c r="H17" s="19">
        <v>431</v>
      </c>
      <c r="I17" s="19">
        <v>408</v>
      </c>
      <c r="J17" s="19">
        <v>269</v>
      </c>
      <c r="K17" s="19">
        <v>274</v>
      </c>
      <c r="L17" s="19">
        <v>414</v>
      </c>
      <c r="M17" s="19">
        <v>448</v>
      </c>
      <c r="N17" s="23">
        <f t="shared" si="0"/>
        <v>4874</v>
      </c>
    </row>
    <row r="18" spans="1:14" x14ac:dyDescent="0.35">
      <c r="A18" s="6" t="s">
        <v>32</v>
      </c>
      <c r="B18" s="9" t="s">
        <v>85</v>
      </c>
      <c r="C18" s="9" t="s">
        <v>85</v>
      </c>
      <c r="D18" s="9" t="s">
        <v>85</v>
      </c>
      <c r="E18" s="9" t="s">
        <v>85</v>
      </c>
      <c r="F18" s="20">
        <v>0</v>
      </c>
      <c r="G18" s="9" t="s">
        <v>85</v>
      </c>
      <c r="H18" s="9" t="s">
        <v>85</v>
      </c>
      <c r="I18" s="9" t="s">
        <v>85</v>
      </c>
      <c r="J18" s="9" t="s">
        <v>85</v>
      </c>
      <c r="K18" s="9" t="s">
        <v>85</v>
      </c>
      <c r="L18" s="9" t="s">
        <v>85</v>
      </c>
      <c r="M18" s="9" t="s">
        <v>85</v>
      </c>
      <c r="N18" s="23">
        <f t="shared" si="0"/>
        <v>0</v>
      </c>
    </row>
    <row r="19" spans="1:14" x14ac:dyDescent="0.35">
      <c r="A19" s="6" t="s">
        <v>33</v>
      </c>
      <c r="B19" s="15">
        <v>203.87799999999999</v>
      </c>
      <c r="C19" s="15">
        <v>183.44499999999999</v>
      </c>
      <c r="D19" s="19">
        <v>195.49</v>
      </c>
      <c r="E19" s="15">
        <v>185.13399999999999</v>
      </c>
      <c r="F19" s="15">
        <v>174.13300000000001</v>
      </c>
      <c r="G19" s="15">
        <v>173.553</v>
      </c>
      <c r="H19" s="15">
        <v>169.733</v>
      </c>
      <c r="I19" s="15">
        <v>165.05600000000001</v>
      </c>
      <c r="J19" s="15">
        <v>121.16200000000001</v>
      </c>
      <c r="K19" s="15">
        <v>149.92500000000001</v>
      </c>
      <c r="L19" s="15">
        <v>151.245</v>
      </c>
      <c r="M19" s="15">
        <v>156.89699999999999</v>
      </c>
      <c r="N19" s="23">
        <f t="shared" si="0"/>
        <v>2029.6509999999998</v>
      </c>
    </row>
    <row r="20" spans="1:14" x14ac:dyDescent="0.35">
      <c r="A20" s="6" t="s">
        <v>34</v>
      </c>
      <c r="B20" s="16">
        <v>0.77700000000000002</v>
      </c>
      <c r="C20" s="16">
        <v>0.55900000000000005</v>
      </c>
      <c r="D20" s="16">
        <v>0.64400000000000002</v>
      </c>
      <c r="E20" s="16">
        <v>0.69399999999999995</v>
      </c>
      <c r="F20" s="16">
        <v>0.55400000000000005</v>
      </c>
      <c r="G20" s="16">
        <v>0.50600000000000001</v>
      </c>
      <c r="H20" s="20">
        <v>0.36</v>
      </c>
      <c r="I20" s="16">
        <v>0.41599999999999998</v>
      </c>
      <c r="J20" s="16">
        <v>0.56499999999999995</v>
      </c>
      <c r="K20" s="16">
        <v>0.38700000000000001</v>
      </c>
      <c r="L20" s="16">
        <v>0.52800000000000002</v>
      </c>
      <c r="M20" s="20">
        <v>0.49</v>
      </c>
      <c r="N20" s="23">
        <f t="shared" si="0"/>
        <v>6.4800000000000022</v>
      </c>
    </row>
    <row r="21" spans="1:14" x14ac:dyDescent="0.35">
      <c r="A21" s="6" t="s">
        <v>35</v>
      </c>
      <c r="B21" s="19">
        <v>6</v>
      </c>
      <c r="C21" s="19">
        <v>4</v>
      </c>
      <c r="D21" s="19">
        <v>6</v>
      </c>
      <c r="E21" s="19">
        <v>5</v>
      </c>
      <c r="F21" s="19">
        <v>4</v>
      </c>
      <c r="G21" s="19">
        <v>1</v>
      </c>
      <c r="H21" s="8" t="s">
        <v>85</v>
      </c>
      <c r="I21" s="19">
        <v>2</v>
      </c>
      <c r="J21" s="19">
        <v>6</v>
      </c>
      <c r="K21" s="19">
        <v>5</v>
      </c>
      <c r="L21" s="19">
        <v>3</v>
      </c>
      <c r="M21" s="19">
        <v>4</v>
      </c>
      <c r="N21" s="23">
        <f t="shared" si="0"/>
        <v>46</v>
      </c>
    </row>
    <row r="22" spans="1:14" x14ac:dyDescent="0.35">
      <c r="A22" s="6" t="s">
        <v>36</v>
      </c>
      <c r="B22" s="16">
        <v>1.597</v>
      </c>
      <c r="C22" s="16">
        <v>1.5369999999999999</v>
      </c>
      <c r="D22" s="16">
        <v>1.621</v>
      </c>
      <c r="E22" s="16">
        <v>1.2949999999999999</v>
      </c>
      <c r="F22" s="16">
        <v>1.524</v>
      </c>
      <c r="G22" s="16">
        <v>1.0169999999999999</v>
      </c>
      <c r="H22" s="16">
        <v>1.077</v>
      </c>
      <c r="I22" s="16">
        <v>0.67500000000000004</v>
      </c>
      <c r="J22" s="16">
        <v>0.252</v>
      </c>
      <c r="K22" s="16">
        <v>1.9830000000000001</v>
      </c>
      <c r="L22" s="16">
        <v>2.3570000000000002</v>
      </c>
      <c r="M22" s="16">
        <v>2.4140000000000001</v>
      </c>
      <c r="N22" s="23">
        <f t="shared" si="0"/>
        <v>17.349000000000004</v>
      </c>
    </row>
    <row r="23" spans="1:14" x14ac:dyDescent="0.35">
      <c r="A23" s="6" t="s">
        <v>37</v>
      </c>
      <c r="B23" s="19">
        <v>83.6</v>
      </c>
      <c r="C23" s="19">
        <v>78.28</v>
      </c>
      <c r="D23" s="15">
        <v>82.105000000000004</v>
      </c>
      <c r="E23" s="19">
        <v>78</v>
      </c>
      <c r="F23" s="19">
        <v>78.599999999999994</v>
      </c>
      <c r="G23" s="19">
        <v>75.099999999999994</v>
      </c>
      <c r="H23" s="19">
        <v>76.400000000000006</v>
      </c>
      <c r="I23" s="19">
        <v>74.5</v>
      </c>
      <c r="J23" s="19">
        <v>49.1</v>
      </c>
      <c r="K23" s="19">
        <v>73.3</v>
      </c>
      <c r="L23" s="19">
        <v>70.599999999999994</v>
      </c>
      <c r="M23" s="19">
        <v>68.8</v>
      </c>
      <c r="N23" s="23">
        <f t="shared" si="0"/>
        <v>888.38499999999999</v>
      </c>
    </row>
    <row r="24" spans="1:14" x14ac:dyDescent="0.35">
      <c r="A24" s="6" t="s">
        <v>38</v>
      </c>
      <c r="B24" s="20">
        <v>364</v>
      </c>
      <c r="C24" s="20">
        <v>345</v>
      </c>
      <c r="D24" s="20">
        <v>359</v>
      </c>
      <c r="E24" s="20">
        <v>328</v>
      </c>
      <c r="F24" s="20">
        <v>339</v>
      </c>
      <c r="G24" s="20">
        <v>317</v>
      </c>
      <c r="H24" s="20">
        <v>332</v>
      </c>
      <c r="I24" s="20">
        <v>298</v>
      </c>
      <c r="J24" s="20">
        <v>301</v>
      </c>
      <c r="K24" s="20">
        <v>312</v>
      </c>
      <c r="L24" s="20">
        <v>310</v>
      </c>
      <c r="M24" s="20">
        <v>327</v>
      </c>
      <c r="N24" s="23">
        <f t="shared" si="0"/>
        <v>3932</v>
      </c>
    </row>
    <row r="25" spans="1:14" x14ac:dyDescent="0.35">
      <c r="A25" s="6" t="s">
        <v>39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23">
        <f t="shared" si="0"/>
        <v>0</v>
      </c>
    </row>
    <row r="26" spans="1:14" x14ac:dyDescent="0.35">
      <c r="A26" s="6" t="s">
        <v>40</v>
      </c>
      <c r="B26" s="9" t="s">
        <v>85</v>
      </c>
      <c r="C26" s="9" t="s">
        <v>85</v>
      </c>
      <c r="D26" s="9" t="s">
        <v>85</v>
      </c>
      <c r="E26" s="9" t="s">
        <v>85</v>
      </c>
      <c r="F26" s="9" t="s">
        <v>85</v>
      </c>
      <c r="G26" s="9" t="s">
        <v>85</v>
      </c>
      <c r="H26" s="9" t="s">
        <v>85</v>
      </c>
      <c r="I26" s="9" t="s">
        <v>85</v>
      </c>
      <c r="J26" s="9" t="s">
        <v>85</v>
      </c>
      <c r="K26" s="9" t="s">
        <v>85</v>
      </c>
      <c r="L26" s="9" t="s">
        <v>85</v>
      </c>
      <c r="M26" s="9" t="s">
        <v>85</v>
      </c>
      <c r="N26" s="23">
        <f t="shared" si="0"/>
        <v>0</v>
      </c>
    </row>
    <row r="27" spans="1:14" x14ac:dyDescent="0.35">
      <c r="A27" s="6" t="s">
        <v>41</v>
      </c>
      <c r="B27" s="8" t="s">
        <v>85</v>
      </c>
      <c r="C27" s="8" t="s">
        <v>85</v>
      </c>
      <c r="D27" s="8" t="s">
        <v>85</v>
      </c>
      <c r="E27" s="8" t="s">
        <v>85</v>
      </c>
      <c r="F27" s="8" t="s">
        <v>85</v>
      </c>
      <c r="G27" s="8" t="s">
        <v>85</v>
      </c>
      <c r="H27" s="8" t="s">
        <v>85</v>
      </c>
      <c r="I27" s="8" t="s">
        <v>85</v>
      </c>
      <c r="J27" s="8" t="s">
        <v>85</v>
      </c>
      <c r="K27" s="8" t="s">
        <v>85</v>
      </c>
      <c r="L27" s="8" t="s">
        <v>85</v>
      </c>
      <c r="M27" s="8" t="s">
        <v>85</v>
      </c>
      <c r="N27" s="23">
        <f t="shared" si="0"/>
        <v>0</v>
      </c>
    </row>
    <row r="28" spans="1:14" x14ac:dyDescent="0.35">
      <c r="A28" s="6" t="s">
        <v>42</v>
      </c>
      <c r="B28" s="9" t="s">
        <v>85</v>
      </c>
      <c r="C28" s="9" t="s">
        <v>85</v>
      </c>
      <c r="D28" s="9" t="s">
        <v>85</v>
      </c>
      <c r="E28" s="9" t="s">
        <v>85</v>
      </c>
      <c r="F28" s="9" t="s">
        <v>85</v>
      </c>
      <c r="G28" s="9" t="s">
        <v>85</v>
      </c>
      <c r="H28" s="9" t="s">
        <v>85</v>
      </c>
      <c r="I28" s="9" t="s">
        <v>85</v>
      </c>
      <c r="J28" s="9" t="s">
        <v>85</v>
      </c>
      <c r="K28" s="9" t="s">
        <v>85</v>
      </c>
      <c r="L28" s="9" t="s">
        <v>85</v>
      </c>
      <c r="M28" s="9" t="s">
        <v>85</v>
      </c>
      <c r="N28" s="23">
        <f t="shared" si="0"/>
        <v>0</v>
      </c>
    </row>
    <row r="29" spans="1:14" x14ac:dyDescent="0.35">
      <c r="A29" s="6" t="s">
        <v>43</v>
      </c>
      <c r="B29" s="19">
        <v>155</v>
      </c>
      <c r="C29" s="19">
        <v>140</v>
      </c>
      <c r="D29" s="19">
        <v>149</v>
      </c>
      <c r="E29" s="19">
        <v>143</v>
      </c>
      <c r="F29" s="19">
        <v>138</v>
      </c>
      <c r="G29" s="19">
        <v>134</v>
      </c>
      <c r="H29" s="19">
        <v>135</v>
      </c>
      <c r="I29" s="19">
        <v>140</v>
      </c>
      <c r="J29" s="19">
        <v>136</v>
      </c>
      <c r="K29" s="19">
        <v>143</v>
      </c>
      <c r="L29" s="19">
        <v>135</v>
      </c>
      <c r="M29" s="19">
        <v>137</v>
      </c>
      <c r="N29" s="23">
        <f t="shared" si="0"/>
        <v>1685</v>
      </c>
    </row>
    <row r="30" spans="1:14" x14ac:dyDescent="0.35">
      <c r="A30" s="6" t="s">
        <v>44</v>
      </c>
      <c r="B30" s="20">
        <v>0</v>
      </c>
      <c r="C30" s="9" t="s">
        <v>85</v>
      </c>
      <c r="D30" s="20">
        <v>0</v>
      </c>
      <c r="E30" s="9" t="s">
        <v>85</v>
      </c>
      <c r="F30" s="20">
        <v>0</v>
      </c>
      <c r="G30" s="9" t="s">
        <v>85</v>
      </c>
      <c r="H30" s="9" t="s">
        <v>85</v>
      </c>
      <c r="I30" s="20">
        <v>0</v>
      </c>
      <c r="J30" s="20">
        <v>0</v>
      </c>
      <c r="K30" s="20">
        <v>0</v>
      </c>
      <c r="L30" s="9" t="s">
        <v>85</v>
      </c>
      <c r="M30" s="9" t="s">
        <v>85</v>
      </c>
      <c r="N30" s="23">
        <f t="shared" si="0"/>
        <v>0</v>
      </c>
    </row>
    <row r="31" spans="1:14" x14ac:dyDescent="0.35">
      <c r="A31" s="6" t="s">
        <v>45</v>
      </c>
      <c r="B31" s="19">
        <v>2785.94</v>
      </c>
      <c r="C31" s="15">
        <v>2254.2109999999998</v>
      </c>
      <c r="D31" s="15">
        <v>2022.5609999999999</v>
      </c>
      <c r="E31" s="15">
        <v>2231.7069999999999</v>
      </c>
      <c r="F31" s="15">
        <v>2546.7629999999999</v>
      </c>
      <c r="G31" s="15">
        <v>1728.886</v>
      </c>
      <c r="H31" s="19">
        <v>1457.96</v>
      </c>
      <c r="I31" s="15">
        <v>1387.8030000000001</v>
      </c>
      <c r="J31" s="15">
        <v>1340.3720000000001</v>
      </c>
      <c r="K31" s="15">
        <v>2022.9290000000001</v>
      </c>
      <c r="L31" s="15">
        <v>2021.4380000000001</v>
      </c>
      <c r="M31" s="15">
        <v>2165.5529999999999</v>
      </c>
      <c r="N31" s="23">
        <f t="shared" si="0"/>
        <v>23966.123</v>
      </c>
    </row>
    <row r="32" spans="1:14" x14ac:dyDescent="0.35">
      <c r="A32" s="6" t="s">
        <v>46</v>
      </c>
      <c r="B32" s="16">
        <v>76.355000000000004</v>
      </c>
      <c r="C32" s="16">
        <v>70.278999999999996</v>
      </c>
      <c r="D32" s="16">
        <v>72.906999999999996</v>
      </c>
      <c r="E32" s="16">
        <v>60.817</v>
      </c>
      <c r="F32" s="16">
        <v>63.881</v>
      </c>
      <c r="G32" s="16">
        <v>58.677</v>
      </c>
      <c r="H32" s="16">
        <v>63.302999999999997</v>
      </c>
      <c r="I32" s="16">
        <v>62.960999999999999</v>
      </c>
      <c r="J32" s="16">
        <v>56.116999999999997</v>
      </c>
      <c r="K32" s="16">
        <v>64.153999999999996</v>
      </c>
      <c r="L32" s="16">
        <v>62.192</v>
      </c>
      <c r="M32" s="16">
        <v>62.332999999999998</v>
      </c>
      <c r="N32" s="23">
        <f t="shared" si="0"/>
        <v>773.976</v>
      </c>
    </row>
    <row r="33" spans="1:14" x14ac:dyDescent="0.35">
      <c r="A33" s="6" t="s">
        <v>47</v>
      </c>
      <c r="B33" s="15">
        <v>506.745</v>
      </c>
      <c r="C33" s="15">
        <v>476.608</v>
      </c>
      <c r="D33" s="19">
        <v>503.56</v>
      </c>
      <c r="E33" s="19">
        <v>475.02</v>
      </c>
      <c r="F33" s="15">
        <v>401.22300000000001</v>
      </c>
      <c r="G33" s="19">
        <v>396.34</v>
      </c>
      <c r="H33" s="15">
        <v>480.64299999999997</v>
      </c>
      <c r="I33" s="15">
        <v>475.22300000000001</v>
      </c>
      <c r="J33" s="15">
        <v>406.39699999999999</v>
      </c>
      <c r="K33" s="15">
        <v>489.29399999999998</v>
      </c>
      <c r="L33" s="15">
        <v>482.68400000000003</v>
      </c>
      <c r="M33" s="15">
        <v>499.14299999999997</v>
      </c>
      <c r="N33" s="23">
        <f t="shared" si="0"/>
        <v>5592.88</v>
      </c>
    </row>
    <row r="34" spans="1:14" x14ac:dyDescent="0.35">
      <c r="A34" s="6" t="s">
        <v>48</v>
      </c>
      <c r="B34" s="9" t="s">
        <v>85</v>
      </c>
      <c r="C34" s="9" t="s">
        <v>85</v>
      </c>
      <c r="D34" s="9" t="s">
        <v>85</v>
      </c>
      <c r="E34" s="9" t="s">
        <v>85</v>
      </c>
      <c r="F34" s="9" t="s">
        <v>85</v>
      </c>
      <c r="G34" s="9" t="s">
        <v>85</v>
      </c>
      <c r="H34" s="9" t="s">
        <v>85</v>
      </c>
      <c r="I34" s="9" t="s">
        <v>85</v>
      </c>
      <c r="J34" s="9" t="s">
        <v>85</v>
      </c>
      <c r="K34" s="9" t="s">
        <v>85</v>
      </c>
      <c r="L34" s="9" t="s">
        <v>85</v>
      </c>
      <c r="M34" s="9" t="s">
        <v>85</v>
      </c>
      <c r="N34" s="23">
        <f t="shared" si="0"/>
        <v>0</v>
      </c>
    </row>
    <row r="35" spans="1:14" x14ac:dyDescent="0.35">
      <c r="A35" s="6" t="s">
        <v>49</v>
      </c>
      <c r="B35" s="19">
        <v>880</v>
      </c>
      <c r="C35" s="19">
        <v>806</v>
      </c>
      <c r="D35" s="19">
        <v>852</v>
      </c>
      <c r="E35" s="19">
        <v>759</v>
      </c>
      <c r="F35" s="19">
        <v>651</v>
      </c>
      <c r="G35" s="19">
        <v>621</v>
      </c>
      <c r="H35" s="19">
        <v>640</v>
      </c>
      <c r="I35" s="19">
        <v>661</v>
      </c>
      <c r="J35" s="19">
        <v>735</v>
      </c>
      <c r="K35" s="19">
        <v>798</v>
      </c>
      <c r="L35" s="19">
        <v>795</v>
      </c>
      <c r="M35" s="19">
        <v>819</v>
      </c>
      <c r="N35" s="23">
        <f t="shared" si="0"/>
        <v>9017</v>
      </c>
    </row>
    <row r="36" spans="1:14" x14ac:dyDescent="0.35">
      <c r="A36" s="6" t="s">
        <v>50</v>
      </c>
      <c r="B36" s="16">
        <v>0.60399999999999998</v>
      </c>
      <c r="C36" s="16">
        <v>0.49399999999999999</v>
      </c>
      <c r="D36" s="16">
        <v>0.49399999999999999</v>
      </c>
      <c r="E36" s="16">
        <v>0.48599999999999999</v>
      </c>
      <c r="F36" s="16">
        <v>0.45800000000000002</v>
      </c>
      <c r="G36" s="16">
        <v>0.433</v>
      </c>
      <c r="H36" s="16">
        <v>0.11799999999999999</v>
      </c>
      <c r="I36" s="16">
        <v>0.41599999999999998</v>
      </c>
      <c r="J36" s="20">
        <v>0.41</v>
      </c>
      <c r="K36" s="16">
        <v>0.436</v>
      </c>
      <c r="L36" s="16">
        <v>0.45800000000000002</v>
      </c>
      <c r="M36" s="16">
        <v>0.52700000000000002</v>
      </c>
      <c r="N36" s="23">
        <f t="shared" si="0"/>
        <v>5.3340000000000005</v>
      </c>
    </row>
    <row r="37" spans="1:14" x14ac:dyDescent="0.35">
      <c r="A37" s="6" t="s">
        <v>51</v>
      </c>
      <c r="B37" s="15">
        <v>6.3490000000000002</v>
      </c>
      <c r="C37" s="15">
        <v>5.508</v>
      </c>
      <c r="D37" s="15">
        <v>5.5730000000000004</v>
      </c>
      <c r="E37" s="15">
        <v>6.508</v>
      </c>
      <c r="F37" s="15">
        <v>5.7389999999999999</v>
      </c>
      <c r="G37" s="15">
        <v>5.0039999999999996</v>
      </c>
      <c r="H37" s="15">
        <v>5.6289999999999996</v>
      </c>
      <c r="I37" s="15">
        <v>5.4569999999999999</v>
      </c>
      <c r="J37" s="19">
        <v>4.79</v>
      </c>
      <c r="K37" s="15">
        <v>5.3049999999999997</v>
      </c>
      <c r="L37" s="15">
        <v>5.3869999999999996</v>
      </c>
      <c r="M37" s="15">
        <v>5.452</v>
      </c>
      <c r="N37" s="23">
        <f t="shared" si="0"/>
        <v>66.700999999999993</v>
      </c>
    </row>
    <row r="38" spans="1:14" x14ac:dyDescent="0.35">
      <c r="A38" s="6" t="s">
        <v>52</v>
      </c>
      <c r="B38" s="9" t="s">
        <v>85</v>
      </c>
      <c r="C38" s="9" t="s">
        <v>85</v>
      </c>
      <c r="D38" s="9" t="s">
        <v>85</v>
      </c>
      <c r="E38" s="9" t="s">
        <v>85</v>
      </c>
      <c r="F38" s="9" t="s">
        <v>85</v>
      </c>
      <c r="G38" s="9" t="s">
        <v>85</v>
      </c>
      <c r="H38" s="9" t="s">
        <v>85</v>
      </c>
      <c r="I38" s="9" t="s">
        <v>85</v>
      </c>
      <c r="J38" s="9" t="s">
        <v>85</v>
      </c>
      <c r="K38" s="9" t="s">
        <v>85</v>
      </c>
      <c r="L38" s="9" t="s">
        <v>85</v>
      </c>
      <c r="M38" s="9" t="s">
        <v>85</v>
      </c>
      <c r="N38" s="23">
        <f t="shared" si="0"/>
        <v>0</v>
      </c>
    </row>
    <row r="39" spans="1:14" x14ac:dyDescent="0.35">
      <c r="A39" s="6" t="s">
        <v>53</v>
      </c>
      <c r="B39" s="8" t="s">
        <v>85</v>
      </c>
      <c r="C39" s="8" t="s">
        <v>85</v>
      </c>
      <c r="D39" s="8" t="s">
        <v>85</v>
      </c>
      <c r="E39" s="8" t="s">
        <v>85</v>
      </c>
      <c r="F39" s="8" t="s">
        <v>85</v>
      </c>
      <c r="G39" s="8" t="s">
        <v>85</v>
      </c>
      <c r="H39" s="8" t="s">
        <v>85</v>
      </c>
      <c r="I39" s="8" t="s">
        <v>85</v>
      </c>
      <c r="J39" s="8" t="s">
        <v>85</v>
      </c>
      <c r="K39" s="8" t="s">
        <v>85</v>
      </c>
      <c r="L39" s="8" t="s">
        <v>85</v>
      </c>
      <c r="M39" s="8" t="s">
        <v>85</v>
      </c>
      <c r="N39" s="23">
        <f t="shared" si="0"/>
        <v>0</v>
      </c>
    </row>
    <row r="40" spans="1:14" x14ac:dyDescent="0.35">
      <c r="A40" s="6" t="s">
        <v>54</v>
      </c>
      <c r="B40" s="9" t="s">
        <v>85</v>
      </c>
      <c r="C40" s="9" t="s">
        <v>85</v>
      </c>
      <c r="D40" s="9" t="s">
        <v>85</v>
      </c>
      <c r="E40" s="9" t="s">
        <v>85</v>
      </c>
      <c r="F40" s="9" t="s">
        <v>85</v>
      </c>
      <c r="G40" s="9" t="s">
        <v>85</v>
      </c>
      <c r="H40" s="9" t="s">
        <v>85</v>
      </c>
      <c r="I40" s="9" t="s">
        <v>85</v>
      </c>
      <c r="J40" s="9" t="s">
        <v>85</v>
      </c>
      <c r="K40" s="9" t="s">
        <v>85</v>
      </c>
      <c r="L40" s="9" t="s">
        <v>85</v>
      </c>
      <c r="M40" s="9" t="s">
        <v>85</v>
      </c>
      <c r="N40" s="23">
        <f t="shared" si="0"/>
        <v>0</v>
      </c>
    </row>
    <row r="41" spans="1:14" x14ac:dyDescent="0.35">
      <c r="A41" s="6" t="s">
        <v>55</v>
      </c>
      <c r="B41" s="19">
        <v>10820.9</v>
      </c>
      <c r="C41" s="15">
        <v>10207.213</v>
      </c>
      <c r="D41" s="19">
        <v>11064.13</v>
      </c>
      <c r="E41" s="15">
        <v>9456.6110000000008</v>
      </c>
      <c r="F41" s="15">
        <v>8539.6119999999992</v>
      </c>
      <c r="G41" s="15">
        <v>8696.1409999999996</v>
      </c>
      <c r="H41" s="15">
        <v>9797.8729999999996</v>
      </c>
      <c r="I41" s="15">
        <v>9204.7260000000006</v>
      </c>
      <c r="J41" s="19">
        <v>8594.69</v>
      </c>
      <c r="K41" s="15">
        <v>9266.7839999999997</v>
      </c>
      <c r="L41" s="15">
        <v>9926.5470000000005</v>
      </c>
      <c r="M41" s="19">
        <v>10630.89</v>
      </c>
      <c r="N41" s="23">
        <f t="shared" si="0"/>
        <v>116206.11699999998</v>
      </c>
    </row>
    <row r="42" spans="1:14" x14ac:dyDescent="0.35">
      <c r="A42" s="6" t="s">
        <v>56</v>
      </c>
      <c r="B42" s="16">
        <v>3675.9189999999999</v>
      </c>
      <c r="C42" s="16">
        <v>3312.4810000000002</v>
      </c>
      <c r="D42" s="16">
        <v>3388.8389999999999</v>
      </c>
      <c r="E42" s="16">
        <v>3509.239</v>
      </c>
      <c r="F42" s="16">
        <v>3592.5880000000002</v>
      </c>
      <c r="G42" s="16">
        <v>3283.5279999999998</v>
      </c>
      <c r="H42" s="16">
        <v>3358.2429999999999</v>
      </c>
      <c r="I42" s="16">
        <v>2797.953</v>
      </c>
      <c r="J42" s="16">
        <v>2573.4650000000001</v>
      </c>
      <c r="K42" s="16">
        <v>3344.297</v>
      </c>
      <c r="L42" s="9" t="s">
        <v>85</v>
      </c>
      <c r="M42" s="9" t="s">
        <v>85</v>
      </c>
      <c r="N42" s="23">
        <f t="shared" si="0"/>
        <v>32836.551999999996</v>
      </c>
    </row>
    <row r="43" spans="1:14" x14ac:dyDescent="0.35">
      <c r="A43" s="6" t="s">
        <v>57</v>
      </c>
      <c r="B43" s="8" t="s">
        <v>85</v>
      </c>
      <c r="C43" s="8" t="s">
        <v>85</v>
      </c>
      <c r="D43" s="8" t="s">
        <v>85</v>
      </c>
      <c r="E43" s="8" t="s">
        <v>85</v>
      </c>
      <c r="F43" s="8" t="s">
        <v>85</v>
      </c>
      <c r="G43" s="8" t="s">
        <v>85</v>
      </c>
      <c r="H43" s="8" t="s">
        <v>85</v>
      </c>
      <c r="I43" s="8" t="s">
        <v>85</v>
      </c>
      <c r="J43" s="8" t="s">
        <v>85</v>
      </c>
      <c r="K43" s="8" t="s">
        <v>85</v>
      </c>
      <c r="L43" s="8" t="s">
        <v>85</v>
      </c>
      <c r="M43" s="8" t="s">
        <v>85</v>
      </c>
      <c r="N43" s="23">
        <f t="shared" si="0"/>
        <v>0</v>
      </c>
    </row>
    <row r="44" spans="1:14" x14ac:dyDescent="0.35">
      <c r="A44" s="6" t="s">
        <v>58</v>
      </c>
      <c r="B44" s="9" t="s">
        <v>85</v>
      </c>
      <c r="C44" s="9" t="s">
        <v>85</v>
      </c>
      <c r="D44" s="9" t="s">
        <v>85</v>
      </c>
      <c r="E44" s="9" t="s">
        <v>85</v>
      </c>
      <c r="F44" s="9" t="s">
        <v>85</v>
      </c>
      <c r="G44" s="9" t="s">
        <v>85</v>
      </c>
      <c r="H44" s="9" t="s">
        <v>85</v>
      </c>
      <c r="I44" s="9" t="s">
        <v>85</v>
      </c>
      <c r="J44" s="9" t="s">
        <v>85</v>
      </c>
      <c r="K44" s="9" t="s">
        <v>85</v>
      </c>
      <c r="L44" s="9" t="s">
        <v>85</v>
      </c>
      <c r="M44" s="9" t="s">
        <v>85</v>
      </c>
      <c r="N44" s="23">
        <f t="shared" si="0"/>
        <v>0</v>
      </c>
    </row>
    <row r="45" spans="1:14" x14ac:dyDescent="0.35">
      <c r="A45" s="6" t="s">
        <v>59</v>
      </c>
      <c r="B45" s="8" t="s">
        <v>85</v>
      </c>
      <c r="C45" s="8" t="s">
        <v>85</v>
      </c>
      <c r="D45" s="8" t="s">
        <v>85</v>
      </c>
      <c r="E45" s="8" t="s">
        <v>85</v>
      </c>
      <c r="F45" s="8" t="s">
        <v>85</v>
      </c>
      <c r="G45" s="8" t="s">
        <v>85</v>
      </c>
      <c r="H45" s="8" t="s">
        <v>85</v>
      </c>
      <c r="I45" s="8" t="s">
        <v>85</v>
      </c>
      <c r="J45" s="8" t="s">
        <v>85</v>
      </c>
      <c r="K45" s="19">
        <v>0</v>
      </c>
      <c r="L45" s="8" t="s">
        <v>85</v>
      </c>
      <c r="M45" s="8" t="s">
        <v>85</v>
      </c>
      <c r="N45" s="23">
        <f t="shared" si="0"/>
        <v>0</v>
      </c>
    </row>
    <row r="46" spans="1:14" x14ac:dyDescent="0.35">
      <c r="A46" s="6" t="s">
        <v>60</v>
      </c>
      <c r="B46" s="16">
        <v>6.1260000000000003</v>
      </c>
      <c r="C46" s="16">
        <v>5.7039999999999997</v>
      </c>
      <c r="D46" s="16">
        <v>6.0620000000000003</v>
      </c>
      <c r="E46" s="16">
        <v>1.417</v>
      </c>
      <c r="F46" s="16">
        <v>2.3660000000000001</v>
      </c>
      <c r="G46" s="16">
        <v>4.819</v>
      </c>
      <c r="H46" s="16">
        <v>5.1109999999999998</v>
      </c>
      <c r="I46" s="16">
        <v>5.2460000000000004</v>
      </c>
      <c r="J46" s="20">
        <v>5.03</v>
      </c>
      <c r="K46" s="16">
        <v>5.085</v>
      </c>
      <c r="L46" s="16">
        <v>4.9130000000000003</v>
      </c>
      <c r="M46" s="16">
        <v>5.016</v>
      </c>
      <c r="N46" s="23">
        <f t="shared" si="0"/>
        <v>56.895000000000003</v>
      </c>
    </row>
    <row r="47" spans="1:14" x14ac:dyDescent="0.35">
      <c r="A47" s="6" t="s">
        <v>61</v>
      </c>
      <c r="B47" s="19">
        <v>36</v>
      </c>
      <c r="C47" s="19">
        <v>33</v>
      </c>
      <c r="D47" s="19">
        <v>36</v>
      </c>
      <c r="E47" s="19">
        <v>34</v>
      </c>
      <c r="F47" s="19">
        <v>35</v>
      </c>
      <c r="G47" s="19">
        <v>35</v>
      </c>
      <c r="H47" s="19">
        <v>35</v>
      </c>
      <c r="I47" s="19">
        <v>35</v>
      </c>
      <c r="J47" s="19">
        <v>33</v>
      </c>
      <c r="K47" s="19">
        <v>34</v>
      </c>
      <c r="L47" s="19">
        <v>31</v>
      </c>
      <c r="M47" s="19">
        <v>32</v>
      </c>
      <c r="N47" s="23">
        <f t="shared" si="0"/>
        <v>409</v>
      </c>
    </row>
    <row r="48" spans="1:14" x14ac:dyDescent="0.35">
      <c r="A48" s="6" t="s">
        <v>62</v>
      </c>
      <c r="B48" s="20">
        <v>37.880000000000003</v>
      </c>
      <c r="C48" s="20">
        <v>36.99</v>
      </c>
      <c r="D48" s="20">
        <v>44.57</v>
      </c>
      <c r="E48" s="20">
        <v>40.619999999999997</v>
      </c>
      <c r="F48" s="20">
        <v>32.42</v>
      </c>
      <c r="G48" s="20">
        <v>39.43</v>
      </c>
      <c r="H48" s="20">
        <v>34.590000000000003</v>
      </c>
      <c r="I48" s="20">
        <v>36.770000000000003</v>
      </c>
      <c r="J48" s="20">
        <v>35.89</v>
      </c>
      <c r="K48" s="20">
        <v>35.25</v>
      </c>
      <c r="L48" s="20">
        <v>32.01</v>
      </c>
      <c r="M48" s="20">
        <v>31.09</v>
      </c>
      <c r="N48" s="23">
        <f t="shared" si="0"/>
        <v>437.50999999999993</v>
      </c>
    </row>
    <row r="49" spans="1:14" x14ac:dyDescent="0.35">
      <c r="A49" s="6" t="s">
        <v>63</v>
      </c>
      <c r="B49" s="19">
        <v>1688</v>
      </c>
      <c r="C49" s="19">
        <v>1573</v>
      </c>
      <c r="D49" s="19">
        <v>1672</v>
      </c>
      <c r="E49" s="19">
        <v>1617</v>
      </c>
      <c r="F49" s="19">
        <v>1665</v>
      </c>
      <c r="G49" s="19">
        <v>1601</v>
      </c>
      <c r="H49" s="19">
        <v>1654</v>
      </c>
      <c r="I49" s="19">
        <v>1656</v>
      </c>
      <c r="J49" s="19">
        <v>1582</v>
      </c>
      <c r="K49" s="19">
        <v>1626</v>
      </c>
      <c r="L49" s="19">
        <v>1573</v>
      </c>
      <c r="M49" s="19">
        <v>1609</v>
      </c>
      <c r="N49" s="23">
        <f t="shared" si="0"/>
        <v>19516</v>
      </c>
    </row>
    <row r="50" spans="1:14" x14ac:dyDescent="0.35">
      <c r="A50" s="6" t="s">
        <v>64</v>
      </c>
      <c r="B50" s="9" t="s">
        <v>85</v>
      </c>
      <c r="C50" s="9" t="s">
        <v>85</v>
      </c>
      <c r="D50" s="9" t="s">
        <v>85</v>
      </c>
      <c r="E50" s="9" t="s">
        <v>85</v>
      </c>
      <c r="F50" s="9" t="s">
        <v>85</v>
      </c>
      <c r="G50" s="9" t="s">
        <v>85</v>
      </c>
      <c r="H50" s="9" t="s">
        <v>85</v>
      </c>
      <c r="I50" s="9" t="s">
        <v>85</v>
      </c>
      <c r="J50" s="9" t="s">
        <v>85</v>
      </c>
      <c r="K50" s="9" t="s">
        <v>85</v>
      </c>
      <c r="L50" s="9" t="s">
        <v>85</v>
      </c>
      <c r="M50" s="9" t="s">
        <v>85</v>
      </c>
      <c r="N50" s="23">
        <f t="shared" si="0"/>
        <v>0</v>
      </c>
    </row>
    <row r="51" spans="1:14" x14ac:dyDescent="0.35">
      <c r="A51" s="6" t="s">
        <v>65</v>
      </c>
      <c r="B51" s="19">
        <v>0.7</v>
      </c>
      <c r="C51" s="19">
        <v>0.68</v>
      </c>
      <c r="D51" s="19">
        <v>0.71</v>
      </c>
      <c r="E51" s="19">
        <v>0.67</v>
      </c>
      <c r="F51" s="19">
        <v>0.7</v>
      </c>
      <c r="G51" s="19">
        <v>0.65</v>
      </c>
      <c r="H51" s="19">
        <v>0.72</v>
      </c>
      <c r="I51" s="19">
        <v>0.7</v>
      </c>
      <c r="J51" s="19">
        <v>0.63</v>
      </c>
      <c r="K51" s="19">
        <v>0.65</v>
      </c>
      <c r="L51" s="19">
        <v>0.67</v>
      </c>
      <c r="M51" s="19">
        <v>0.63</v>
      </c>
      <c r="N51" s="23">
        <f t="shared" si="0"/>
        <v>8.1100000000000012</v>
      </c>
    </row>
    <row r="53" spans="1:14" x14ac:dyDescent="0.35">
      <c r="A53" s="1" t="s">
        <v>86</v>
      </c>
    </row>
    <row r="54" spans="1:14" x14ac:dyDescent="0.35">
      <c r="A54" s="1" t="s">
        <v>85</v>
      </c>
      <c r="B54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Johannes Felipe Giehl</cp:lastModifiedBy>
  <dcterms:created xsi:type="dcterms:W3CDTF">2024-03-16T11:00:01Z</dcterms:created>
  <dcterms:modified xsi:type="dcterms:W3CDTF">2024-03-16T11:06:38Z</dcterms:modified>
</cp:coreProperties>
</file>