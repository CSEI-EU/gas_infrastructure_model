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1_raw\01_Russian_War_Case\"/>
    </mc:Choice>
  </mc:AlternateContent>
  <xr:revisionPtr revIDLastSave="0" documentId="13_ncr:1_{CBED926C-82B8-48BD-B0D4-B70AE3E7F721}" xr6:coauthVersionLast="47" xr6:coauthVersionMax="47" xr10:uidLastSave="{00000000-0000-0000-0000-000000000000}"/>
  <bookViews>
    <workbookView xWindow="-110" yWindow="-110" windowWidth="19420" windowHeight="10300" activeTab="1" xr2:uid="{54076A59-68A2-4DDF-850D-52E2BBED7091}"/>
  </bookViews>
  <sheets>
    <sheet name="Working gas (TWh) per operation" sheetId="1" r:id="rId1"/>
    <sheet name="Working gas (TWh) per year" sheetId="5" r:id="rId2"/>
    <sheet name="Withdrawal (GWh per day)" sheetId="2" r:id="rId3"/>
    <sheet name="Withdrawal (GWh per hour)" sheetId="3" r:id="rId4"/>
    <sheet name="source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2" i="5"/>
  <c r="E3" i="5"/>
  <c r="E4" i="5"/>
  <c r="E5" i="5"/>
  <c r="E6" i="5"/>
  <c r="E7" i="5"/>
  <c r="E9" i="5"/>
  <c r="E10" i="5"/>
  <c r="E11" i="5"/>
  <c r="E13" i="5"/>
  <c r="E14" i="5"/>
  <c r="E16" i="5"/>
  <c r="E17" i="5"/>
  <c r="E18" i="5"/>
  <c r="E19" i="5"/>
  <c r="E20" i="5"/>
  <c r="B29" i="1"/>
  <c r="C29" i="1"/>
  <c r="D29" i="1"/>
  <c r="E29" i="1"/>
  <c r="B28" i="1"/>
  <c r="C28" i="1"/>
  <c r="D28" i="1"/>
  <c r="E28" i="1"/>
  <c r="E25" i="1"/>
  <c r="C28" i="5"/>
  <c r="D28" i="5"/>
  <c r="B21" i="5"/>
  <c r="E28" i="5"/>
  <c r="B28" i="5"/>
  <c r="B29" i="5" s="1"/>
  <c r="B25" i="3"/>
  <c r="C25" i="3"/>
  <c r="D25" i="3"/>
  <c r="B26" i="3"/>
  <c r="C26" i="3"/>
  <c r="D26" i="3"/>
  <c r="B27" i="3"/>
  <c r="C27" i="3"/>
  <c r="D27" i="3"/>
  <c r="B28" i="3"/>
  <c r="C28" i="3"/>
  <c r="D28" i="3"/>
  <c r="D29" i="3"/>
  <c r="D24" i="3"/>
  <c r="C24" i="3"/>
  <c r="B24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C9" i="3"/>
  <c r="D9" i="3"/>
  <c r="B10" i="3"/>
  <c r="C10" i="3"/>
  <c r="D10" i="3"/>
  <c r="B11" i="3"/>
  <c r="C11" i="3"/>
  <c r="D11" i="3"/>
  <c r="B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D21" i="3"/>
  <c r="C2" i="3"/>
  <c r="D2" i="3"/>
  <c r="B2" i="3"/>
  <c r="D29" i="2"/>
  <c r="D28" i="2"/>
  <c r="C28" i="2"/>
  <c r="B28" i="2"/>
  <c r="D21" i="2"/>
  <c r="E8" i="5" l="1"/>
  <c r="D21" i="5"/>
  <c r="C21" i="5"/>
  <c r="E21" i="5" s="1"/>
  <c r="E29" i="5" s="1"/>
  <c r="E15" i="5"/>
  <c r="D29" i="5"/>
  <c r="C29" i="5" l="1"/>
  <c r="C12" i="2" l="1"/>
  <c r="C21" i="2" l="1"/>
  <c r="C12" i="3"/>
  <c r="C29" i="2" l="1"/>
  <c r="C29" i="3" s="1"/>
  <c r="C21" i="3"/>
  <c r="B9" i="2"/>
  <c r="B21" i="2" l="1"/>
  <c r="B9" i="3"/>
  <c r="B21" i="3" l="1"/>
  <c r="B29" i="2"/>
  <c r="B29" i="3" s="1"/>
</calcChain>
</file>

<file path=xl/sharedStrings.xml><?xml version="1.0" encoding="utf-8"?>
<sst xmlns="http://schemas.openxmlformats.org/spreadsheetml/2006/main" count="134" uniqueCount="36">
  <si>
    <t>Country / Status / WGV (TWh)</t>
  </si>
  <si>
    <t>operational</t>
  </si>
  <si>
    <t>under construction</t>
  </si>
  <si>
    <t>planned</t>
  </si>
  <si>
    <t>TOTAL</t>
  </si>
  <si>
    <t>Austria</t>
  </si>
  <si>
    <t>Belgium</t>
  </si>
  <si>
    <t>Bulgaria</t>
  </si>
  <si>
    <t>Croatia</t>
  </si>
  <si>
    <t>Czech Republic</t>
  </si>
  <si>
    <t>Denmark</t>
  </si>
  <si>
    <t>France</t>
  </si>
  <si>
    <t>Germany</t>
  </si>
  <si>
    <t>Greece</t>
  </si>
  <si>
    <t>Hungary</t>
  </si>
  <si>
    <t>Italy</t>
  </si>
  <si>
    <t>Latvia</t>
  </si>
  <si>
    <t>Netherlands</t>
  </si>
  <si>
    <t>Poland</t>
  </si>
  <si>
    <t>Portugal</t>
  </si>
  <si>
    <t>Romania</t>
  </si>
  <si>
    <t>Slovakia</t>
  </si>
  <si>
    <t>Spain</t>
  </si>
  <si>
    <t>Sweden</t>
  </si>
  <si>
    <t>EU</t>
  </si>
  <si>
    <t>Belarus</t>
  </si>
  <si>
    <t>Russian Federation</t>
  </si>
  <si>
    <t>Serbia</t>
  </si>
  <si>
    <t>Turkey</t>
  </si>
  <si>
    <t>Ukraine</t>
  </si>
  <si>
    <t>United Kingdom</t>
  </si>
  <si>
    <t>Total non EU</t>
  </si>
  <si>
    <t>TOTAL EUROPE</t>
  </si>
  <si>
    <t>future</t>
  </si>
  <si>
    <t>not necessary</t>
  </si>
  <si>
    <t>https://www.gie.eu/transparency/databases/storage-database/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</si>
</sst>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fg.eco\Downloads\2021_Storage_DB_final_UPD.xlsx" TargetMode="External"/><Relationship Id="rId1" Type="http://schemas.openxmlformats.org/officeDocument/2006/relationships/externalLinkPath" Target="/Users/jfg.eco/Downloads/2021_Storage_DB_final_U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age DB "/>
      <sheetName val="pivot"/>
      <sheetName val="No and vol by type"/>
      <sheetName val="WGV and No by status"/>
      <sheetName val="WGV by type and TWh"/>
      <sheetName val="Per country by type and number"/>
      <sheetName val="Withdrawal chart"/>
      <sheetName val="Withdr Oct-March"/>
    </sheetNames>
    <sheetDataSet>
      <sheetData sheetId="0">
        <row r="70">
          <cell r="U70">
            <v>145.80000000000001</v>
          </cell>
        </row>
        <row r="71">
          <cell r="U71">
            <v>63.449999999999989</v>
          </cell>
        </row>
        <row r="72">
          <cell r="U72">
            <v>530.4</v>
          </cell>
        </row>
        <row r="73">
          <cell r="U73">
            <v>739.65</v>
          </cell>
        </row>
        <row r="74">
          <cell r="U74">
            <v>64.95</v>
          </cell>
        </row>
        <row r="75">
          <cell r="U75">
            <v>94.08</v>
          </cell>
        </row>
        <row r="76">
          <cell r="U76">
            <v>82.15</v>
          </cell>
        </row>
        <row r="77">
          <cell r="U77">
            <v>216.96</v>
          </cell>
        </row>
        <row r="78">
          <cell r="U78">
            <v>94.08</v>
          </cell>
        </row>
        <row r="79">
          <cell r="U79">
            <v>93.6</v>
          </cell>
        </row>
        <row r="80">
          <cell r="U80">
            <v>26.64</v>
          </cell>
        </row>
        <row r="81">
          <cell r="U81">
            <v>270.07</v>
          </cell>
        </row>
        <row r="83">
          <cell r="U83">
            <v>258.72000000000003</v>
          </cell>
        </row>
        <row r="84">
          <cell r="U84">
            <v>27.6</v>
          </cell>
        </row>
        <row r="85">
          <cell r="U85">
            <v>69</v>
          </cell>
        </row>
        <row r="86">
          <cell r="U86">
            <v>69.599999999999994</v>
          </cell>
        </row>
        <row r="87">
          <cell r="U87">
            <v>49.68</v>
          </cell>
        </row>
        <row r="88">
          <cell r="U88">
            <v>82.08</v>
          </cell>
        </row>
        <row r="89">
          <cell r="U89">
            <v>23.52</v>
          </cell>
        </row>
        <row r="90">
          <cell r="U90">
            <v>32.76</v>
          </cell>
        </row>
        <row r="91">
          <cell r="U91">
            <v>361.15199999999999</v>
          </cell>
        </row>
        <row r="92">
          <cell r="U92">
            <v>140.76</v>
          </cell>
        </row>
        <row r="93">
          <cell r="U93">
            <v>187.67999999999998</v>
          </cell>
        </row>
        <row r="94">
          <cell r="U94">
            <v>55.641599999999997</v>
          </cell>
        </row>
        <row r="95">
          <cell r="U95">
            <v>27.6</v>
          </cell>
        </row>
        <row r="96">
          <cell r="U96">
            <v>13.56</v>
          </cell>
        </row>
        <row r="97">
          <cell r="U97">
            <v>107.52</v>
          </cell>
        </row>
        <row r="98">
          <cell r="U98">
            <v>98.46</v>
          </cell>
        </row>
        <row r="99">
          <cell r="U99">
            <v>175.47</v>
          </cell>
        </row>
        <row r="100">
          <cell r="U100">
            <v>175.47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325.77999999999997</v>
          </cell>
        </row>
        <row r="104">
          <cell r="U104">
            <v>109.44</v>
          </cell>
        </row>
        <row r="105">
          <cell r="U105">
            <v>0</v>
          </cell>
        </row>
        <row r="106">
          <cell r="U106">
            <v>0</v>
          </cell>
        </row>
        <row r="107">
          <cell r="U107">
            <v>61.032000000000004</v>
          </cell>
        </row>
        <row r="108">
          <cell r="U108">
            <v>162.88999999999999</v>
          </cell>
        </row>
        <row r="109">
          <cell r="U109">
            <v>141.61000000000001</v>
          </cell>
        </row>
        <row r="110">
          <cell r="U110">
            <v>106.8</v>
          </cell>
        </row>
        <row r="111">
          <cell r="U111">
            <v>0</v>
          </cell>
        </row>
        <row r="112">
          <cell r="U112">
            <v>4.1399999999999997</v>
          </cell>
        </row>
        <row r="113">
          <cell r="U113">
            <v>27.12</v>
          </cell>
        </row>
        <row r="114">
          <cell r="U114">
            <v>52.007999999999996</v>
          </cell>
        </row>
        <row r="115">
          <cell r="U115">
            <v>8.0280000000000005</v>
          </cell>
        </row>
        <row r="116">
          <cell r="U116">
            <v>81.72</v>
          </cell>
        </row>
        <row r="117">
          <cell r="U117">
            <v>231.958</v>
          </cell>
        </row>
        <row r="118">
          <cell r="U118">
            <v>40.32</v>
          </cell>
        </row>
        <row r="119">
          <cell r="U119">
            <v>107.598</v>
          </cell>
        </row>
        <row r="120">
          <cell r="U120">
            <v>17.111999999999998</v>
          </cell>
        </row>
        <row r="121">
          <cell r="U121">
            <v>12.420000000000002</v>
          </cell>
        </row>
        <row r="122">
          <cell r="U122">
            <v>1.9656720000000001</v>
          </cell>
        </row>
        <row r="123">
          <cell r="U123">
            <v>164.45</v>
          </cell>
        </row>
        <row r="124">
          <cell r="U124">
            <v>349.44</v>
          </cell>
        </row>
        <row r="125">
          <cell r="U125">
            <v>139.77600000000001</v>
          </cell>
        </row>
        <row r="126">
          <cell r="U126">
            <v>465.12</v>
          </cell>
        </row>
        <row r="127">
          <cell r="U127">
            <v>288</v>
          </cell>
        </row>
        <row r="128">
          <cell r="U128">
            <v>10.848000000000001</v>
          </cell>
        </row>
        <row r="129">
          <cell r="U129">
            <v>271.68400000000003</v>
          </cell>
        </row>
        <row r="130">
          <cell r="U130">
            <v>396.72</v>
          </cell>
        </row>
        <row r="131">
          <cell r="U131">
            <v>46.17</v>
          </cell>
        </row>
        <row r="132">
          <cell r="U132">
            <v>33.68</v>
          </cell>
        </row>
        <row r="133">
          <cell r="U133">
            <v>41.85</v>
          </cell>
        </row>
        <row r="134">
          <cell r="U134">
            <v>0</v>
          </cell>
        </row>
        <row r="135">
          <cell r="U135">
            <v>0</v>
          </cell>
        </row>
        <row r="136">
          <cell r="U136">
            <v>0</v>
          </cell>
        </row>
        <row r="137">
          <cell r="U137">
            <v>497.17</v>
          </cell>
        </row>
        <row r="157">
          <cell r="U157">
            <v>41.377463157894731</v>
          </cell>
        </row>
        <row r="162">
          <cell r="U162">
            <v>62.0661947368421</v>
          </cell>
        </row>
      </sheetData>
      <sheetData sheetId="1"/>
      <sheetData sheetId="2"/>
      <sheetData sheetId="3"/>
      <sheetData sheetId="4"/>
      <sheetData sheetId="5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F372-8060-40D1-8FB4-B396EC5FBF8A}">
  <dimension ref="A1:E29"/>
  <sheetViews>
    <sheetView topLeftCell="A4" workbookViewId="0">
      <selection activeCell="E12" sqref="E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95.188609999999997</v>
      </c>
      <c r="E2">
        <v>95.188609999999997</v>
      </c>
    </row>
    <row r="3" spans="1:5" x14ac:dyDescent="0.35">
      <c r="A3" t="s">
        <v>6</v>
      </c>
      <c r="B3">
        <v>9.0013000000000005</v>
      </c>
      <c r="E3">
        <v>9.0013000000000005</v>
      </c>
    </row>
    <row r="4" spans="1:5" x14ac:dyDescent="0.35">
      <c r="A4" t="s">
        <v>7</v>
      </c>
      <c r="B4">
        <v>5.8</v>
      </c>
      <c r="D4">
        <v>4.75</v>
      </c>
      <c r="E4">
        <v>10.55</v>
      </c>
    </row>
    <row r="5" spans="1:5" x14ac:dyDescent="0.35">
      <c r="A5" t="s">
        <v>8</v>
      </c>
      <c r="B5">
        <v>5.2164000000000001</v>
      </c>
      <c r="D5">
        <v>0.28499999999999998</v>
      </c>
      <c r="E5">
        <v>5.5014000000000003</v>
      </c>
    </row>
    <row r="6" spans="1:5" x14ac:dyDescent="0.35">
      <c r="A6" t="s">
        <v>9</v>
      </c>
      <c r="B6">
        <v>43.13412000000001</v>
      </c>
      <c r="C6">
        <v>0.84286799999999995</v>
      </c>
      <c r="D6">
        <v>0.43223999999999996</v>
      </c>
      <c r="E6">
        <v>44.409228000000013</v>
      </c>
    </row>
    <row r="7" spans="1:5" x14ac:dyDescent="0.35">
      <c r="A7" t="s">
        <v>10</v>
      </c>
      <c r="B7">
        <v>10.46</v>
      </c>
      <c r="E7">
        <v>10.46</v>
      </c>
    </row>
    <row r="8" spans="1:5" x14ac:dyDescent="0.35">
      <c r="A8" t="s">
        <v>11</v>
      </c>
      <c r="B8">
        <v>132.30000000000001</v>
      </c>
      <c r="D8">
        <v>4.0999999999999996</v>
      </c>
      <c r="E8">
        <v>136.4</v>
      </c>
    </row>
    <row r="9" spans="1:5" x14ac:dyDescent="0.35">
      <c r="A9" t="s">
        <v>12</v>
      </c>
      <c r="B9">
        <v>260.52673903550004</v>
      </c>
      <c r="D9">
        <v>5.8974633499999998</v>
      </c>
      <c r="E9">
        <v>266.42420238550005</v>
      </c>
    </row>
    <row r="10" spans="1:5" x14ac:dyDescent="0.35">
      <c r="A10" t="s">
        <v>13</v>
      </c>
      <c r="D10">
        <v>3.8605</v>
      </c>
      <c r="E10">
        <v>3.8605</v>
      </c>
    </row>
    <row r="11" spans="1:5" x14ac:dyDescent="0.35">
      <c r="A11" t="s">
        <v>14</v>
      </c>
      <c r="B11">
        <v>69.632901899999993</v>
      </c>
      <c r="E11">
        <v>69.632901899999993</v>
      </c>
    </row>
    <row r="12" spans="1:5" x14ac:dyDescent="0.35">
      <c r="A12" t="s">
        <v>15</v>
      </c>
      <c r="B12">
        <v>195.36588</v>
      </c>
      <c r="C12">
        <v>8.5875947368421048</v>
      </c>
      <c r="D12">
        <v>40.747984210526319</v>
      </c>
      <c r="E12">
        <v>244.70145894736842</v>
      </c>
    </row>
    <row r="13" spans="1:5" x14ac:dyDescent="0.35">
      <c r="A13" t="s">
        <v>16</v>
      </c>
      <c r="B13">
        <v>24.2</v>
      </c>
      <c r="E13">
        <v>24.2</v>
      </c>
    </row>
    <row r="14" spans="1:5" x14ac:dyDescent="0.35">
      <c r="A14" t="s">
        <v>17</v>
      </c>
      <c r="B14">
        <v>144.55670000000001</v>
      </c>
      <c r="E14">
        <v>144.55670000000001</v>
      </c>
    </row>
    <row r="15" spans="1:5" x14ac:dyDescent="0.35">
      <c r="A15" t="s">
        <v>18</v>
      </c>
      <c r="B15">
        <v>38.432400000000001</v>
      </c>
      <c r="C15">
        <v>0.69</v>
      </c>
      <c r="D15">
        <v>9</v>
      </c>
      <c r="E15">
        <v>48.122399999999999</v>
      </c>
    </row>
    <row r="16" spans="1:5" x14ac:dyDescent="0.35">
      <c r="A16" t="s">
        <v>19</v>
      </c>
      <c r="B16">
        <v>3.57</v>
      </c>
      <c r="C16">
        <v>0</v>
      </c>
      <c r="E16">
        <v>3.57</v>
      </c>
    </row>
    <row r="17" spans="1:5" x14ac:dyDescent="0.35">
      <c r="A17" t="s">
        <v>20</v>
      </c>
      <c r="B17">
        <v>32.990550000000006</v>
      </c>
      <c r="D17">
        <v>12.528000000000002</v>
      </c>
      <c r="E17">
        <v>45.518550000000005</v>
      </c>
    </row>
    <row r="18" spans="1:5" x14ac:dyDescent="0.35">
      <c r="A18" t="s">
        <v>21</v>
      </c>
      <c r="B18">
        <v>43.447600000000001</v>
      </c>
      <c r="D18">
        <v>3.6057000000000001</v>
      </c>
      <c r="E18">
        <v>47.0533</v>
      </c>
    </row>
    <row r="19" spans="1:5" x14ac:dyDescent="0.35">
      <c r="A19" t="s">
        <v>22</v>
      </c>
      <c r="B19">
        <v>34.247999999999998</v>
      </c>
      <c r="E19">
        <v>34.247999999999998</v>
      </c>
    </row>
    <row r="20" spans="1:5" x14ac:dyDescent="0.35">
      <c r="A20" t="s">
        <v>23</v>
      </c>
      <c r="B20">
        <v>8.6400000000000005E-2</v>
      </c>
      <c r="E20">
        <v>8.6400000000000005E-2</v>
      </c>
    </row>
    <row r="21" spans="1:5" x14ac:dyDescent="0.35">
      <c r="A21" t="s">
        <v>24</v>
      </c>
      <c r="B21">
        <v>1148.1576009355001</v>
      </c>
      <c r="C21">
        <v>10.120462736842104</v>
      </c>
      <c r="D21">
        <v>85.206887560526326</v>
      </c>
      <c r="E21">
        <v>1243.4849512328685</v>
      </c>
    </row>
    <row r="22" spans="1:5" x14ac:dyDescent="0.35">
      <c r="A22" t="s">
        <v>25</v>
      </c>
      <c r="B22">
        <v>15.319599999999999</v>
      </c>
      <c r="C22">
        <v>5.5149999999999997</v>
      </c>
      <c r="E22">
        <v>20.834599999999998</v>
      </c>
    </row>
    <row r="23" spans="1:5" x14ac:dyDescent="0.35">
      <c r="A23" t="s">
        <v>26</v>
      </c>
      <c r="B23">
        <v>23.824799999999996</v>
      </c>
      <c r="E23">
        <v>23.824799999999996</v>
      </c>
    </row>
    <row r="24" spans="1:5" x14ac:dyDescent="0.35">
      <c r="A24" t="s">
        <v>27</v>
      </c>
      <c r="B24">
        <v>4.5315000000000003</v>
      </c>
      <c r="E24">
        <v>4.5315000000000003</v>
      </c>
    </row>
    <row r="25" spans="1:5" x14ac:dyDescent="0.35">
      <c r="A25" t="s">
        <v>28</v>
      </c>
      <c r="B25">
        <v>35.023933649289106</v>
      </c>
      <c r="D25" s="1">
        <v>98.530000000000015</v>
      </c>
      <c r="E25">
        <f>SUM(B25:D25)</f>
        <v>133.55393364928912</v>
      </c>
    </row>
    <row r="26" spans="1:5" x14ac:dyDescent="0.35">
      <c r="A26" t="s">
        <v>29</v>
      </c>
      <c r="B26">
        <v>327.92</v>
      </c>
      <c r="E26">
        <v>327.92</v>
      </c>
    </row>
    <row r="27" spans="1:5" x14ac:dyDescent="0.35">
      <c r="A27" t="s">
        <v>30</v>
      </c>
      <c r="B27">
        <v>17.469600000000003</v>
      </c>
      <c r="C27">
        <v>0.37619999999999998</v>
      </c>
      <c r="D27">
        <v>35.339500000000001</v>
      </c>
      <c r="E27">
        <v>53.185300000000005</v>
      </c>
    </row>
    <row r="28" spans="1:5" x14ac:dyDescent="0.35">
      <c r="A28" t="s">
        <v>31</v>
      </c>
      <c r="B28">
        <f>SUM(B22:B27)</f>
        <v>424.08943364928916</v>
      </c>
      <c r="C28">
        <f>SUM(C22:C27)</f>
        <v>5.8911999999999995</v>
      </c>
      <c r="D28">
        <f>SUM(D22:D27)</f>
        <v>133.86950000000002</v>
      </c>
      <c r="E28">
        <f>SUM(E22:E27)</f>
        <v>563.85013364928909</v>
      </c>
    </row>
    <row r="29" spans="1:5" x14ac:dyDescent="0.35">
      <c r="A29" t="s">
        <v>32</v>
      </c>
      <c r="B29">
        <f>B28+B21</f>
        <v>1572.2470345847892</v>
      </c>
      <c r="C29">
        <f>C28+C21</f>
        <v>16.011662736842105</v>
      </c>
      <c r="D29">
        <f>D28+D21</f>
        <v>219.07638756052634</v>
      </c>
      <c r="E29">
        <f>E28+E21</f>
        <v>1807.3350848821576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5647-888B-455B-AC8A-88D86D8A24C7}">
  <dimension ref="A1:E29"/>
  <sheetViews>
    <sheetView tabSelected="1" workbookViewId="0">
      <selection activeCell="G11" activeCellId="1" sqref="H6 G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>
        <v>2024</v>
      </c>
      <c r="D1" t="s">
        <v>33</v>
      </c>
      <c r="E1" t="s">
        <v>4</v>
      </c>
    </row>
    <row r="2" spans="1:5" x14ac:dyDescent="0.35">
      <c r="A2" t="s">
        <v>5</v>
      </c>
      <c r="B2">
        <v>95.188609999999997</v>
      </c>
      <c r="E2" s="1">
        <f t="shared" ref="E2:E20" si="0">SUM(B2:D2)</f>
        <v>95.188609999999997</v>
      </c>
    </row>
    <row r="3" spans="1:5" x14ac:dyDescent="0.35">
      <c r="A3" t="s">
        <v>6</v>
      </c>
      <c r="B3">
        <v>9.0013000000000005</v>
      </c>
      <c r="E3" s="1">
        <f t="shared" si="0"/>
        <v>9.0013000000000005</v>
      </c>
    </row>
    <row r="4" spans="1:5" x14ac:dyDescent="0.35">
      <c r="A4" t="s">
        <v>7</v>
      </c>
      <c r="B4">
        <v>5.8</v>
      </c>
      <c r="D4">
        <v>4.75</v>
      </c>
      <c r="E4" s="1">
        <f t="shared" si="0"/>
        <v>10.55</v>
      </c>
    </row>
    <row r="5" spans="1:5" x14ac:dyDescent="0.35">
      <c r="A5" t="s">
        <v>8</v>
      </c>
      <c r="B5">
        <v>5.2164000000000001</v>
      </c>
      <c r="C5">
        <v>0.28499999999999998</v>
      </c>
      <c r="E5" s="1">
        <f>SUM(B5:C5)</f>
        <v>5.5014000000000003</v>
      </c>
    </row>
    <row r="6" spans="1:5" x14ac:dyDescent="0.35">
      <c r="A6" t="s">
        <v>9</v>
      </c>
      <c r="B6">
        <v>43.13412000000001</v>
      </c>
      <c r="C6">
        <v>0.84286799999999995</v>
      </c>
      <c r="D6">
        <v>0.43223999999999996</v>
      </c>
      <c r="E6" s="1">
        <f t="shared" si="0"/>
        <v>44.409228000000013</v>
      </c>
    </row>
    <row r="7" spans="1:5" x14ac:dyDescent="0.35">
      <c r="A7" t="s">
        <v>10</v>
      </c>
      <c r="B7">
        <v>10.46</v>
      </c>
      <c r="E7" s="1">
        <f t="shared" si="0"/>
        <v>10.46</v>
      </c>
    </row>
    <row r="8" spans="1:5" x14ac:dyDescent="0.35">
      <c r="A8" t="s">
        <v>11</v>
      </c>
      <c r="B8">
        <v>132.30000000000001</v>
      </c>
      <c r="C8" s="1">
        <v>2.96</v>
      </c>
      <c r="D8" s="1">
        <v>1.1399999999999997</v>
      </c>
      <c r="E8" s="1">
        <f t="shared" si="0"/>
        <v>136.4</v>
      </c>
    </row>
    <row r="9" spans="1:5" x14ac:dyDescent="0.35">
      <c r="A9" t="s">
        <v>12</v>
      </c>
      <c r="B9">
        <v>260.52673903550004</v>
      </c>
      <c r="D9">
        <v>5.8974633499999998</v>
      </c>
      <c r="E9" s="1">
        <f t="shared" si="0"/>
        <v>266.42420238550005</v>
      </c>
    </row>
    <row r="10" spans="1:5" x14ac:dyDescent="0.35">
      <c r="A10" t="s">
        <v>13</v>
      </c>
      <c r="C10">
        <v>3.8605</v>
      </c>
      <c r="E10" s="1">
        <f>SUM(B10:C10)</f>
        <v>3.8605</v>
      </c>
    </row>
    <row r="11" spans="1:5" x14ac:dyDescent="0.35">
      <c r="A11" t="s">
        <v>14</v>
      </c>
      <c r="B11">
        <v>69.632901899999993</v>
      </c>
      <c r="E11" s="1">
        <f t="shared" si="0"/>
        <v>69.632901899999993</v>
      </c>
    </row>
    <row r="12" spans="1:5" x14ac:dyDescent="0.35">
      <c r="A12" t="s">
        <v>15</v>
      </c>
      <c r="B12">
        <v>195.36588</v>
      </c>
      <c r="C12" s="1">
        <v>4.1358315789473687</v>
      </c>
      <c r="D12" s="1">
        <v>45.19974736842105</v>
      </c>
      <c r="E12" s="1">
        <f t="shared" si="0"/>
        <v>244.70145894736842</v>
      </c>
    </row>
    <row r="13" spans="1:5" x14ac:dyDescent="0.35">
      <c r="A13" t="s">
        <v>16</v>
      </c>
      <c r="B13">
        <v>24.2</v>
      </c>
      <c r="E13" s="1">
        <f t="shared" si="0"/>
        <v>24.2</v>
      </c>
    </row>
    <row r="14" spans="1:5" x14ac:dyDescent="0.35">
      <c r="A14" t="s">
        <v>17</v>
      </c>
      <c r="B14">
        <v>144.55670000000001</v>
      </c>
      <c r="E14" s="1">
        <f t="shared" si="0"/>
        <v>144.55670000000001</v>
      </c>
    </row>
    <row r="15" spans="1:5" x14ac:dyDescent="0.35">
      <c r="A15" t="s">
        <v>18</v>
      </c>
      <c r="B15">
        <v>38.432400000000001</v>
      </c>
      <c r="D15">
        <v>9.69</v>
      </c>
      <c r="E15" s="1">
        <f t="shared" si="0"/>
        <v>48.122399999999999</v>
      </c>
    </row>
    <row r="16" spans="1:5" x14ac:dyDescent="0.35">
      <c r="A16" t="s">
        <v>19</v>
      </c>
      <c r="B16">
        <v>3.57</v>
      </c>
      <c r="C16">
        <v>0</v>
      </c>
      <c r="E16" s="1">
        <f t="shared" si="0"/>
        <v>3.57</v>
      </c>
    </row>
    <row r="17" spans="1:5" x14ac:dyDescent="0.35">
      <c r="A17" t="s">
        <v>20</v>
      </c>
      <c r="B17">
        <v>32.990550000000006</v>
      </c>
      <c r="C17" s="1">
        <v>10.428000000000003</v>
      </c>
      <c r="D17" s="1">
        <v>2.1</v>
      </c>
      <c r="E17" s="1">
        <f t="shared" si="0"/>
        <v>45.518550000000012</v>
      </c>
    </row>
    <row r="18" spans="1:5" x14ac:dyDescent="0.35">
      <c r="A18" t="s">
        <v>21</v>
      </c>
      <c r="B18">
        <v>43.447600000000001</v>
      </c>
      <c r="D18">
        <v>3.6057000000000001</v>
      </c>
      <c r="E18" s="1">
        <f t="shared" si="0"/>
        <v>47.0533</v>
      </c>
    </row>
    <row r="19" spans="1:5" x14ac:dyDescent="0.35">
      <c r="A19" t="s">
        <v>22</v>
      </c>
      <c r="B19">
        <v>34.247999999999998</v>
      </c>
      <c r="E19" s="1">
        <f t="shared" si="0"/>
        <v>34.247999999999998</v>
      </c>
    </row>
    <row r="20" spans="1:5" x14ac:dyDescent="0.35">
      <c r="A20" t="s">
        <v>23</v>
      </c>
      <c r="B20">
        <v>8.6400000000000005E-2</v>
      </c>
      <c r="E20" s="1">
        <f t="shared" si="0"/>
        <v>8.6400000000000005E-2</v>
      </c>
    </row>
    <row r="21" spans="1:5" x14ac:dyDescent="0.35">
      <c r="A21" t="s">
        <v>24</v>
      </c>
      <c r="B21" s="1">
        <f>SUM(B2:B20)</f>
        <v>1148.1576009355001</v>
      </c>
      <c r="C21" s="1">
        <f>SUM(C2:C20)</f>
        <v>22.512199578947374</v>
      </c>
      <c r="D21" s="1">
        <f>SUM(D2:D20)</f>
        <v>72.815150718421037</v>
      </c>
      <c r="E21" s="1">
        <f>SUM(B21:D21)</f>
        <v>1243.4849512328685</v>
      </c>
    </row>
    <row r="22" spans="1:5" x14ac:dyDescent="0.35">
      <c r="A22" t="s">
        <v>25</v>
      </c>
      <c r="B22" t="s">
        <v>34</v>
      </c>
    </row>
    <row r="23" spans="1:5" x14ac:dyDescent="0.35">
      <c r="A23" t="s">
        <v>26</v>
      </c>
      <c r="B23" t="s">
        <v>34</v>
      </c>
    </row>
    <row r="24" spans="1:5" x14ac:dyDescent="0.35">
      <c r="A24" t="s">
        <v>27</v>
      </c>
      <c r="B24">
        <v>4.5315000000000003</v>
      </c>
      <c r="E24">
        <v>4.5315000000000003</v>
      </c>
    </row>
    <row r="25" spans="1:5" x14ac:dyDescent="0.35">
      <c r="A25" t="s">
        <v>28</v>
      </c>
      <c r="B25">
        <v>35.023933649289106</v>
      </c>
      <c r="C25" s="1">
        <v>47.88000000000001</v>
      </c>
      <c r="D25" s="1">
        <v>50.650000000000006</v>
      </c>
      <c r="E25">
        <v>78.2639336492891</v>
      </c>
    </row>
    <row r="26" spans="1:5" x14ac:dyDescent="0.35">
      <c r="A26" t="s">
        <v>29</v>
      </c>
      <c r="B26">
        <v>327.92</v>
      </c>
      <c r="E26">
        <v>327.92</v>
      </c>
    </row>
    <row r="27" spans="1:5" x14ac:dyDescent="0.35">
      <c r="A27" t="s">
        <v>30</v>
      </c>
      <c r="B27">
        <v>17.469600000000003</v>
      </c>
      <c r="C27">
        <v>3.8</v>
      </c>
      <c r="D27">
        <v>31.915700000000001</v>
      </c>
      <c r="E27">
        <v>17.469600000000003</v>
      </c>
    </row>
    <row r="28" spans="1:5" x14ac:dyDescent="0.35">
      <c r="A28" t="s">
        <v>31</v>
      </c>
      <c r="B28">
        <f>SUM(B24:B27)</f>
        <v>384.94503364928914</v>
      </c>
      <c r="C28">
        <f>SUM(C24:C27)</f>
        <v>51.680000000000007</v>
      </c>
      <c r="D28">
        <f>SUM(D24:D27)</f>
        <v>82.565700000000007</v>
      </c>
      <c r="E28">
        <f>SUM(E24:E27)</f>
        <v>428.18503364928915</v>
      </c>
    </row>
    <row r="29" spans="1:5" x14ac:dyDescent="0.35">
      <c r="A29" t="s">
        <v>32</v>
      </c>
      <c r="B29" s="1">
        <f>B28+B21</f>
        <v>1533.1026345847893</v>
      </c>
      <c r="C29" s="1">
        <f>C28+C21</f>
        <v>74.192199578947381</v>
      </c>
      <c r="D29" s="1">
        <f>D28+D21</f>
        <v>155.38085071842104</v>
      </c>
      <c r="E29" s="1">
        <f>E28+E21</f>
        <v>1671.6699848821577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2FDD-47AA-4F24-952A-FF20B67C619C}">
  <dimension ref="A1:D29"/>
  <sheetViews>
    <sheetView workbookViewId="0">
      <selection activeCell="B21" sqref="B21:D2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>
        <v>2024</v>
      </c>
      <c r="D1" t="s">
        <v>33</v>
      </c>
    </row>
    <row r="2" spans="1:4" x14ac:dyDescent="0.35">
      <c r="A2" t="s">
        <v>5</v>
      </c>
      <c r="B2" s="1">
        <v>1059.3016</v>
      </c>
    </row>
    <row r="3" spans="1:4" x14ac:dyDescent="0.35">
      <c r="A3" t="s">
        <v>6</v>
      </c>
      <c r="B3">
        <v>40.299999999999997</v>
      </c>
    </row>
    <row r="4" spans="1:4" x14ac:dyDescent="0.35">
      <c r="A4" t="s">
        <v>7</v>
      </c>
      <c r="B4">
        <v>5.8</v>
      </c>
      <c r="D4">
        <v>44.1</v>
      </c>
    </row>
    <row r="5" spans="1:4" x14ac:dyDescent="0.35">
      <c r="A5" t="s">
        <v>8</v>
      </c>
      <c r="B5">
        <v>56.37</v>
      </c>
      <c r="C5">
        <v>27.36</v>
      </c>
    </row>
    <row r="6" spans="1:4" x14ac:dyDescent="0.35">
      <c r="A6" t="s">
        <v>9</v>
      </c>
      <c r="B6" s="1">
        <v>706.83200000000011</v>
      </c>
      <c r="D6" s="1">
        <v>107.20699999999999</v>
      </c>
    </row>
    <row r="7" spans="1:4" x14ac:dyDescent="0.35">
      <c r="A7" t="s">
        <v>10</v>
      </c>
      <c r="B7">
        <v>180.9</v>
      </c>
    </row>
    <row r="8" spans="1:4" x14ac:dyDescent="0.35">
      <c r="A8" t="s">
        <v>11</v>
      </c>
      <c r="B8" s="1">
        <v>2345.3000000000002</v>
      </c>
      <c r="C8" s="1">
        <v>155</v>
      </c>
      <c r="D8">
        <v>91.2</v>
      </c>
    </row>
    <row r="9" spans="1:4" x14ac:dyDescent="0.35">
      <c r="A9" t="s">
        <v>12</v>
      </c>
      <c r="B9" s="1">
        <f>SUM('[1]Storage DB '!$U$70:$U$137)-SUM('[1]Storage DB '!$U$70:$U$72)-'[1]Storage DB '!$U$82-'[1]Storage DB '!$U$93-'[1]Storage DB '!$U$132</f>
        <v>7613.9432720000004</v>
      </c>
      <c r="D9" s="1">
        <v>187.67999999999998</v>
      </c>
    </row>
    <row r="10" spans="1:4" x14ac:dyDescent="0.35">
      <c r="A10" t="s">
        <v>13</v>
      </c>
      <c r="C10">
        <v>44.12</v>
      </c>
    </row>
    <row r="11" spans="1:4" x14ac:dyDescent="0.35">
      <c r="A11" t="s">
        <v>14</v>
      </c>
      <c r="B11" s="1">
        <v>839.70999999999992</v>
      </c>
    </row>
    <row r="12" spans="1:4" x14ac:dyDescent="0.35">
      <c r="A12" t="s">
        <v>15</v>
      </c>
      <c r="B12" s="1">
        <v>2795.0879999999993</v>
      </c>
      <c r="C12" s="1">
        <f>'[1]Storage DB '!$U$162+'[1]Storage DB '!$U$157</f>
        <v>103.44365789473683</v>
      </c>
      <c r="D12" s="1">
        <v>285.30272763157899</v>
      </c>
    </row>
    <row r="13" spans="1:4" x14ac:dyDescent="0.35">
      <c r="A13" t="s">
        <v>16</v>
      </c>
      <c r="B13">
        <v>316</v>
      </c>
    </row>
    <row r="14" spans="1:4" x14ac:dyDescent="0.35">
      <c r="A14" t="s">
        <v>17</v>
      </c>
      <c r="B14" s="1">
        <v>2950.0230000000001</v>
      </c>
    </row>
    <row r="15" spans="1:4" x14ac:dyDescent="0.35">
      <c r="A15" t="s">
        <v>18</v>
      </c>
      <c r="B15" s="1">
        <v>627.03996755377307</v>
      </c>
      <c r="D15">
        <v>200</v>
      </c>
    </row>
    <row r="16" spans="1:4" x14ac:dyDescent="0.35">
      <c r="A16" t="s">
        <v>19</v>
      </c>
      <c r="B16">
        <v>71.400000000000006</v>
      </c>
    </row>
    <row r="17" spans="1:4" x14ac:dyDescent="0.35">
      <c r="A17" t="s">
        <v>20</v>
      </c>
      <c r="B17" s="1">
        <v>343.1</v>
      </c>
      <c r="C17" s="1">
        <v>69.170000000000016</v>
      </c>
      <c r="D17">
        <v>15.78</v>
      </c>
    </row>
    <row r="18" spans="1:4" x14ac:dyDescent="0.35">
      <c r="A18" t="s">
        <v>21</v>
      </c>
      <c r="B18" s="1">
        <v>491.55799999999999</v>
      </c>
      <c r="D18" s="1">
        <v>39.799999999999997</v>
      </c>
    </row>
    <row r="19" spans="1:4" x14ac:dyDescent="0.35">
      <c r="A19" t="s">
        <v>22</v>
      </c>
      <c r="B19">
        <v>200.48</v>
      </c>
    </row>
    <row r="20" spans="1:4" x14ac:dyDescent="0.35">
      <c r="A20" t="s">
        <v>23</v>
      </c>
      <c r="B20">
        <v>8.14</v>
      </c>
    </row>
    <row r="21" spans="1:4" x14ac:dyDescent="0.35">
      <c r="A21" t="s">
        <v>24</v>
      </c>
      <c r="B21" s="1">
        <f>SUM(B2:B20)</f>
        <v>20651.285839553773</v>
      </c>
      <c r="C21" s="1">
        <f>SUM(C2:C20)</f>
        <v>399.09365789473685</v>
      </c>
      <c r="D21" s="1">
        <f>SUM(D2:D20)</f>
        <v>971.06972763157887</v>
      </c>
    </row>
    <row r="22" spans="1:4" x14ac:dyDescent="0.35">
      <c r="A22" t="s">
        <v>25</v>
      </c>
      <c r="B22" s="1" t="s">
        <v>34</v>
      </c>
    </row>
    <row r="23" spans="1:4" x14ac:dyDescent="0.35">
      <c r="A23" t="s">
        <v>26</v>
      </c>
      <c r="B23" s="1" t="s">
        <v>34</v>
      </c>
    </row>
    <row r="24" spans="1:4" x14ac:dyDescent="0.35">
      <c r="A24" t="s">
        <v>27</v>
      </c>
      <c r="B24">
        <v>50.35</v>
      </c>
    </row>
    <row r="25" spans="1:4" x14ac:dyDescent="0.35">
      <c r="A25" t="s">
        <v>28</v>
      </c>
      <c r="B25">
        <v>182.4</v>
      </c>
      <c r="C25" s="1">
        <v>182.4</v>
      </c>
      <c r="D25">
        <v>182.4</v>
      </c>
    </row>
    <row r="26" spans="1:4" x14ac:dyDescent="0.35">
      <c r="A26" t="s">
        <v>29</v>
      </c>
      <c r="B26">
        <v>2755.76</v>
      </c>
    </row>
    <row r="27" spans="1:4" x14ac:dyDescent="0.35">
      <c r="A27" t="s">
        <v>30</v>
      </c>
      <c r="B27" s="1">
        <v>1186.453</v>
      </c>
      <c r="C27" s="1">
        <v>167.20000000000002</v>
      </c>
      <c r="D27" s="1">
        <v>731.48800000000006</v>
      </c>
    </row>
    <row r="28" spans="1:4" x14ac:dyDescent="0.35">
      <c r="A28" t="s">
        <v>31</v>
      </c>
      <c r="B28">
        <f>SUM(B24:B27)</f>
        <v>4174.9629999999997</v>
      </c>
      <c r="C28">
        <f>SUM(C24:C27)</f>
        <v>349.6</v>
      </c>
      <c r="D28">
        <f>SUM(D24:D27)</f>
        <v>913.88800000000003</v>
      </c>
    </row>
    <row r="29" spans="1:4" x14ac:dyDescent="0.35">
      <c r="A29" t="s">
        <v>32</v>
      </c>
      <c r="B29" s="1">
        <f>B28+B21</f>
        <v>24826.248839553773</v>
      </c>
      <c r="C29" s="1">
        <f>C28+C21</f>
        <v>748.69365789473682</v>
      </c>
      <c r="D29" s="1">
        <f>D28+D21</f>
        <v>1884.957727631579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CC98-939A-4372-B849-358AD743ECBA}">
  <dimension ref="A1:D29"/>
  <sheetViews>
    <sheetView workbookViewId="0">
      <selection activeCell="I30" sqref="I3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>
        <v>2024</v>
      </c>
      <c r="D1" t="s">
        <v>33</v>
      </c>
    </row>
    <row r="2" spans="1:4" x14ac:dyDescent="0.35">
      <c r="A2" t="s">
        <v>5</v>
      </c>
      <c r="B2" s="1">
        <f>'Withdrawal (GWh per day)'!B2/24</f>
        <v>44.137566666666665</v>
      </c>
      <c r="C2" s="1">
        <f>'Withdrawal (GWh per day)'!C2/24</f>
        <v>0</v>
      </c>
      <c r="D2" s="1">
        <f>'Withdrawal (GWh per day)'!D2/24</f>
        <v>0</v>
      </c>
    </row>
    <row r="3" spans="1:4" x14ac:dyDescent="0.35">
      <c r="A3" t="s">
        <v>6</v>
      </c>
      <c r="B3" s="1">
        <f>'Withdrawal (GWh per day)'!B3/24</f>
        <v>1.6791666666666665</v>
      </c>
      <c r="C3" s="1">
        <f>'Withdrawal (GWh per day)'!C3/24</f>
        <v>0</v>
      </c>
      <c r="D3" s="1">
        <f>'Withdrawal (GWh per day)'!D3/24</f>
        <v>0</v>
      </c>
    </row>
    <row r="4" spans="1:4" x14ac:dyDescent="0.35">
      <c r="A4" t="s">
        <v>7</v>
      </c>
      <c r="B4" s="1">
        <f>'Withdrawal (GWh per day)'!B4/24</f>
        <v>0.24166666666666667</v>
      </c>
      <c r="C4" s="1">
        <f>'Withdrawal (GWh per day)'!C4/24</f>
        <v>0</v>
      </c>
      <c r="D4" s="1">
        <f>'Withdrawal (GWh per day)'!D4/24</f>
        <v>1.8375000000000001</v>
      </c>
    </row>
    <row r="5" spans="1:4" x14ac:dyDescent="0.35">
      <c r="A5" t="s">
        <v>8</v>
      </c>
      <c r="B5" s="1">
        <f>'Withdrawal (GWh per day)'!B5/24</f>
        <v>2.3487499999999999</v>
      </c>
      <c r="C5" s="1">
        <f>'Withdrawal (GWh per day)'!C5/24</f>
        <v>1.1399999999999999</v>
      </c>
      <c r="D5" s="1">
        <f>'Withdrawal (GWh per day)'!D5/24</f>
        <v>0</v>
      </c>
    </row>
    <row r="6" spans="1:4" x14ac:dyDescent="0.35">
      <c r="A6" t="s">
        <v>9</v>
      </c>
      <c r="B6" s="1">
        <f>'Withdrawal (GWh per day)'!B6/24</f>
        <v>29.451333333333338</v>
      </c>
      <c r="C6" s="1">
        <f>'Withdrawal (GWh per day)'!C6/24</f>
        <v>0</v>
      </c>
      <c r="D6" s="1">
        <f>'Withdrawal (GWh per day)'!D6/24</f>
        <v>4.4669583333333334</v>
      </c>
    </row>
    <row r="7" spans="1:4" x14ac:dyDescent="0.35">
      <c r="A7" t="s">
        <v>10</v>
      </c>
      <c r="B7" s="1">
        <f>'Withdrawal (GWh per day)'!B7/24</f>
        <v>7.5375000000000005</v>
      </c>
      <c r="C7" s="1">
        <f>'Withdrawal (GWh per day)'!C7/24</f>
        <v>0</v>
      </c>
      <c r="D7" s="1">
        <f>'Withdrawal (GWh per day)'!D7/24</f>
        <v>0</v>
      </c>
    </row>
    <row r="8" spans="1:4" x14ac:dyDescent="0.35">
      <c r="A8" t="s">
        <v>11</v>
      </c>
      <c r="B8" s="1">
        <f>'Withdrawal (GWh per day)'!B8/24</f>
        <v>97.720833333333346</v>
      </c>
      <c r="C8" s="1">
        <f>'Withdrawal (GWh per day)'!C8/24</f>
        <v>6.458333333333333</v>
      </c>
      <c r="D8" s="1">
        <f>'Withdrawal (GWh per day)'!D8/24</f>
        <v>3.8000000000000003</v>
      </c>
    </row>
    <row r="9" spans="1:4" x14ac:dyDescent="0.35">
      <c r="A9" t="s">
        <v>12</v>
      </c>
      <c r="B9" s="1">
        <f>'Withdrawal (GWh per day)'!B9/24</f>
        <v>317.24763633333333</v>
      </c>
      <c r="C9" s="1">
        <f>'Withdrawal (GWh per day)'!C9/24</f>
        <v>0</v>
      </c>
      <c r="D9" s="1">
        <f>'Withdrawal (GWh per day)'!D9/24</f>
        <v>7.8199999999999994</v>
      </c>
    </row>
    <row r="10" spans="1:4" x14ac:dyDescent="0.35">
      <c r="A10" t="s">
        <v>13</v>
      </c>
      <c r="B10" s="1">
        <f>'Withdrawal (GWh per day)'!B10/24</f>
        <v>0</v>
      </c>
      <c r="C10" s="1">
        <f>'Withdrawal (GWh per day)'!C10/24</f>
        <v>1.8383333333333332</v>
      </c>
      <c r="D10" s="1">
        <f>'Withdrawal (GWh per day)'!D10/24</f>
        <v>0</v>
      </c>
    </row>
    <row r="11" spans="1:4" x14ac:dyDescent="0.35">
      <c r="A11" t="s">
        <v>14</v>
      </c>
      <c r="B11" s="1">
        <f>'Withdrawal (GWh per day)'!B11/24</f>
        <v>34.987916666666663</v>
      </c>
      <c r="C11" s="1">
        <f>'Withdrawal (GWh per day)'!C11/24</f>
        <v>0</v>
      </c>
      <c r="D11" s="1">
        <f>'Withdrawal (GWh per day)'!D11/24</f>
        <v>0</v>
      </c>
    </row>
    <row r="12" spans="1:4" x14ac:dyDescent="0.35">
      <c r="A12" t="s">
        <v>15</v>
      </c>
      <c r="B12" s="1">
        <f>'Withdrawal (GWh per day)'!B12/24</f>
        <v>116.46199999999997</v>
      </c>
      <c r="C12" s="1">
        <f>'Withdrawal (GWh per day)'!C12/24</f>
        <v>4.3101524122807016</v>
      </c>
      <c r="D12" s="1">
        <f>'Withdrawal (GWh per day)'!D12/24</f>
        <v>11.887613651315791</v>
      </c>
    </row>
    <row r="13" spans="1:4" x14ac:dyDescent="0.35">
      <c r="A13" t="s">
        <v>16</v>
      </c>
      <c r="B13" s="1">
        <f>'Withdrawal (GWh per day)'!B13/24</f>
        <v>13.166666666666666</v>
      </c>
      <c r="C13" s="1">
        <f>'Withdrawal (GWh per day)'!C13/24</f>
        <v>0</v>
      </c>
      <c r="D13" s="1">
        <f>'Withdrawal (GWh per day)'!D13/24</f>
        <v>0</v>
      </c>
    </row>
    <row r="14" spans="1:4" x14ac:dyDescent="0.35">
      <c r="A14" t="s">
        <v>17</v>
      </c>
      <c r="B14" s="1">
        <f>'Withdrawal (GWh per day)'!B14/24</f>
        <v>122.917625</v>
      </c>
      <c r="C14" s="1">
        <f>'Withdrawal (GWh per day)'!C14/24</f>
        <v>0</v>
      </c>
      <c r="D14" s="1">
        <f>'Withdrawal (GWh per day)'!D14/24</f>
        <v>0</v>
      </c>
    </row>
    <row r="15" spans="1:4" x14ac:dyDescent="0.35">
      <c r="A15" t="s">
        <v>18</v>
      </c>
      <c r="B15" s="1">
        <f>'Withdrawal (GWh per day)'!B15/24</f>
        <v>26.126665314740546</v>
      </c>
      <c r="C15" s="1">
        <f>'Withdrawal (GWh per day)'!C15/24</f>
        <v>0</v>
      </c>
      <c r="D15" s="1">
        <f>'Withdrawal (GWh per day)'!D15/24</f>
        <v>8.3333333333333339</v>
      </c>
    </row>
    <row r="16" spans="1:4" x14ac:dyDescent="0.35">
      <c r="A16" t="s">
        <v>19</v>
      </c>
      <c r="B16" s="1">
        <f>'Withdrawal (GWh per day)'!B16/24</f>
        <v>2.9750000000000001</v>
      </c>
      <c r="C16" s="1">
        <f>'Withdrawal (GWh per day)'!C16/24</f>
        <v>0</v>
      </c>
      <c r="D16" s="1">
        <f>'Withdrawal (GWh per day)'!D16/24</f>
        <v>0</v>
      </c>
    </row>
    <row r="17" spans="1:4" x14ac:dyDescent="0.35">
      <c r="A17" t="s">
        <v>20</v>
      </c>
      <c r="B17" s="1">
        <f>'Withdrawal (GWh per day)'!B17/24</f>
        <v>14.295833333333334</v>
      </c>
      <c r="C17" s="1">
        <f>'Withdrawal (GWh per day)'!C17/24</f>
        <v>2.882083333333334</v>
      </c>
      <c r="D17" s="1">
        <f>'Withdrawal (GWh per day)'!D17/24</f>
        <v>0.65749999999999997</v>
      </c>
    </row>
    <row r="18" spans="1:4" x14ac:dyDescent="0.35">
      <c r="A18" t="s">
        <v>21</v>
      </c>
      <c r="B18" s="1">
        <f>'Withdrawal (GWh per day)'!B18/24</f>
        <v>20.481583333333333</v>
      </c>
      <c r="C18" s="1">
        <f>'Withdrawal (GWh per day)'!C18/24</f>
        <v>0</v>
      </c>
      <c r="D18" s="1">
        <f>'Withdrawal (GWh per day)'!D18/24</f>
        <v>1.6583333333333332</v>
      </c>
    </row>
    <row r="19" spans="1:4" x14ac:dyDescent="0.35">
      <c r="A19" t="s">
        <v>22</v>
      </c>
      <c r="B19" s="1">
        <f>'Withdrawal (GWh per day)'!B19/24</f>
        <v>8.3533333333333335</v>
      </c>
      <c r="C19" s="1">
        <f>'Withdrawal (GWh per day)'!C19/24</f>
        <v>0</v>
      </c>
      <c r="D19" s="1">
        <f>'Withdrawal (GWh per day)'!D19/24</f>
        <v>0</v>
      </c>
    </row>
    <row r="20" spans="1:4" x14ac:dyDescent="0.35">
      <c r="A20" t="s">
        <v>23</v>
      </c>
      <c r="B20" s="1">
        <f>'Withdrawal (GWh per day)'!B20/24</f>
        <v>0.33916666666666667</v>
      </c>
      <c r="C20" s="1">
        <f>'Withdrawal (GWh per day)'!C20/24</f>
        <v>0</v>
      </c>
      <c r="D20" s="1">
        <f>'Withdrawal (GWh per day)'!D20/24</f>
        <v>0</v>
      </c>
    </row>
    <row r="21" spans="1:4" x14ac:dyDescent="0.35">
      <c r="A21" t="s">
        <v>24</v>
      </c>
      <c r="B21" s="1">
        <f>'Withdrawal (GWh per day)'!B21/24</f>
        <v>860.47024331474051</v>
      </c>
      <c r="C21" s="1">
        <f>'Withdrawal (GWh per day)'!C21/24</f>
        <v>16.628902412280702</v>
      </c>
      <c r="D21" s="1">
        <f>'Withdrawal (GWh per day)'!D21/24</f>
        <v>40.461238651315789</v>
      </c>
    </row>
    <row r="22" spans="1:4" x14ac:dyDescent="0.35">
      <c r="A22" t="s">
        <v>25</v>
      </c>
      <c r="B22" s="1" t="s">
        <v>34</v>
      </c>
    </row>
    <row r="23" spans="1:4" x14ac:dyDescent="0.35">
      <c r="A23" t="s">
        <v>26</v>
      </c>
      <c r="B23" s="1" t="s">
        <v>34</v>
      </c>
    </row>
    <row r="24" spans="1:4" x14ac:dyDescent="0.35">
      <c r="A24" t="s">
        <v>27</v>
      </c>
      <c r="B24" s="1">
        <f>'Withdrawal (GWh per day)'!B24/24</f>
        <v>2.0979166666666669</v>
      </c>
      <c r="C24" s="1">
        <f>'Withdrawal (GWh per day)'!C24/24</f>
        <v>0</v>
      </c>
      <c r="D24" s="1">
        <f>'Withdrawal (GWh per day)'!D24/24</f>
        <v>0</v>
      </c>
    </row>
    <row r="25" spans="1:4" x14ac:dyDescent="0.35">
      <c r="A25" t="s">
        <v>28</v>
      </c>
      <c r="B25" s="1">
        <f>'Withdrawal (GWh per day)'!B25/24</f>
        <v>7.6000000000000005</v>
      </c>
      <c r="C25" s="1">
        <f>'Withdrawal (GWh per day)'!C25/24</f>
        <v>7.6000000000000005</v>
      </c>
      <c r="D25" s="1">
        <f>'Withdrawal (GWh per day)'!D25/24</f>
        <v>7.6000000000000005</v>
      </c>
    </row>
    <row r="26" spans="1:4" x14ac:dyDescent="0.35">
      <c r="A26" t="s">
        <v>29</v>
      </c>
      <c r="B26" s="1">
        <f>'Withdrawal (GWh per day)'!B26/24</f>
        <v>114.82333333333334</v>
      </c>
      <c r="C26" s="1">
        <f>'Withdrawal (GWh per day)'!C26/24</f>
        <v>0</v>
      </c>
      <c r="D26" s="1">
        <f>'Withdrawal (GWh per day)'!D26/24</f>
        <v>0</v>
      </c>
    </row>
    <row r="27" spans="1:4" x14ac:dyDescent="0.35">
      <c r="A27" t="s">
        <v>30</v>
      </c>
      <c r="B27" s="1">
        <f>'Withdrawal (GWh per day)'!B27/24</f>
        <v>49.435541666666666</v>
      </c>
      <c r="C27" s="1">
        <f>'Withdrawal (GWh per day)'!C27/24</f>
        <v>6.9666666666666677</v>
      </c>
      <c r="D27" s="1">
        <f>'Withdrawal (GWh per day)'!D27/24</f>
        <v>30.478666666666669</v>
      </c>
    </row>
    <row r="28" spans="1:4" x14ac:dyDescent="0.35">
      <c r="A28" t="s">
        <v>31</v>
      </c>
      <c r="B28" s="1">
        <f>'Withdrawal (GWh per day)'!B28/24</f>
        <v>173.95679166666665</v>
      </c>
      <c r="C28" s="1">
        <f>'Withdrawal (GWh per day)'!C28/24</f>
        <v>14.566666666666668</v>
      </c>
      <c r="D28" s="1">
        <f>'Withdrawal (GWh per day)'!D28/24</f>
        <v>38.07866666666667</v>
      </c>
    </row>
    <row r="29" spans="1:4" x14ac:dyDescent="0.35">
      <c r="A29" t="s">
        <v>32</v>
      </c>
      <c r="B29" s="1">
        <f>'Withdrawal (GWh per day)'!B29/24</f>
        <v>1034.4270349814071</v>
      </c>
      <c r="C29" s="1">
        <f>'Withdrawal (GWh per day)'!C29/24</f>
        <v>31.195569078947369</v>
      </c>
      <c r="D29" s="1">
        <f>'Withdrawal (GWh per day)'!D29/24</f>
        <v>78.539905317982459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98B0-22D3-45D8-A325-9B21A8AC952D}">
  <dimension ref="A1"/>
  <sheetViews>
    <sheetView workbookViewId="0"/>
  </sheetViews>
  <sheetFormatPr defaultRowHeight="14.5" x14ac:dyDescent="0.35"/>
  <sheetData>
    <row r="1" spans="1:1" x14ac:dyDescent="0.35">
      <c r="A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Working gas (TWh) per operation</vt:lpstr>
      <vt:lpstr>Working gas (TWh) per year</vt:lpstr>
      <vt:lpstr>Withdrawal (GWh per day)</vt:lpstr>
      <vt:lpstr>Withdrawal (GWh per hour)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2025-01-06T14:30:25Z</dcterms:created>
  <dcterms:modified xsi:type="dcterms:W3CDTF">2025-01-06T15:19:21Z</dcterms:modified>
</cp:coreProperties>
</file>