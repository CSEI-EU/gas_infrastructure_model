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studentcbs-my.sharepoint.com/personal/flv_eco_cbs_dk/Documents/Documents/03_LNG_Cap/hydrogen_grid/02_plots/Flow_Results/"/>
    </mc:Choice>
  </mc:AlternateContent>
  <xr:revisionPtr revIDLastSave="30" documentId="11_2B59D2BFD310D60997783B1159A0E0F35611D0F7" xr6:coauthVersionLast="47" xr6:coauthVersionMax="47" xr10:uidLastSave="{03C9D19E-CCCD-45AD-A2E6-21BAAFFE46BF}"/>
  <bookViews>
    <workbookView xWindow="-110" yWindow="-110" windowWidth="19420" windowHeight="11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1" l="1"/>
  <c r="N2" i="1"/>
  <c r="M2" i="1"/>
  <c r="N20" i="1"/>
  <c r="N1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M1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L20" i="1"/>
  <c r="L19" i="1"/>
  <c r="K19" i="1"/>
  <c r="C19" i="1"/>
</calcChain>
</file>

<file path=xl/sharedStrings.xml><?xml version="1.0" encoding="utf-8"?>
<sst xmlns="http://schemas.openxmlformats.org/spreadsheetml/2006/main" count="118" uniqueCount="53">
  <si>
    <t>Commodity</t>
  </si>
  <si>
    <t>Edge</t>
  </si>
  <si>
    <t>Flow</t>
  </si>
  <si>
    <t>New Capacity</t>
  </si>
  <si>
    <t>Switched</t>
  </si>
  <si>
    <t>Changed Capacity</t>
  </si>
  <si>
    <t>From</t>
  </si>
  <si>
    <t>To</t>
  </si>
  <si>
    <t>FromType</t>
  </si>
  <si>
    <t>ToType</t>
  </si>
  <si>
    <t>Capacity_tot</t>
  </si>
  <si>
    <t>Share</t>
  </si>
  <si>
    <t>Methane</t>
  </si>
  <si>
    <t>'EL_LNG_imp', 'EL'</t>
  </si>
  <si>
    <t>EL</t>
  </si>
  <si>
    <t>LNG_import</t>
  </si>
  <si>
    <t>-</t>
  </si>
  <si>
    <t>'PL_LNG_imp', 'PL'</t>
  </si>
  <si>
    <t>PL</t>
  </si>
  <si>
    <t>'UK_LNG_imp', 'UK'</t>
  </si>
  <si>
    <t>UK</t>
  </si>
  <si>
    <t>'LV_LNG_imp', 'LV'</t>
  </si>
  <si>
    <t>LV</t>
  </si>
  <si>
    <t>'HR_LNG_imp', 'HR'</t>
  </si>
  <si>
    <t>HR</t>
  </si>
  <si>
    <t>'NL_LNG_imp', 'NL'</t>
  </si>
  <si>
    <t>NL</t>
  </si>
  <si>
    <t>'IT_LNG_imp', 'IT'</t>
  </si>
  <si>
    <t>IT</t>
  </si>
  <si>
    <t>'FI_LNG_imp', 'FI'</t>
  </si>
  <si>
    <t>FI</t>
  </si>
  <si>
    <t>'PT_LNG_imp', 'PT'</t>
  </si>
  <si>
    <t>PT</t>
  </si>
  <si>
    <t>'ES_LNG_imp', 'ES'</t>
  </si>
  <si>
    <t>ES</t>
  </si>
  <si>
    <t>'EE_LNG_imp', 'EE'</t>
  </si>
  <si>
    <t>EE</t>
  </si>
  <si>
    <t>'BE_LNG_imp', 'BE'</t>
  </si>
  <si>
    <t>BE</t>
  </si>
  <si>
    <t>'LT_LNG_imp', 'LT'</t>
  </si>
  <si>
    <t>LT</t>
  </si>
  <si>
    <t>'IE_LNG_imp', 'IE'</t>
  </si>
  <si>
    <t>IE</t>
  </si>
  <si>
    <t>'FR_LNG_imp', 'FR'</t>
  </si>
  <si>
    <t>FR</t>
  </si>
  <si>
    <t>'DE_LNG_imp', 'DE'</t>
  </si>
  <si>
    <t>DE</t>
  </si>
  <si>
    <t>'TR_LNG_imp', 'TR'</t>
  </si>
  <si>
    <t>TR</t>
  </si>
  <si>
    <t>total</t>
  </si>
  <si>
    <t>Average</t>
  </si>
  <si>
    <t>Weight</t>
  </si>
  <si>
    <t>weight*share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</si>
</sst>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selection activeCell="N25" sqref="N25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51</v>
      </c>
      <c r="N1" s="2" t="s">
        <v>52</v>
      </c>
    </row>
    <row r="2" spans="1:14" x14ac:dyDescent="0.35">
      <c r="A2" t="s">
        <v>12</v>
      </c>
      <c r="B2" t="s">
        <v>13</v>
      </c>
      <c r="C2">
        <v>122125</v>
      </c>
      <c r="D2">
        <v>0</v>
      </c>
      <c r="E2">
        <v>1</v>
      </c>
      <c r="F2">
        <v>122125</v>
      </c>
      <c r="G2" t="s">
        <v>14</v>
      </c>
      <c r="H2" t="s">
        <v>14</v>
      </c>
      <c r="I2" t="s">
        <v>15</v>
      </c>
      <c r="J2" t="s">
        <v>16</v>
      </c>
      <c r="K2">
        <v>122125</v>
      </c>
      <c r="L2">
        <v>1</v>
      </c>
      <c r="M2">
        <f>K2/$K$19</f>
        <v>3.7766632424919934E-2</v>
      </c>
      <c r="N2">
        <f>L2*M2</f>
        <v>3.7766632424919934E-2</v>
      </c>
    </row>
    <row r="3" spans="1:14" x14ac:dyDescent="0.35">
      <c r="A3" t="s">
        <v>12</v>
      </c>
      <c r="B3" t="s">
        <v>17</v>
      </c>
      <c r="C3">
        <v>81091</v>
      </c>
      <c r="D3">
        <v>0</v>
      </c>
      <c r="E3">
        <v>1</v>
      </c>
      <c r="F3">
        <v>81091</v>
      </c>
      <c r="G3" t="s">
        <v>18</v>
      </c>
      <c r="H3" t="s">
        <v>18</v>
      </c>
      <c r="I3" t="s">
        <v>15</v>
      </c>
      <c r="J3" t="s">
        <v>16</v>
      </c>
      <c r="K3">
        <v>81091</v>
      </c>
      <c r="L3">
        <v>1</v>
      </c>
      <c r="M3">
        <f t="shared" ref="M3:M18" si="0">K3/$K$19</f>
        <v>2.5077043930146835E-2</v>
      </c>
      <c r="N3">
        <f t="shared" ref="N3:N18" si="1">L3*M3</f>
        <v>2.5077043930146835E-2</v>
      </c>
    </row>
    <row r="4" spans="1:14" x14ac:dyDescent="0.35">
      <c r="A4" t="s">
        <v>12</v>
      </c>
      <c r="B4" t="s">
        <v>19</v>
      </c>
      <c r="C4">
        <v>64269.875804272247</v>
      </c>
      <c r="D4">
        <v>0</v>
      </c>
      <c r="E4">
        <v>1</v>
      </c>
      <c r="F4">
        <v>469937</v>
      </c>
      <c r="G4" t="s">
        <v>20</v>
      </c>
      <c r="H4" t="s">
        <v>20</v>
      </c>
      <c r="I4" t="s">
        <v>15</v>
      </c>
      <c r="J4" t="s">
        <v>16</v>
      </c>
      <c r="K4">
        <v>469937</v>
      </c>
      <c r="L4">
        <v>0.1367627486328428</v>
      </c>
      <c r="M4">
        <f t="shared" si="0"/>
        <v>0.14532600157109191</v>
      </c>
      <c r="N4">
        <f t="shared" si="1"/>
        <v>1.9875183422683358E-2</v>
      </c>
    </row>
    <row r="5" spans="1:14" x14ac:dyDescent="0.35">
      <c r="A5" t="s">
        <v>12</v>
      </c>
      <c r="B5" t="s">
        <v>21</v>
      </c>
      <c r="C5">
        <v>11108.459480847619</v>
      </c>
      <c r="D5">
        <v>0</v>
      </c>
      <c r="E5">
        <v>1</v>
      </c>
      <c r="F5">
        <v>14655</v>
      </c>
      <c r="G5" t="s">
        <v>22</v>
      </c>
      <c r="H5" t="s">
        <v>22</v>
      </c>
      <c r="I5" t="s">
        <v>15</v>
      </c>
      <c r="J5" t="s">
        <v>16</v>
      </c>
      <c r="K5">
        <v>14655</v>
      </c>
      <c r="L5">
        <v>0.75799791749216106</v>
      </c>
      <c r="M5">
        <f t="shared" si="0"/>
        <v>4.5319958909903922E-3</v>
      </c>
      <c r="N5">
        <f t="shared" si="1"/>
        <v>3.4352434474537482E-3</v>
      </c>
    </row>
    <row r="6" spans="1:14" x14ac:dyDescent="0.35">
      <c r="A6" t="s">
        <v>12</v>
      </c>
      <c r="B6" t="s">
        <v>23</v>
      </c>
      <c r="C6">
        <v>25402</v>
      </c>
      <c r="D6">
        <v>0</v>
      </c>
      <c r="E6">
        <v>1</v>
      </c>
      <c r="F6">
        <v>25402</v>
      </c>
      <c r="G6" t="s">
        <v>24</v>
      </c>
      <c r="H6" t="s">
        <v>24</v>
      </c>
      <c r="I6" t="s">
        <v>15</v>
      </c>
      <c r="J6" t="s">
        <v>16</v>
      </c>
      <c r="K6">
        <v>25402</v>
      </c>
      <c r="L6">
        <v>1</v>
      </c>
      <c r="M6">
        <f t="shared" si="0"/>
        <v>7.8554595443833461E-3</v>
      </c>
      <c r="N6">
        <f t="shared" si="1"/>
        <v>7.8554595443833461E-3</v>
      </c>
    </row>
    <row r="7" spans="1:14" x14ac:dyDescent="0.35">
      <c r="A7" t="s">
        <v>12</v>
      </c>
      <c r="B7" t="s">
        <v>25</v>
      </c>
      <c r="C7">
        <v>0</v>
      </c>
      <c r="D7">
        <v>0</v>
      </c>
      <c r="E7">
        <v>1</v>
      </c>
      <c r="F7">
        <v>234480</v>
      </c>
      <c r="G7" t="s">
        <v>26</v>
      </c>
      <c r="H7" t="s">
        <v>26</v>
      </c>
      <c r="I7" t="s">
        <v>15</v>
      </c>
      <c r="J7" t="s">
        <v>16</v>
      </c>
      <c r="K7">
        <v>234480</v>
      </c>
      <c r="L7">
        <v>0</v>
      </c>
      <c r="M7">
        <f t="shared" si="0"/>
        <v>7.2511934255846275E-2</v>
      </c>
      <c r="N7">
        <f t="shared" si="1"/>
        <v>0</v>
      </c>
    </row>
    <row r="8" spans="1:14" x14ac:dyDescent="0.35">
      <c r="A8" t="s">
        <v>12</v>
      </c>
      <c r="B8" t="s">
        <v>27</v>
      </c>
      <c r="C8">
        <v>235871.54643132599</v>
      </c>
      <c r="D8">
        <v>0</v>
      </c>
      <c r="E8">
        <v>1</v>
      </c>
      <c r="F8">
        <v>253531.5</v>
      </c>
      <c r="G8" t="s">
        <v>28</v>
      </c>
      <c r="H8" t="s">
        <v>28</v>
      </c>
      <c r="I8" t="s">
        <v>15</v>
      </c>
      <c r="J8" t="s">
        <v>16</v>
      </c>
      <c r="K8">
        <v>253531.5</v>
      </c>
      <c r="L8">
        <v>0.93034414434232426</v>
      </c>
      <c r="M8">
        <f t="shared" si="0"/>
        <v>7.8403528914133783E-2</v>
      </c>
      <c r="N8">
        <f t="shared" si="1"/>
        <v>7.2942264021038469E-2</v>
      </c>
    </row>
    <row r="9" spans="1:14" x14ac:dyDescent="0.35">
      <c r="A9" t="s">
        <v>12</v>
      </c>
      <c r="B9" t="s">
        <v>29</v>
      </c>
      <c r="C9">
        <v>11669.450833333331</v>
      </c>
      <c r="D9">
        <v>0</v>
      </c>
      <c r="E9">
        <v>1</v>
      </c>
      <c r="F9">
        <v>43965</v>
      </c>
      <c r="G9" t="s">
        <v>30</v>
      </c>
      <c r="H9" t="s">
        <v>30</v>
      </c>
      <c r="I9" t="s">
        <v>15</v>
      </c>
      <c r="J9" t="s">
        <v>16</v>
      </c>
      <c r="K9">
        <v>43965</v>
      </c>
      <c r="L9">
        <v>0.26542592592592579</v>
      </c>
      <c r="M9">
        <f t="shared" si="0"/>
        <v>1.3595987672971176E-2</v>
      </c>
      <c r="N9">
        <f t="shared" si="1"/>
        <v>3.6087276169758475E-3</v>
      </c>
    </row>
    <row r="10" spans="1:14" x14ac:dyDescent="0.35">
      <c r="A10" t="s">
        <v>12</v>
      </c>
      <c r="B10" t="s">
        <v>31</v>
      </c>
      <c r="C10">
        <v>43774.399641264652</v>
      </c>
      <c r="D10">
        <v>0</v>
      </c>
      <c r="E10">
        <v>1</v>
      </c>
      <c r="F10">
        <v>74252</v>
      </c>
      <c r="G10" t="s">
        <v>32</v>
      </c>
      <c r="H10" t="s">
        <v>32</v>
      </c>
      <c r="I10" t="s">
        <v>15</v>
      </c>
      <c r="J10" t="s">
        <v>16</v>
      </c>
      <c r="K10">
        <v>74252</v>
      </c>
      <c r="L10">
        <v>0.58953832410257845</v>
      </c>
      <c r="M10">
        <f t="shared" si="0"/>
        <v>2.2962112514351318E-2</v>
      </c>
      <c r="N10">
        <f t="shared" si="1"/>
        <v>1.353704532956552E-2</v>
      </c>
    </row>
    <row r="11" spans="1:14" x14ac:dyDescent="0.35">
      <c r="A11" t="s">
        <v>12</v>
      </c>
      <c r="B11" t="s">
        <v>33</v>
      </c>
      <c r="C11">
        <v>162993.22167908089</v>
      </c>
      <c r="D11">
        <v>0</v>
      </c>
      <c r="E11">
        <v>1</v>
      </c>
      <c r="F11">
        <v>655567</v>
      </c>
      <c r="G11" t="s">
        <v>34</v>
      </c>
      <c r="H11" t="s">
        <v>34</v>
      </c>
      <c r="I11" t="s">
        <v>15</v>
      </c>
      <c r="J11" t="s">
        <v>16</v>
      </c>
      <c r="K11">
        <v>655567</v>
      </c>
      <c r="L11">
        <v>0.2486293875059008</v>
      </c>
      <c r="M11">
        <f t="shared" si="0"/>
        <v>0.2027312828569702</v>
      </c>
      <c r="N11">
        <f t="shared" si="1"/>
        <v>5.0404954685014026E-2</v>
      </c>
    </row>
    <row r="12" spans="1:14" x14ac:dyDescent="0.35">
      <c r="A12" t="s">
        <v>12</v>
      </c>
      <c r="B12" t="s">
        <v>35</v>
      </c>
      <c r="C12">
        <v>0</v>
      </c>
      <c r="D12">
        <v>0</v>
      </c>
      <c r="E12">
        <v>1</v>
      </c>
      <c r="F12">
        <v>0</v>
      </c>
      <c r="G12" t="s">
        <v>36</v>
      </c>
      <c r="H12" t="s">
        <v>36</v>
      </c>
      <c r="I12" t="s">
        <v>15</v>
      </c>
      <c r="J12" t="s">
        <v>16</v>
      </c>
      <c r="K12">
        <v>0</v>
      </c>
      <c r="L12">
        <v>0</v>
      </c>
      <c r="M12">
        <f t="shared" si="0"/>
        <v>0</v>
      </c>
      <c r="N12">
        <f t="shared" si="1"/>
        <v>0</v>
      </c>
    </row>
    <row r="13" spans="1:14" x14ac:dyDescent="0.35">
      <c r="A13" t="s">
        <v>12</v>
      </c>
      <c r="B13" t="s">
        <v>37</v>
      </c>
      <c r="C13">
        <v>139365.0872146152</v>
      </c>
      <c r="D13">
        <v>0</v>
      </c>
      <c r="E13">
        <v>1</v>
      </c>
      <c r="F13">
        <v>149481</v>
      </c>
      <c r="G13" t="s">
        <v>38</v>
      </c>
      <c r="H13" t="s">
        <v>38</v>
      </c>
      <c r="I13" t="s">
        <v>15</v>
      </c>
      <c r="J13" t="s">
        <v>16</v>
      </c>
      <c r="K13">
        <v>149481</v>
      </c>
      <c r="L13">
        <v>0.93232643088161837</v>
      </c>
      <c r="M13">
        <f t="shared" si="0"/>
        <v>4.6226358088102E-2</v>
      </c>
      <c r="N13">
        <f t="shared" si="1"/>
        <v>4.3098055448935767E-2</v>
      </c>
    </row>
    <row r="14" spans="1:14" x14ac:dyDescent="0.35">
      <c r="A14" t="s">
        <v>12</v>
      </c>
      <c r="B14" t="s">
        <v>39</v>
      </c>
      <c r="C14">
        <v>36488.548558144939</v>
      </c>
      <c r="D14">
        <v>0</v>
      </c>
      <c r="E14">
        <v>1</v>
      </c>
      <c r="F14">
        <v>39080</v>
      </c>
      <c r="G14" t="s">
        <v>40</v>
      </c>
      <c r="H14" t="s">
        <v>40</v>
      </c>
      <c r="I14" t="s">
        <v>15</v>
      </c>
      <c r="J14" t="s">
        <v>16</v>
      </c>
      <c r="K14">
        <v>39080</v>
      </c>
      <c r="L14">
        <v>0.93368855061783362</v>
      </c>
      <c r="M14">
        <f t="shared" si="0"/>
        <v>1.2085322375974379E-2</v>
      </c>
      <c r="N14">
        <f t="shared" si="1"/>
        <v>1.1283927132972792E-2</v>
      </c>
    </row>
    <row r="15" spans="1:14" x14ac:dyDescent="0.35">
      <c r="A15" t="s">
        <v>12</v>
      </c>
      <c r="B15" t="s">
        <v>41</v>
      </c>
      <c r="C15">
        <v>0</v>
      </c>
      <c r="D15">
        <v>0</v>
      </c>
      <c r="E15">
        <v>1</v>
      </c>
      <c r="F15">
        <v>0</v>
      </c>
      <c r="G15" t="s">
        <v>42</v>
      </c>
      <c r="H15" t="s">
        <v>42</v>
      </c>
      <c r="I15" t="s">
        <v>15</v>
      </c>
      <c r="J15" t="s">
        <v>16</v>
      </c>
      <c r="K15">
        <v>0</v>
      </c>
      <c r="L15">
        <v>0</v>
      </c>
      <c r="M15">
        <f t="shared" si="0"/>
        <v>0</v>
      </c>
      <c r="N15">
        <f t="shared" si="1"/>
        <v>0</v>
      </c>
    </row>
    <row r="16" spans="1:14" x14ac:dyDescent="0.35">
      <c r="A16" t="s">
        <v>12</v>
      </c>
      <c r="B16" t="s">
        <v>43</v>
      </c>
      <c r="C16">
        <v>357542.03265889653</v>
      </c>
      <c r="D16">
        <v>0</v>
      </c>
      <c r="E16">
        <v>1</v>
      </c>
      <c r="F16">
        <v>385915</v>
      </c>
      <c r="G16" t="s">
        <v>44</v>
      </c>
      <c r="H16" t="s">
        <v>44</v>
      </c>
      <c r="I16" t="s">
        <v>15</v>
      </c>
      <c r="J16" t="s">
        <v>16</v>
      </c>
      <c r="K16">
        <v>385915</v>
      </c>
      <c r="L16">
        <v>0.9264787133407526</v>
      </c>
      <c r="M16">
        <f t="shared" si="0"/>
        <v>0.11934255846274699</v>
      </c>
      <c r="N16">
        <f t="shared" si="1"/>
        <v>0.11056834001135939</v>
      </c>
    </row>
    <row r="17" spans="1:14" x14ac:dyDescent="0.35">
      <c r="A17" t="s">
        <v>12</v>
      </c>
      <c r="B17" t="s">
        <v>45</v>
      </c>
      <c r="C17">
        <v>183773.7</v>
      </c>
      <c r="D17">
        <v>0</v>
      </c>
      <c r="E17">
        <v>1</v>
      </c>
      <c r="F17">
        <v>183773.7</v>
      </c>
      <c r="G17" t="s">
        <v>46</v>
      </c>
      <c r="H17" t="s">
        <v>46</v>
      </c>
      <c r="I17" t="s">
        <v>15</v>
      </c>
      <c r="J17" t="s">
        <v>16</v>
      </c>
      <c r="K17">
        <v>183773.7</v>
      </c>
      <c r="L17">
        <v>1</v>
      </c>
      <c r="M17">
        <f t="shared" si="0"/>
        <v>5.6831228473019517E-2</v>
      </c>
      <c r="N17">
        <f t="shared" si="1"/>
        <v>5.6831228473019517E-2</v>
      </c>
    </row>
    <row r="18" spans="1:14" x14ac:dyDescent="0.35">
      <c r="A18" t="s">
        <v>12</v>
      </c>
      <c r="B18" t="s">
        <v>47</v>
      </c>
      <c r="C18">
        <v>158153.15305077279</v>
      </c>
      <c r="D18">
        <v>0</v>
      </c>
      <c r="E18">
        <v>1</v>
      </c>
      <c r="F18">
        <v>500419.4</v>
      </c>
      <c r="G18" t="s">
        <v>48</v>
      </c>
      <c r="H18" t="s">
        <v>48</v>
      </c>
      <c r="I18" t="s">
        <v>15</v>
      </c>
      <c r="J18" t="s">
        <v>16</v>
      </c>
      <c r="K18">
        <v>500419.4</v>
      </c>
      <c r="L18">
        <v>0.31604121073398189</v>
      </c>
      <c r="M18">
        <f t="shared" si="0"/>
        <v>0.15475255302435192</v>
      </c>
      <c r="N18">
        <f>L18*M18</f>
        <v>4.8908184221990912E-2</v>
      </c>
    </row>
    <row r="19" spans="1:14" x14ac:dyDescent="0.35">
      <c r="A19" t="s">
        <v>49</v>
      </c>
      <c r="C19">
        <f>SUM(C2:C18)</f>
        <v>1633627.4753525543</v>
      </c>
      <c r="K19">
        <f>SUM(K2:K18)</f>
        <v>3233674.6</v>
      </c>
      <c r="L19">
        <f>C19/K19</f>
        <v>0.50519228971045949</v>
      </c>
      <c r="M19">
        <f>SUM(M2:M18)</f>
        <v>1</v>
      </c>
      <c r="N19">
        <f>SUM(N2:N18)</f>
        <v>0.50519228971045949</v>
      </c>
    </row>
    <row r="20" spans="1:14" x14ac:dyDescent="0.35">
      <c r="A20" t="s">
        <v>50</v>
      </c>
      <c r="L20">
        <f>AVERAGE(L2:L18)</f>
        <v>0.59042549138681877</v>
      </c>
      <c r="N20">
        <f>AVERAGE(N2:N18)</f>
        <v>2.9717193512379971E-2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Flora von Mikulicz-Radecki</cp:lastModifiedBy>
  <dcterms:created xsi:type="dcterms:W3CDTF">2025-05-19T07:55:18Z</dcterms:created>
  <dcterms:modified xsi:type="dcterms:W3CDTF">2025-05-19T10:00:21Z</dcterms:modified>
</cp:coreProperties>
</file>