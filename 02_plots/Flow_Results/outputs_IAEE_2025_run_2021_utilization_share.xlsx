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https://studentcbs-my.sharepoint.com/personal/flv_eco_cbs_dk/Documents/Documents/03_LNG_Cap/hydrogen_grid/02_plots/Flow_Results/"/>
    </mc:Choice>
  </mc:AlternateContent>
  <xr:revisionPtr revIDLastSave="9" documentId="11_2B59D2BFD3205D14F3D8371159F010F276E7EA2D" xr6:coauthVersionLast="47" xr6:coauthVersionMax="47" xr10:uidLastSave="{A31655E7-C30E-4731-8AC6-F8FE1D7318E0}"/>
  <bookViews>
    <workbookView xWindow="-4755" yWindow="-21720" windowWidth="38640" windowHeight="212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" i="1" l="1"/>
  <c r="K14" i="1"/>
  <c r="C14" i="1"/>
</calcChain>
</file>

<file path=xl/sharedStrings.xml><?xml version="1.0" encoding="utf-8"?>
<sst xmlns="http://schemas.openxmlformats.org/spreadsheetml/2006/main" count="84" uniqueCount="39">
  <si>
    <t>Commodity</t>
  </si>
  <si>
    <t>Edge</t>
  </si>
  <si>
    <t>Flow</t>
  </si>
  <si>
    <t>New Capacity</t>
  </si>
  <si>
    <t>Switched</t>
  </si>
  <si>
    <t>Changed Capacity</t>
  </si>
  <si>
    <t>From</t>
  </si>
  <si>
    <t>To</t>
  </si>
  <si>
    <t>FromType</t>
  </si>
  <si>
    <t>ToType</t>
  </si>
  <si>
    <t>Capacity_tot</t>
  </si>
  <si>
    <t>Share</t>
  </si>
  <si>
    <t>Methane</t>
  </si>
  <si>
    <t>'TR_LNG_imp', 'TR'</t>
  </si>
  <si>
    <t>TR</t>
  </si>
  <si>
    <t>LNG_import</t>
  </si>
  <si>
    <t>-</t>
  </si>
  <si>
    <t>'IT_LNG_imp', 'IT'</t>
  </si>
  <si>
    <t>IT</t>
  </si>
  <si>
    <t>'FR_LNG_imp', 'FR'</t>
  </si>
  <si>
    <t>FR</t>
  </si>
  <si>
    <t>'LT_LNG_imp', 'LT'</t>
  </si>
  <si>
    <t>LT</t>
  </si>
  <si>
    <t>'BE_LNG_imp', 'BE'</t>
  </si>
  <si>
    <t>BE</t>
  </si>
  <si>
    <t>'ES_LNG_imp', 'ES'</t>
  </si>
  <si>
    <t>ES</t>
  </si>
  <si>
    <t>'HR_LNG_imp', 'HR'</t>
  </si>
  <si>
    <t>HR</t>
  </si>
  <si>
    <t>'UK_LNG_imp', 'UK'</t>
  </si>
  <si>
    <t>UK</t>
  </si>
  <si>
    <t>'PL_LNG_imp', 'PL'</t>
  </si>
  <si>
    <t>PL</t>
  </si>
  <si>
    <t>'PT_LNG_imp', 'PT'</t>
  </si>
  <si>
    <t>PT</t>
  </si>
  <si>
    <t>'EL_LNG_imp', 'EL'</t>
  </si>
  <si>
    <t>EL</t>
  </si>
  <si>
    <t>'NL_LNG_imp', 'NL'</t>
  </si>
  <si>
    <t>NL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</si>
</sst>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4"/>
  <sheetViews>
    <sheetView tabSelected="1" workbookViewId="0">
      <selection activeCell="L14" sqref="L14"/>
    </sheetView>
  </sheetViews>
  <sheetFormatPr defaultRowHeight="14.5" x14ac:dyDescent="0.35"/>
  <cols>
    <col min="3" max="3" width="11.81640625" bestFit="1" customWidth="1"/>
    <col min="6" max="6" width="15.90625" bestFit="1" customWidth="1"/>
    <col min="9" max="9" width="11" bestFit="1" customWidth="1"/>
    <col min="11" max="11" width="11.453125" bestFit="1" customWidth="1"/>
  </cols>
  <sheetData>
    <row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35">
      <c r="A2" t="s">
        <v>12</v>
      </c>
      <c r="B2" t="s">
        <v>13</v>
      </c>
      <c r="C2">
        <v>425972</v>
      </c>
      <c r="D2">
        <v>0</v>
      </c>
      <c r="E2">
        <v>1</v>
      </c>
      <c r="F2">
        <v>425972</v>
      </c>
      <c r="G2" t="s">
        <v>14</v>
      </c>
      <c r="H2" t="s">
        <v>14</v>
      </c>
      <c r="I2" t="s">
        <v>15</v>
      </c>
      <c r="J2" t="s">
        <v>16</v>
      </c>
      <c r="K2">
        <v>425972</v>
      </c>
      <c r="L2" s="2">
        <v>1</v>
      </c>
    </row>
    <row r="3" spans="1:12" x14ac:dyDescent="0.35">
      <c r="A3" t="s">
        <v>12</v>
      </c>
      <c r="B3" t="s">
        <v>17</v>
      </c>
      <c r="C3">
        <v>154366</v>
      </c>
      <c r="D3">
        <v>0</v>
      </c>
      <c r="E3">
        <v>1</v>
      </c>
      <c r="F3">
        <v>154366</v>
      </c>
      <c r="G3" t="s">
        <v>18</v>
      </c>
      <c r="H3" t="s">
        <v>18</v>
      </c>
      <c r="I3" t="s">
        <v>15</v>
      </c>
      <c r="J3" t="s">
        <v>16</v>
      </c>
      <c r="K3">
        <v>154366</v>
      </c>
      <c r="L3" s="2">
        <v>1</v>
      </c>
    </row>
    <row r="4" spans="1:12" x14ac:dyDescent="0.35">
      <c r="A4" t="s">
        <v>12</v>
      </c>
      <c r="B4" t="s">
        <v>19</v>
      </c>
      <c r="C4">
        <v>322409.99999999988</v>
      </c>
      <c r="D4">
        <v>0</v>
      </c>
      <c r="E4">
        <v>1</v>
      </c>
      <c r="F4">
        <v>322410</v>
      </c>
      <c r="G4" t="s">
        <v>20</v>
      </c>
      <c r="H4" t="s">
        <v>20</v>
      </c>
      <c r="I4" t="s">
        <v>15</v>
      </c>
      <c r="J4" t="s">
        <v>16</v>
      </c>
      <c r="K4">
        <v>322410</v>
      </c>
      <c r="L4" s="2">
        <v>0.99999999999999967</v>
      </c>
    </row>
    <row r="5" spans="1:12" x14ac:dyDescent="0.35">
      <c r="A5" t="s">
        <v>12</v>
      </c>
      <c r="B5" t="s">
        <v>21</v>
      </c>
      <c r="C5">
        <v>39080</v>
      </c>
      <c r="D5">
        <v>0</v>
      </c>
      <c r="E5">
        <v>1</v>
      </c>
      <c r="F5">
        <v>39080</v>
      </c>
      <c r="G5" t="s">
        <v>22</v>
      </c>
      <c r="H5" t="s">
        <v>22</v>
      </c>
      <c r="I5" t="s">
        <v>15</v>
      </c>
      <c r="J5" t="s">
        <v>16</v>
      </c>
      <c r="K5">
        <v>39080</v>
      </c>
      <c r="L5" s="2">
        <v>1</v>
      </c>
    </row>
    <row r="6" spans="1:12" x14ac:dyDescent="0.35">
      <c r="A6" t="s">
        <v>12</v>
      </c>
      <c r="B6" t="s">
        <v>23</v>
      </c>
      <c r="C6">
        <v>87930</v>
      </c>
      <c r="D6">
        <v>0</v>
      </c>
      <c r="E6">
        <v>1</v>
      </c>
      <c r="F6">
        <v>87930</v>
      </c>
      <c r="G6" t="s">
        <v>24</v>
      </c>
      <c r="H6" t="s">
        <v>24</v>
      </c>
      <c r="I6" t="s">
        <v>15</v>
      </c>
      <c r="J6" t="s">
        <v>16</v>
      </c>
      <c r="K6">
        <v>87930</v>
      </c>
      <c r="L6" s="2">
        <v>1</v>
      </c>
    </row>
    <row r="7" spans="1:12" x14ac:dyDescent="0.35">
      <c r="A7" t="s">
        <v>12</v>
      </c>
      <c r="B7" t="s">
        <v>25</v>
      </c>
      <c r="C7">
        <v>398886.1359907001</v>
      </c>
      <c r="D7">
        <v>0</v>
      </c>
      <c r="E7">
        <v>1</v>
      </c>
      <c r="F7">
        <v>587177</v>
      </c>
      <c r="G7" t="s">
        <v>26</v>
      </c>
      <c r="H7" t="s">
        <v>26</v>
      </c>
      <c r="I7" t="s">
        <v>15</v>
      </c>
      <c r="J7" t="s">
        <v>16</v>
      </c>
      <c r="K7">
        <v>587177</v>
      </c>
      <c r="L7" s="2">
        <v>0.67932861128875976</v>
      </c>
    </row>
    <row r="8" spans="1:12" x14ac:dyDescent="0.35">
      <c r="A8" t="s">
        <v>12</v>
      </c>
      <c r="B8" t="s">
        <v>27</v>
      </c>
      <c r="C8">
        <v>25402</v>
      </c>
      <c r="D8">
        <v>0</v>
      </c>
      <c r="E8">
        <v>1</v>
      </c>
      <c r="F8">
        <v>25402</v>
      </c>
      <c r="G8" t="s">
        <v>28</v>
      </c>
      <c r="H8" t="s">
        <v>28</v>
      </c>
      <c r="I8" t="s">
        <v>15</v>
      </c>
      <c r="J8" t="s">
        <v>16</v>
      </c>
      <c r="K8">
        <v>25402</v>
      </c>
      <c r="L8" s="2">
        <v>1</v>
      </c>
    </row>
    <row r="9" spans="1:12" x14ac:dyDescent="0.35">
      <c r="A9" t="s">
        <v>12</v>
      </c>
      <c r="B9" t="s">
        <v>29</v>
      </c>
      <c r="C9">
        <v>469937</v>
      </c>
      <c r="D9">
        <v>0</v>
      </c>
      <c r="E9">
        <v>1</v>
      </c>
      <c r="F9">
        <v>469937</v>
      </c>
      <c r="G9" t="s">
        <v>30</v>
      </c>
      <c r="H9" t="s">
        <v>30</v>
      </c>
      <c r="I9" t="s">
        <v>15</v>
      </c>
      <c r="J9" t="s">
        <v>16</v>
      </c>
      <c r="K9">
        <v>469937</v>
      </c>
      <c r="L9" s="2">
        <v>1</v>
      </c>
    </row>
    <row r="10" spans="1:12" x14ac:dyDescent="0.35">
      <c r="A10" t="s">
        <v>12</v>
      </c>
      <c r="B10" t="s">
        <v>31</v>
      </c>
      <c r="C10">
        <v>56666</v>
      </c>
      <c r="D10">
        <v>0</v>
      </c>
      <c r="E10">
        <v>1</v>
      </c>
      <c r="F10">
        <v>56666</v>
      </c>
      <c r="G10" t="s">
        <v>32</v>
      </c>
      <c r="H10" t="s">
        <v>32</v>
      </c>
      <c r="I10" t="s">
        <v>15</v>
      </c>
      <c r="J10" t="s">
        <v>16</v>
      </c>
      <c r="K10">
        <v>56666</v>
      </c>
      <c r="L10" s="2">
        <v>1</v>
      </c>
    </row>
    <row r="11" spans="1:12" x14ac:dyDescent="0.35">
      <c r="A11" t="s">
        <v>12</v>
      </c>
      <c r="B11" t="s">
        <v>33</v>
      </c>
      <c r="C11">
        <v>58978.164462623259</v>
      </c>
      <c r="D11">
        <v>0</v>
      </c>
      <c r="E11">
        <v>1</v>
      </c>
      <c r="F11">
        <v>71321</v>
      </c>
      <c r="G11" t="s">
        <v>34</v>
      </c>
      <c r="H11" t="s">
        <v>34</v>
      </c>
      <c r="I11" t="s">
        <v>15</v>
      </c>
      <c r="J11" t="s">
        <v>16</v>
      </c>
      <c r="K11">
        <v>71321</v>
      </c>
      <c r="L11" s="2">
        <v>0.82693967362520515</v>
      </c>
    </row>
    <row r="12" spans="1:12" x14ac:dyDescent="0.35">
      <c r="A12" t="s">
        <v>12</v>
      </c>
      <c r="B12" t="s">
        <v>35</v>
      </c>
      <c r="C12">
        <v>68390</v>
      </c>
      <c r="D12">
        <v>0</v>
      </c>
      <c r="E12">
        <v>1</v>
      </c>
      <c r="F12">
        <v>68390</v>
      </c>
      <c r="G12" t="s">
        <v>36</v>
      </c>
      <c r="H12" t="s">
        <v>36</v>
      </c>
      <c r="I12" t="s">
        <v>15</v>
      </c>
      <c r="J12" t="s">
        <v>16</v>
      </c>
      <c r="K12">
        <v>68390</v>
      </c>
      <c r="L12" s="2">
        <v>1</v>
      </c>
    </row>
    <row r="13" spans="1:12" x14ac:dyDescent="0.35">
      <c r="A13" t="s">
        <v>12</v>
      </c>
      <c r="B13" t="s">
        <v>37</v>
      </c>
      <c r="C13">
        <v>117240</v>
      </c>
      <c r="D13">
        <v>0</v>
      </c>
      <c r="E13">
        <v>1</v>
      </c>
      <c r="F13">
        <v>117240</v>
      </c>
      <c r="G13" t="s">
        <v>38</v>
      </c>
      <c r="H13" t="s">
        <v>38</v>
      </c>
      <c r="I13" t="s">
        <v>15</v>
      </c>
      <c r="J13" t="s">
        <v>16</v>
      </c>
      <c r="K13">
        <v>117240</v>
      </c>
      <c r="L13" s="2">
        <v>1</v>
      </c>
    </row>
    <row r="14" spans="1:12" x14ac:dyDescent="0.35">
      <c r="C14">
        <f>SUM(C2:C13)</f>
        <v>2225257.3004533229</v>
      </c>
      <c r="K14">
        <f>SUM(K2:K13)</f>
        <v>2425891</v>
      </c>
      <c r="L14">
        <f>C14/K14</f>
        <v>0.91729484154618779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Flora von Mikulicz-Radecki</cp:lastModifiedBy>
  <dcterms:created xsi:type="dcterms:W3CDTF">2025-05-19T07:54:01Z</dcterms:created>
  <dcterms:modified xsi:type="dcterms:W3CDTF">2025-05-19T08:21:21Z</dcterms:modified>
</cp:coreProperties>
</file>